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dmccaskill\Desktop\Campagna Full Test\"/>
    </mc:Choice>
  </mc:AlternateContent>
  <bookViews>
    <workbookView xWindow="0" yWindow="0" windowWidth="23040" windowHeight="9192" firstSheet="12" activeTab="18"/>
  </bookViews>
  <sheets>
    <sheet name="Home" sheetId="20" r:id="rId1"/>
    <sheet name="Config" sheetId="21" r:id="rId2"/>
    <sheet name="Lookups" sheetId="1" r:id="rId3"/>
    <sheet name="Model Map" sheetId="3" r:id="rId4"/>
    <sheet name="Error Checks" sheetId="4" r:id="rId5"/>
    <sheet name="Timeline" sheetId="2" r:id="rId6"/>
    <sheet name="MDAL" sheetId="8" r:id="rId7"/>
    <sheet name="Workings Sheet" sheetId="23" r:id="rId8"/>
    <sheet name="Sources" sheetId="10" r:id="rId9"/>
    <sheet name="Global Constants" sheetId="6" r:id="rId10"/>
    <sheet name="Cost &amp; Risk Inputs" sheetId="7" r:id="rId11"/>
    <sheet name="Profile &amp; Baseline" sheetId="13" r:id="rId12"/>
    <sheet name="Constant Ecs GBP" sheetId="14" r:id="rId13"/>
    <sheet name="Outturn ex VAT" sheetId="15" r:id="rId14"/>
    <sheet name="Outturn incl. VAT" sheetId="16" r:id="rId15"/>
    <sheet name="EAC" sheetId="19" r:id="rId16"/>
    <sheet name="NPV" sheetId="17" r:id="rId17"/>
    <sheet name="Calc Feeder" sheetId="45" r:id="rId18"/>
    <sheet name="Outputs" sheetId="18" r:id="rId19"/>
    <sheet name="Graphs" sheetId="48" r:id="rId20"/>
    <sheet name="Histogram" sheetId="49" r:id="rId21"/>
  </sheets>
  <functionGroups builtInGroupCount="18"/>
  <definedNames>
    <definedName name="AffordabilityInput">'Calc Feeder'!$C$29</definedName>
    <definedName name="Cost_3PE">Lookups!$N$9</definedName>
    <definedName name="Cost_Group">OFFSET(Lookups!$G$4,1,0,COUNTA(Lookups!$G:$G)-1,1)</definedName>
    <definedName name="CostGroupInput">'Calc Feeder'!$C$17</definedName>
    <definedName name="CostGroups">Lookups!$N$6</definedName>
    <definedName name="Currency_List">'Global Constants'!$C$38:$C$40</definedName>
    <definedName name="FY">Timeline!$F$14:$CQ$14</definedName>
    <definedName name="Graph_Assessment">OFFSET(Graphs!$F$36,0,0,1,Graphs!$D$24)</definedName>
    <definedName name="Graph_Concept">OFFSET(Graphs!$F$35,0,0,1,Graphs!$D$24)</definedName>
    <definedName name="Graph_Design">OFFSET(Graphs!$F$37,0,0,1,Graphs!$D$24)</definedName>
    <definedName name="Graph_InService">OFFSET(Graphs!$F$39,0,0,1,Graphs!$D$24)</definedName>
    <definedName name="Graph_Manufacture">OFFSET(Graphs!$F$38,0,0,1,Graphs!$D$24)</definedName>
    <definedName name="Graph_Timeline">OFFSET(Graphs!$F$34,0,0,1,Graphs!$D$24)</definedName>
    <definedName name="Graph_Timeline_Total">OFFSET(Graphs!$F$17,0,0,1,Graphs!$D$7)</definedName>
    <definedName name="Graph_Total">OFFSET(Graphs!$F$18,0,0,1,Graphs!$D$7)</definedName>
    <definedName name="histo_Percent">OFFSET(Histogram!$G$11,0,0,Histogram!$D$7,1)</definedName>
    <definedName name="Histo_Values">OFFSET(Histogram!$F$11,0,0,Histogram!$D$7,1)</definedName>
    <definedName name="Histo_xAxis">OFFSET(Histogram!$E$11,0,0,Histogram!$D$7,1)</definedName>
    <definedName name="Inflation_List">'Global Constants'!$C$10:$C$19</definedName>
    <definedName name="Iterations">Lookups!$N$4</definedName>
    <definedName name="Model_Base">Timeline!$D$8</definedName>
    <definedName name="Model_Health">'Error Checks'!$E$19</definedName>
    <definedName name="ModelOutput">Lookups!$N$8</definedName>
    <definedName name="Outputs">Lookups!$I$5:$I$6</definedName>
    <definedName name="Percentile_Output">Lookups!$P$5:$P$7</definedName>
    <definedName name="Phase">OFFSET(Lookups!$C$4,1,0,COUNTA(Lookups!$G$5:$G$10),1)</definedName>
    <definedName name="Phase1Start">#REF!</definedName>
    <definedName name="PhaseInput">'Calc Feeder'!$C$6</definedName>
    <definedName name="PhaseQty">Lookups!$N$7</definedName>
    <definedName name="Profile_Type">Lookups!#REF!</definedName>
    <definedName name="Profiles">#REF!</definedName>
    <definedName name="Source_List">Sources!$C$9:$C$11</definedName>
    <definedName name="VAT">Lookups!$E$5</definedName>
    <definedName name="VAT_List">'Global Constants'!$C$45:$C$49</definedName>
    <definedName name="Year_Count">Lookups!$N$5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1" i="2" l="1"/>
  <c r="F15" i="2" s="1"/>
  <c r="D9" i="2"/>
  <c r="X10" i="7"/>
  <c r="E100" i="18"/>
  <c r="BQ100" i="18"/>
  <c r="AR101" i="18"/>
  <c r="S102" i="18"/>
  <c r="CE102" i="18"/>
  <c r="BF103" i="18"/>
  <c r="AG104" i="18"/>
  <c r="F100" i="18"/>
  <c r="BR100" i="18"/>
  <c r="AS101" i="18"/>
  <c r="T102" i="18"/>
  <c r="CF102" i="18"/>
  <c r="BG103" i="18"/>
  <c r="AH104" i="18"/>
  <c r="W100" i="18"/>
  <c r="BZ101" i="18"/>
  <c r="T103" i="18"/>
  <c r="BG104" i="18"/>
  <c r="BB103" i="18"/>
  <c r="AL104" i="18"/>
  <c r="AU100" i="18"/>
  <c r="CH101" i="18"/>
  <c r="AR103" i="18"/>
  <c r="CE104" i="18"/>
  <c r="AS104" i="18"/>
  <c r="H100" i="18"/>
  <c r="BT100" i="18"/>
  <c r="AU101" i="18"/>
  <c r="V102" i="18"/>
  <c r="CH102" i="18"/>
  <c r="BI103" i="18"/>
  <c r="AJ104" i="18"/>
  <c r="I100" i="18"/>
  <c r="BU100" i="18"/>
  <c r="AV101" i="18"/>
  <c r="AM102" i="18"/>
  <c r="AK104" i="18"/>
  <c r="J100" i="18"/>
  <c r="BV100" i="18"/>
  <c r="AW101" i="18"/>
  <c r="X102" i="18"/>
  <c r="CJ102" i="18"/>
  <c r="BK103" i="18"/>
  <c r="AI100" i="18"/>
  <c r="J101" i="18"/>
  <c r="BV101" i="18"/>
  <c r="AW102" i="18"/>
  <c r="X103" i="18"/>
  <c r="CJ103" i="18"/>
  <c r="BK104" i="18"/>
  <c r="AR100" i="18"/>
  <c r="S101" i="18"/>
  <c r="CE101" i="18"/>
  <c r="BF102" i="18"/>
  <c r="AG103" i="18"/>
  <c r="H104" i="18"/>
  <c r="D104" i="18"/>
  <c r="BA89" i="18"/>
  <c r="AB90" i="18"/>
  <c r="CN90" i="18"/>
  <c r="BO91" i="18"/>
  <c r="AP92" i="18"/>
  <c r="Q93" i="18"/>
  <c r="CC93" i="18"/>
  <c r="AH93" i="18"/>
  <c r="CM93" i="18"/>
  <c r="BX91" i="18"/>
  <c r="G89" i="18"/>
  <c r="BS89" i="18"/>
  <c r="AT90" i="18"/>
  <c r="AY93" i="18"/>
  <c r="BL89" i="18"/>
  <c r="AM90" i="18"/>
  <c r="N91" i="18"/>
  <c r="BZ91" i="18"/>
  <c r="BA92" i="18"/>
  <c r="AB93" i="18"/>
  <c r="CN93" i="18"/>
  <c r="M93" i="18"/>
  <c r="BE92" i="18"/>
  <c r="CF91" i="18"/>
  <c r="I89" i="18"/>
  <c r="BU89" i="18"/>
  <c r="AV90" i="18"/>
  <c r="W91" i="18"/>
  <c r="N92" i="18"/>
  <c r="BA93" i="18"/>
  <c r="CK93" i="18"/>
  <c r="BB90" i="18"/>
  <c r="Z89" i="18"/>
  <c r="CL89" i="18"/>
  <c r="BM90" i="18"/>
  <c r="AN91" i="18"/>
  <c r="O92" i="18"/>
  <c r="CA92" i="18"/>
  <c r="BB93" i="18"/>
  <c r="BH89" i="18"/>
  <c r="CE90" i="18"/>
  <c r="CK92" i="18"/>
  <c r="L91" i="18"/>
  <c r="BY91" i="18"/>
  <c r="AQ89" i="18"/>
  <c r="R90" i="18"/>
  <c r="CD90" i="18"/>
  <c r="BE91" i="18"/>
  <c r="AF92" i="18"/>
  <c r="G93" i="18"/>
  <c r="M100" i="18"/>
  <c r="BY100" i="18"/>
  <c r="AZ101" i="18"/>
  <c r="AA102" i="18"/>
  <c r="CM102" i="18"/>
  <c r="BN103" i="18"/>
  <c r="AO104" i="18"/>
  <c r="N100" i="18"/>
  <c r="BZ100" i="18"/>
  <c r="BA101" i="18"/>
  <c r="AB102" i="18"/>
  <c r="CN102" i="18"/>
  <c r="BO103" i="18"/>
  <c r="AP104" i="18"/>
  <c r="BK100" i="18"/>
  <c r="E102" i="18"/>
  <c r="AJ103" i="18"/>
  <c r="BW104" i="18"/>
  <c r="BZ103" i="18"/>
  <c r="BR104" i="18"/>
  <c r="BC100" i="18"/>
  <c r="M102" i="18"/>
  <c r="BH103" i="18"/>
  <c r="AE102" i="18"/>
  <c r="BQ104" i="18"/>
  <c r="P100" i="18"/>
  <c r="CB100" i="18"/>
  <c r="BC101" i="18"/>
  <c r="AD102" i="18"/>
  <c r="E103" i="18"/>
  <c r="BQ103" i="18"/>
  <c r="AR104" i="18"/>
  <c r="Q100" i="18"/>
  <c r="CC100" i="18"/>
  <c r="BD101" i="18"/>
  <c r="AU102" i="18"/>
  <c r="BI104" i="18"/>
  <c r="R100" i="18"/>
  <c r="CD100" i="18"/>
  <c r="BE101" i="18"/>
  <c r="AF102" i="18"/>
  <c r="G103" i="18"/>
  <c r="CA103" i="18"/>
  <c r="AQ100" i="18"/>
  <c r="R101" i="18"/>
  <c r="CD101" i="18"/>
  <c r="BE102" i="18"/>
  <c r="AF103" i="18"/>
  <c r="G104" i="18"/>
  <c r="BS104" i="18"/>
  <c r="AZ100" i="18"/>
  <c r="AA101" i="18"/>
  <c r="CM101" i="18"/>
  <c r="BN102" i="18"/>
  <c r="AO103" i="18"/>
  <c r="P104" i="18"/>
  <c r="D100" i="18"/>
  <c r="BI89" i="18"/>
  <c r="AJ90" i="18"/>
  <c r="K91" i="18"/>
  <c r="BW91" i="18"/>
  <c r="AX92" i="18"/>
  <c r="Y93" i="18"/>
  <c r="AL89" i="18"/>
  <c r="BN93" i="18"/>
  <c r="F89" i="18"/>
  <c r="BG92" i="18"/>
  <c r="O89" i="18"/>
  <c r="CA89" i="18"/>
  <c r="BJ90" i="18"/>
  <c r="H89" i="18"/>
  <c r="BT89" i="18"/>
  <c r="AU90" i="18"/>
  <c r="V91" i="18"/>
  <c r="CH91" i="18"/>
  <c r="BI92" i="18"/>
  <c r="AJ93" i="18"/>
  <c r="BK91" i="18"/>
  <c r="AC93" i="18"/>
  <c r="H93" i="18"/>
  <c r="AQ92" i="18"/>
  <c r="Q89" i="18"/>
  <c r="CC89" i="18"/>
  <c r="BD90" i="18"/>
  <c r="AE91" i="18"/>
  <c r="AD92" i="18"/>
  <c r="BY93" i="18"/>
  <c r="AT89" i="18"/>
  <c r="AS91" i="18"/>
  <c r="AH89" i="18"/>
  <c r="I90" i="18"/>
  <c r="BU90" i="18"/>
  <c r="AV91" i="18"/>
  <c r="W92" i="18"/>
  <c r="CI92" i="18"/>
  <c r="BJ93" i="18"/>
  <c r="BX89" i="18"/>
  <c r="J91" i="18"/>
  <c r="X93" i="18"/>
  <c r="AZ91" i="18"/>
  <c r="AZ92" i="18"/>
  <c r="AY89" i="18"/>
  <c r="Z90" i="18"/>
  <c r="CL90" i="18"/>
  <c r="BM91" i="18"/>
  <c r="AN92" i="18"/>
  <c r="O93" i="18"/>
  <c r="CA93" i="18"/>
  <c r="AI90" i="18"/>
  <c r="I92" i="18"/>
  <c r="BR89" i="18"/>
  <c r="CL93" i="18"/>
  <c r="D93" i="18"/>
  <c r="AS78" i="18"/>
  <c r="T79" i="18"/>
  <c r="CF79" i="18"/>
  <c r="BG80" i="18"/>
  <c r="BF81" i="18"/>
  <c r="BC82" i="18"/>
  <c r="BJ78" i="18"/>
  <c r="AK79" i="18"/>
  <c r="L80" i="18"/>
  <c r="BX80" i="18"/>
  <c r="AY81" i="18"/>
  <c r="Z82" i="18"/>
  <c r="CL82" i="18"/>
  <c r="CN81" i="18"/>
  <c r="U100" i="18"/>
  <c r="CG100" i="18"/>
  <c r="BH101" i="18"/>
  <c r="AI102" i="18"/>
  <c r="J103" i="18"/>
  <c r="BV103" i="18"/>
  <c r="AW104" i="18"/>
  <c r="V100" i="18"/>
  <c r="CH100" i="18"/>
  <c r="BI101" i="18"/>
  <c r="AJ102" i="18"/>
  <c r="K103" i="18"/>
  <c r="BW103" i="18"/>
  <c r="AX104" i="18"/>
  <c r="CA100" i="18"/>
  <c r="U102" i="18"/>
  <c r="AZ103" i="18"/>
  <c r="CM104" i="18"/>
  <c r="M104" i="18"/>
  <c r="AN104" i="18"/>
  <c r="BS100" i="18"/>
  <c r="AC102" i="18"/>
  <c r="BX103" i="18"/>
  <c r="CA102" i="18"/>
  <c r="BS103" i="18"/>
  <c r="X100" i="18"/>
  <c r="CJ100" i="18"/>
  <c r="BK101" i="18"/>
  <c r="AL102" i="18"/>
  <c r="M103" i="18"/>
  <c r="BY103" i="18"/>
  <c r="AZ104" i="18"/>
  <c r="Y100" i="18"/>
  <c r="CK100" i="18"/>
  <c r="BL101" i="18"/>
  <c r="BK102" i="18"/>
  <c r="CG104" i="18"/>
  <c r="Z100" i="18"/>
  <c r="CL100" i="18"/>
  <c r="BM101" i="18"/>
  <c r="AN102" i="18"/>
  <c r="O103" i="18"/>
  <c r="N104" i="18"/>
  <c r="AY100" i="18"/>
  <c r="Z101" i="18"/>
  <c r="CL101" i="18"/>
  <c r="BM102" i="18"/>
  <c r="AN103" i="18"/>
  <c r="O104" i="18"/>
  <c r="CA104" i="18"/>
  <c r="BH100" i="18"/>
  <c r="AI101" i="18"/>
  <c r="J102" i="18"/>
  <c r="BV102" i="18"/>
  <c r="AW103" i="18"/>
  <c r="X104" i="18"/>
  <c r="E89" i="18"/>
  <c r="BQ89" i="18"/>
  <c r="AR90" i="18"/>
  <c r="S91" i="18"/>
  <c r="CE91" i="18"/>
  <c r="BF92" i="18"/>
  <c r="AG93" i="18"/>
  <c r="AC90" i="18"/>
  <c r="BZ90" i="18"/>
  <c r="BB89" i="18"/>
  <c r="R93" i="18"/>
  <c r="W89" i="18"/>
  <c r="CI89" i="18"/>
  <c r="U91" i="18"/>
  <c r="P89" i="18"/>
  <c r="CB89" i="18"/>
  <c r="BC90" i="18"/>
  <c r="AD91" i="18"/>
  <c r="E92" i="18"/>
  <c r="BQ92" i="18"/>
  <c r="AR93" i="18"/>
  <c r="F92" i="18"/>
  <c r="AS93" i="18"/>
  <c r="AV93" i="18"/>
  <c r="J93" i="18"/>
  <c r="Y89" i="18"/>
  <c r="CK89" i="18"/>
  <c r="BL90" i="18"/>
  <c r="AM91" i="18"/>
  <c r="AT92" i="18"/>
  <c r="CO93" i="18"/>
  <c r="M90" i="18"/>
  <c r="BQ91" i="18"/>
  <c r="AP89" i="18"/>
  <c r="Q90" i="18"/>
  <c r="CC90" i="18"/>
  <c r="BD91" i="18"/>
  <c r="AE92" i="18"/>
  <c r="F93" i="18"/>
  <c r="BR93" i="18"/>
  <c r="CN89" i="18"/>
  <c r="Z91" i="18"/>
  <c r="BD93" i="18"/>
  <c r="K92" i="18"/>
  <c r="S93" i="18"/>
  <c r="BG89" i="18"/>
  <c r="AH90" i="18"/>
  <c r="I91" i="18"/>
  <c r="BU91" i="18"/>
  <c r="AV92" i="18"/>
  <c r="W93" i="18"/>
  <c r="CI93" i="18"/>
  <c r="AY90" i="18"/>
  <c r="AG92" i="18"/>
  <c r="U90" i="18"/>
  <c r="CH90" i="18"/>
  <c r="D91" i="18"/>
  <c r="BA78" i="18"/>
  <c r="AB79" i="18"/>
  <c r="CN79" i="18"/>
  <c r="BO80" i="18"/>
  <c r="BV81" i="18"/>
  <c r="F78" i="18"/>
  <c r="BR78" i="18"/>
  <c r="AS79" i="18"/>
  <c r="T80" i="18"/>
  <c r="CF80" i="18"/>
  <c r="BG81" i="18"/>
  <c r="AH82" i="18"/>
  <c r="BA80" i="18"/>
  <c r="S82" i="18"/>
  <c r="AC100" i="18"/>
  <c r="CO100" i="18"/>
  <c r="BP101" i="18"/>
  <c r="AQ102" i="18"/>
  <c r="R103" i="18"/>
  <c r="CD103" i="18"/>
  <c r="BE104" i="18"/>
  <c r="AD100" i="18"/>
  <c r="E101" i="18"/>
  <c r="BQ101" i="18"/>
  <c r="AR102" i="18"/>
  <c r="S103" i="18"/>
  <c r="CE103" i="18"/>
  <c r="BF104" i="18"/>
  <c r="F101" i="18"/>
  <c r="AK102" i="18"/>
  <c r="BP103" i="18"/>
  <c r="W102" i="18"/>
  <c r="AC104" i="18"/>
  <c r="BT104" i="18"/>
  <c r="CI100" i="18"/>
  <c r="AS102" i="18"/>
  <c r="CN103" i="18"/>
  <c r="N103" i="18"/>
  <c r="V104" i="18"/>
  <c r="AF100" i="18"/>
  <c r="G101" i="18"/>
  <c r="BS101" i="18"/>
  <c r="AT102" i="18"/>
  <c r="U103" i="18"/>
  <c r="CG103" i="18"/>
  <c r="BH104" i="18"/>
  <c r="AG100" i="18"/>
  <c r="H101" i="18"/>
  <c r="BT101" i="18"/>
  <c r="CI102" i="18"/>
  <c r="F104" i="18"/>
  <c r="AH100" i="18"/>
  <c r="I101" i="18"/>
  <c r="BU101" i="18"/>
  <c r="AV102" i="18"/>
  <c r="W103" i="18"/>
  <c r="AT104" i="18"/>
  <c r="BG100" i="18"/>
  <c r="AH101" i="18"/>
  <c r="I102" i="18"/>
  <c r="BU102" i="18"/>
  <c r="AV103" i="18"/>
  <c r="W104" i="18"/>
  <c r="CI104" i="18"/>
  <c r="BP100" i="18"/>
  <c r="AQ101" i="18"/>
  <c r="R102" i="18"/>
  <c r="CD102" i="18"/>
  <c r="BE103" i="18"/>
  <c r="AF104" i="18"/>
  <c r="M89" i="18"/>
  <c r="BY89" i="18"/>
  <c r="AZ90" i="18"/>
  <c r="AA91" i="18"/>
  <c r="CM91" i="18"/>
  <c r="BN92" i="18"/>
  <c r="AO93" i="18"/>
  <c r="CG90" i="18"/>
  <c r="AK91" i="18"/>
  <c r="BJ89" i="18"/>
  <c r="CD93" i="18"/>
  <c r="AE89" i="18"/>
  <c r="F90" i="18"/>
  <c r="AC91" i="18"/>
  <c r="X89" i="18"/>
  <c r="CJ89" i="18"/>
  <c r="BK90" i="18"/>
  <c r="AL91" i="18"/>
  <c r="M92" i="18"/>
  <c r="BY92" i="18"/>
  <c r="AZ93" i="18"/>
  <c r="V92" i="18"/>
  <c r="BI93" i="18"/>
  <c r="CJ93" i="18"/>
  <c r="BF93" i="18"/>
  <c r="AG89" i="18"/>
  <c r="H90" i="18"/>
  <c r="BT90" i="18"/>
  <c r="AU91" i="18"/>
  <c r="BJ92" i="18"/>
  <c r="BN91" i="18"/>
  <c r="BY90" i="18"/>
  <c r="AJ92" i="18"/>
  <c r="AX89" i="18"/>
  <c r="Y90" i="18"/>
  <c r="CK90" i="18"/>
  <c r="BL91" i="18"/>
  <c r="AM92" i="18"/>
  <c r="N93" i="18"/>
  <c r="BZ93" i="18"/>
  <c r="K90" i="18"/>
  <c r="AP91" i="18"/>
  <c r="CB93" i="18"/>
  <c r="AY92" i="18"/>
  <c r="BW93" i="18"/>
  <c r="BO89" i="18"/>
  <c r="AP90" i="18"/>
  <c r="Q91" i="18"/>
  <c r="CC91" i="18"/>
  <c r="BD92" i="18"/>
  <c r="AE93" i="18"/>
  <c r="L89" i="18"/>
  <c r="BO90" i="18"/>
  <c r="AW92" i="18"/>
  <c r="BI90" i="18"/>
  <c r="CO91" i="18"/>
  <c r="D89" i="18"/>
  <c r="BI78" i="18"/>
  <c r="AJ79" i="18"/>
  <c r="K80" i="18"/>
  <c r="BW80" i="18"/>
  <c r="I82" i="18"/>
  <c r="N78" i="18"/>
  <c r="BZ78" i="18"/>
  <c r="BA79" i="18"/>
  <c r="AB80" i="18"/>
  <c r="CN80" i="18"/>
  <c r="BO81" i="18"/>
  <c r="AP82" i="18"/>
  <c r="CG80" i="18"/>
  <c r="AI82" i="18"/>
  <c r="AS100" i="18"/>
  <c r="T101" i="18"/>
  <c r="CF101" i="18"/>
  <c r="BG102" i="18"/>
  <c r="AH103" i="18"/>
  <c r="I104" i="18"/>
  <c r="BU104" i="18"/>
  <c r="AT100" i="18"/>
  <c r="U101" i="18"/>
  <c r="CG101" i="18"/>
  <c r="BH102" i="18"/>
  <c r="AI103" i="18"/>
  <c r="J104" i="18"/>
  <c r="BV104" i="18"/>
  <c r="AL101" i="18"/>
  <c r="BI102" i="18"/>
  <c r="K104" i="18"/>
  <c r="BS102" i="18"/>
  <c r="BY104" i="18"/>
  <c r="O100" i="18"/>
  <c r="AD101" i="18"/>
  <c r="CG102" i="18"/>
  <c r="AI104" i="18"/>
  <c r="BJ103" i="18"/>
  <c r="BZ104" i="18"/>
  <c r="AV100" i="18"/>
  <c r="W101" i="18"/>
  <c r="CI101" i="18"/>
  <c r="BJ102" i="18"/>
  <c r="AK103" i="18"/>
  <c r="L104" i="18"/>
  <c r="BX104" i="18"/>
  <c r="AW100" i="18"/>
  <c r="X101" i="18"/>
  <c r="CJ101" i="18"/>
  <c r="AT103" i="18"/>
  <c r="BJ104" i="18"/>
  <c r="AX100" i="18"/>
  <c r="Y101" i="18"/>
  <c r="CK101" i="18"/>
  <c r="BL102" i="18"/>
  <c r="AM103" i="18"/>
  <c r="K100" i="18"/>
  <c r="BW100" i="18"/>
  <c r="AX101" i="18"/>
  <c r="Y102" i="18"/>
  <c r="CK102" i="18"/>
  <c r="BL103" i="18"/>
  <c r="AM104" i="18"/>
  <c r="T100" i="18"/>
  <c r="CF100" i="18"/>
  <c r="BG101" i="18"/>
  <c r="AH102" i="18"/>
  <c r="I103" i="18"/>
  <c r="BU103" i="18"/>
  <c r="D102" i="18"/>
  <c r="AC89" i="18"/>
  <c r="CO89" i="18"/>
  <c r="BP90" i="18"/>
  <c r="AQ91" i="18"/>
  <c r="R92" i="18"/>
  <c r="CD92" i="18"/>
  <c r="BE93" i="18"/>
  <c r="CN91" i="18"/>
  <c r="AB92" i="18"/>
  <c r="AS90" i="18"/>
  <c r="T92" i="18"/>
  <c r="AU89" i="18"/>
  <c r="V90" i="18"/>
  <c r="CG91" i="18"/>
  <c r="AN89" i="18"/>
  <c r="O90" i="18"/>
  <c r="CA90" i="18"/>
  <c r="BB91" i="18"/>
  <c r="AC92" i="18"/>
  <c r="CO92" i="18"/>
  <c r="BP93" i="18"/>
  <c r="BB92" i="18"/>
  <c r="CG93" i="18"/>
  <c r="AK90" i="18"/>
  <c r="L92" i="18"/>
  <c r="AW89" i="18"/>
  <c r="X90" i="18"/>
  <c r="CJ90" i="18"/>
  <c r="BS91" i="18"/>
  <c r="E93" i="18"/>
  <c r="BU92" i="18"/>
  <c r="S92" i="18"/>
  <c r="AQ93" i="18"/>
  <c r="BN89" i="18"/>
  <c r="AO90" i="18"/>
  <c r="P91" i="18"/>
  <c r="CB91" i="18"/>
  <c r="BC92" i="18"/>
  <c r="AD93" i="18"/>
  <c r="T89" i="18"/>
  <c r="AQ90" i="18"/>
  <c r="CL91" i="18"/>
  <c r="BZ89" i="18"/>
  <c r="AX93" i="18"/>
  <c r="S89" i="18"/>
  <c r="CE89" i="18"/>
  <c r="BF90" i="18"/>
  <c r="AG91" i="18"/>
  <c r="H92" i="18"/>
  <c r="BT92" i="18"/>
  <c r="AU93" i="18"/>
  <c r="AZ89" i="18"/>
  <c r="R91" i="18"/>
  <c r="P93" i="18"/>
  <c r="BP91" i="18"/>
  <c r="AA93" i="18"/>
  <c r="M78" i="18"/>
  <c r="BY78" i="18"/>
  <c r="AZ79" i="18"/>
  <c r="AA80" i="18"/>
  <c r="J81" i="18"/>
  <c r="AO82" i="18"/>
  <c r="AD78" i="18"/>
  <c r="E79" i="18"/>
  <c r="BQ79" i="18"/>
  <c r="AR80" i="18"/>
  <c r="AK100" i="18"/>
  <c r="K102" i="18"/>
  <c r="Q104" i="18"/>
  <c r="M101" i="18"/>
  <c r="BX102" i="18"/>
  <c r="CD104" i="18"/>
  <c r="CF103" i="18"/>
  <c r="CI103" i="18"/>
  <c r="L103" i="18"/>
  <c r="BB104" i="18"/>
  <c r="AM101" i="18"/>
  <c r="AS103" i="18"/>
  <c r="AO100" i="18"/>
  <c r="O102" i="18"/>
  <c r="BF100" i="18"/>
  <c r="BD102" i="18"/>
  <c r="AA100" i="18"/>
  <c r="AG102" i="18"/>
  <c r="AE104" i="18"/>
  <c r="K101" i="18"/>
  <c r="Q103" i="18"/>
  <c r="U89" i="18"/>
  <c r="CF90" i="18"/>
  <c r="CL92" i="18"/>
  <c r="BI91" i="18"/>
  <c r="BG93" i="18"/>
  <c r="AR92" i="18"/>
  <c r="BS90" i="18"/>
  <c r="AS92" i="18"/>
  <c r="BR92" i="18"/>
  <c r="BR90" i="18"/>
  <c r="AN90" i="18"/>
  <c r="U93" i="18"/>
  <c r="BX92" i="18"/>
  <c r="BE90" i="18"/>
  <c r="BK92" i="18"/>
  <c r="AA90" i="18"/>
  <c r="BA90" i="18"/>
  <c r="CM89" i="18"/>
  <c r="CK91" i="18"/>
  <c r="BK93" i="18"/>
  <c r="AX91" i="18"/>
  <c r="BW92" i="18"/>
  <c r="AC78" i="18"/>
  <c r="BP79" i="18"/>
  <c r="Z81" i="18"/>
  <c r="AT78" i="18"/>
  <c r="CG79" i="18"/>
  <c r="AA81" i="18"/>
  <c r="AX82" i="18"/>
  <c r="BH81" i="18"/>
  <c r="G78" i="18"/>
  <c r="BS78" i="18"/>
  <c r="AT79" i="18"/>
  <c r="U80" i="18"/>
  <c r="T81" i="18"/>
  <c r="BG82" i="18"/>
  <c r="AF78" i="18"/>
  <c r="G79" i="18"/>
  <c r="BS79" i="18"/>
  <c r="AT80" i="18"/>
  <c r="U81" i="18"/>
  <c r="CG81" i="18"/>
  <c r="BH82" i="18"/>
  <c r="AI78" i="18"/>
  <c r="AG80" i="18"/>
  <c r="I78" i="18"/>
  <c r="BU78" i="18"/>
  <c r="AV79" i="18"/>
  <c r="W80" i="18"/>
  <c r="CI80" i="18"/>
  <c r="BJ81" i="18"/>
  <c r="AK82" i="18"/>
  <c r="AQ78" i="18"/>
  <c r="BM80" i="18"/>
  <c r="AH78" i="18"/>
  <c r="I79" i="18"/>
  <c r="BU79" i="18"/>
  <c r="AV80" i="18"/>
  <c r="W81" i="18"/>
  <c r="CI81" i="18"/>
  <c r="BJ82" i="18"/>
  <c r="BN79" i="18"/>
  <c r="G82" i="18"/>
  <c r="BH78" i="18"/>
  <c r="AI79" i="18"/>
  <c r="J80" i="18"/>
  <c r="BV80" i="18"/>
  <c r="AW81" i="18"/>
  <c r="X82" i="18"/>
  <c r="CJ82" i="18"/>
  <c r="AG82" i="18"/>
  <c r="D82" i="18"/>
  <c r="R56" i="18"/>
  <c r="T58" i="18"/>
  <c r="S54" i="18"/>
  <c r="L58" i="18"/>
  <c r="M56" i="18"/>
  <c r="K58" i="18"/>
  <c r="F54" i="18"/>
  <c r="F58" i="18"/>
  <c r="D58" i="18"/>
  <c r="S24" i="18"/>
  <c r="S23" i="18"/>
  <c r="K25" i="18"/>
  <c r="M23" i="18"/>
  <c r="F27" i="18"/>
  <c r="D23" i="18"/>
  <c r="U22" i="7"/>
  <c r="U29" i="7"/>
  <c r="D52" i="18"/>
  <c r="T23" i="18"/>
  <c r="E26" i="18"/>
  <c r="U25" i="7"/>
  <c r="U38" i="7"/>
  <c r="U20" i="7"/>
  <c r="U24" i="7"/>
  <c r="BB100" i="18"/>
  <c r="BH90" i="18"/>
  <c r="CO90" i="18"/>
  <c r="G92" i="18"/>
  <c r="CM90" i="18"/>
  <c r="CE80" i="18"/>
  <c r="O82" i="18"/>
  <c r="AA82" i="18"/>
  <c r="E81" i="18"/>
  <c r="BE78" i="18"/>
  <c r="BA100" i="18"/>
  <c r="AY102" i="18"/>
  <c r="Y104" i="18"/>
  <c r="AC101" i="18"/>
  <c r="AA103" i="18"/>
  <c r="CL104" i="18"/>
  <c r="AA104" i="18"/>
  <c r="G100" i="18"/>
  <c r="AB103" i="18"/>
  <c r="AV104" i="18"/>
  <c r="CA101" i="18"/>
  <c r="BA103" i="18"/>
  <c r="BE100" i="18"/>
  <c r="V103" i="18"/>
  <c r="BN100" i="18"/>
  <c r="BT102" i="18"/>
  <c r="BO100" i="18"/>
  <c r="AO102" i="18"/>
  <c r="AU104" i="18"/>
  <c r="AY101" i="18"/>
  <c r="Y103" i="18"/>
  <c r="AK89" i="18"/>
  <c r="AI91" i="18"/>
  <c r="I93" i="18"/>
  <c r="BP92" i="18"/>
  <c r="AM89" i="18"/>
  <c r="K93" i="18"/>
  <c r="CI90" i="18"/>
  <c r="CG92" i="18"/>
  <c r="CH92" i="18"/>
  <c r="CF92" i="18"/>
  <c r="CB90" i="18"/>
  <c r="AK93" i="18"/>
  <c r="J89" i="18"/>
  <c r="H91" i="18"/>
  <c r="BS92" i="18"/>
  <c r="BG90" i="18"/>
  <c r="CM92" i="18"/>
  <c r="J90" i="18"/>
  <c r="P92" i="18"/>
  <c r="BS93" i="18"/>
  <c r="CD91" i="18"/>
  <c r="AP93" i="18"/>
  <c r="AK78" i="18"/>
  <c r="BX79" i="18"/>
  <c r="AP81" i="18"/>
  <c r="BB78" i="18"/>
  <c r="CO79" i="18"/>
  <c r="AI81" i="18"/>
  <c r="BF82" i="18"/>
  <c r="BX81" i="18"/>
  <c r="O78" i="18"/>
  <c r="CA78" i="18"/>
  <c r="BB79" i="18"/>
  <c r="AC80" i="18"/>
  <c r="AJ81" i="18"/>
  <c r="BW82" i="18"/>
  <c r="AN78" i="18"/>
  <c r="O79" i="18"/>
  <c r="CA79" i="18"/>
  <c r="BB80" i="18"/>
  <c r="AC81" i="18"/>
  <c r="CO81" i="18"/>
  <c r="BP82" i="18"/>
  <c r="AY78" i="18"/>
  <c r="BE80" i="18"/>
  <c r="Q78" i="18"/>
  <c r="CC78" i="18"/>
  <c r="BD79" i="18"/>
  <c r="AE80" i="18"/>
  <c r="F81" i="18"/>
  <c r="BR81" i="18"/>
  <c r="AS82" i="18"/>
  <c r="BW78" i="18"/>
  <c r="H81" i="18"/>
  <c r="AP78" i="18"/>
  <c r="Q79" i="18"/>
  <c r="CC79" i="18"/>
  <c r="BD80" i="18"/>
  <c r="AE81" i="18"/>
  <c r="F82" i="18"/>
  <c r="BR82" i="18"/>
  <c r="CL79" i="18"/>
  <c r="AU82" i="18"/>
  <c r="BP78" i="18"/>
  <c r="AQ79" i="18"/>
  <c r="R80" i="18"/>
  <c r="CD80" i="18"/>
  <c r="BE81" i="18"/>
  <c r="AF82" i="18"/>
  <c r="CM80" i="18"/>
  <c r="AW82" i="18"/>
  <c r="D79" i="18"/>
  <c r="T53" i="18"/>
  <c r="R54" i="18"/>
  <c r="S51" i="18"/>
  <c r="L51" i="18"/>
  <c r="L53" i="18"/>
  <c r="K52" i="18"/>
  <c r="E51" i="18"/>
  <c r="E55" i="18"/>
  <c r="R27" i="18"/>
  <c r="M27" i="18"/>
  <c r="K23" i="18"/>
  <c r="U23" i="7"/>
  <c r="U37" i="7"/>
  <c r="BX101" i="18"/>
  <c r="M91" i="18"/>
  <c r="AI89" i="18"/>
  <c r="AB81" i="18"/>
  <c r="AD80" i="18"/>
  <c r="AF79" i="18"/>
  <c r="BI100" i="18"/>
  <c r="BO102" i="18"/>
  <c r="BM104" i="18"/>
  <c r="AK101" i="18"/>
  <c r="AQ103" i="18"/>
  <c r="V101" i="18"/>
  <c r="AQ104" i="18"/>
  <c r="AE100" i="18"/>
  <c r="S104" i="18"/>
  <c r="CJ104" i="18"/>
  <c r="F102" i="18"/>
  <c r="CO103" i="18"/>
  <c r="BM100" i="18"/>
  <c r="BR103" i="18"/>
  <c r="Q101" i="18"/>
  <c r="CB102" i="18"/>
  <c r="CE100" i="18"/>
  <c r="CC102" i="18"/>
  <c r="BC104" i="18"/>
  <c r="BO101" i="18"/>
  <c r="BM103" i="18"/>
  <c r="AS89" i="18"/>
  <c r="AY91" i="18"/>
  <c r="AW93" i="18"/>
  <c r="AI93" i="18"/>
  <c r="BC89" i="18"/>
  <c r="AF89" i="18"/>
  <c r="F91" i="18"/>
  <c r="L93" i="18"/>
  <c r="BQ93" i="18"/>
  <c r="BO93" i="18"/>
  <c r="G91" i="18"/>
  <c r="Y92" i="18"/>
  <c r="R89" i="18"/>
  <c r="X91" i="18"/>
  <c r="V93" i="18"/>
  <c r="BW90" i="18"/>
  <c r="BV93" i="18"/>
  <c r="AX90" i="18"/>
  <c r="X92" i="18"/>
  <c r="AJ89" i="18"/>
  <c r="CC92" i="18"/>
  <c r="BH92" i="18"/>
  <c r="BQ78" i="18"/>
  <c r="S80" i="18"/>
  <c r="Y82" i="18"/>
  <c r="CH78" i="18"/>
  <c r="AJ80" i="18"/>
  <c r="AQ81" i="18"/>
  <c r="BN82" i="18"/>
  <c r="AY82" i="18"/>
  <c r="W78" i="18"/>
  <c r="CI78" i="18"/>
  <c r="BJ79" i="18"/>
  <c r="AK80" i="18"/>
  <c r="AZ81" i="18"/>
  <c r="CM82" i="18"/>
  <c r="AV78" i="18"/>
  <c r="W79" i="18"/>
  <c r="CI79" i="18"/>
  <c r="BJ80" i="18"/>
  <c r="AK81" i="18"/>
  <c r="L82" i="18"/>
  <c r="BX82" i="18"/>
  <c r="BO78" i="18"/>
  <c r="CC80" i="18"/>
  <c r="Y78" i="18"/>
  <c r="CK78" i="18"/>
  <c r="BL79" i="18"/>
  <c r="AM80" i="18"/>
  <c r="N81" i="18"/>
  <c r="BZ81" i="18"/>
  <c r="BA82" i="18"/>
  <c r="J79" i="18"/>
  <c r="AN81" i="18"/>
  <c r="AX78" i="18"/>
  <c r="Y79" i="18"/>
  <c r="CK79" i="18"/>
  <c r="BL80" i="18"/>
  <c r="AM81" i="18"/>
  <c r="N82" i="18"/>
  <c r="BZ82" i="18"/>
  <c r="Y80" i="18"/>
  <c r="L78" i="18"/>
  <c r="BX78" i="18"/>
  <c r="AY79" i="18"/>
  <c r="Z80" i="18"/>
  <c r="CL80" i="18"/>
  <c r="BM81" i="18"/>
  <c r="AN82" i="18"/>
  <c r="AH81" i="18"/>
  <c r="BE82" i="18"/>
  <c r="D80" i="18"/>
  <c r="T56" i="18"/>
  <c r="R57" i="18"/>
  <c r="T51" i="18"/>
  <c r="L52" i="18"/>
  <c r="L54" i="18"/>
  <c r="K57" i="18"/>
  <c r="F51" i="18"/>
  <c r="E58" i="18"/>
  <c r="D53" i="18"/>
  <c r="T24" i="18"/>
  <c r="R23" i="18"/>
  <c r="L25" i="18"/>
  <c r="E24" i="18"/>
  <c r="E23" i="18"/>
  <c r="U31" i="7"/>
  <c r="U33" i="7"/>
  <c r="D26" i="18"/>
  <c r="U21" i="7"/>
  <c r="Z104" i="18"/>
  <c r="BA104" i="18"/>
  <c r="CH103" i="18"/>
  <c r="BZ102" i="18"/>
  <c r="CB101" i="18"/>
  <c r="H102" i="18"/>
  <c r="BN101" i="18"/>
  <c r="BX100" i="18"/>
  <c r="AI92" i="18"/>
  <c r="W90" i="18"/>
  <c r="CI91" i="18"/>
  <c r="N89" i="18"/>
  <c r="T91" i="18"/>
  <c r="BI79" i="18"/>
  <c r="E80" i="18"/>
  <c r="BC79" i="18"/>
  <c r="CH82" i="18"/>
  <c r="AT81" i="18"/>
  <c r="L101" i="18"/>
  <c r="BW102" i="18"/>
  <c r="CC104" i="18"/>
  <c r="BY101" i="18"/>
  <c r="AY103" i="18"/>
  <c r="BB101" i="18"/>
  <c r="BC102" i="18"/>
  <c r="AM100" i="18"/>
  <c r="AY104" i="18"/>
  <c r="AN100" i="18"/>
  <c r="N102" i="18"/>
  <c r="T104" i="18"/>
  <c r="P101" i="18"/>
  <c r="E104" i="18"/>
  <c r="AG101" i="18"/>
  <c r="AE103" i="18"/>
  <c r="CM100" i="18"/>
  <c r="H103" i="18"/>
  <c r="L100" i="18"/>
  <c r="BW101" i="18"/>
  <c r="CC103" i="18"/>
  <c r="CG89" i="18"/>
  <c r="BG91" i="18"/>
  <c r="BM93" i="18"/>
  <c r="CH89" i="18"/>
  <c r="BK89" i="18"/>
  <c r="AV89" i="18"/>
  <c r="AT91" i="18"/>
  <c r="T93" i="18"/>
  <c r="BF91" i="18"/>
  <c r="AO89" i="18"/>
  <c r="O91" i="18"/>
  <c r="AF93" i="18"/>
  <c r="BF89" i="18"/>
  <c r="AF91" i="18"/>
  <c r="AL93" i="18"/>
  <c r="BV91" i="18"/>
  <c r="E91" i="18"/>
  <c r="BN90" i="18"/>
  <c r="BL92" i="18"/>
  <c r="BP89" i="18"/>
  <c r="AN93" i="18"/>
  <c r="CE93" i="18"/>
  <c r="CG78" i="18"/>
  <c r="AI80" i="18"/>
  <c r="BM82" i="18"/>
  <c r="M79" i="18"/>
  <c r="AZ80" i="18"/>
  <c r="BW81" i="18"/>
  <c r="BV82" i="18"/>
  <c r="BO82" i="18"/>
  <c r="AE78" i="18"/>
  <c r="F79" i="18"/>
  <c r="BR79" i="18"/>
  <c r="AS80" i="18"/>
  <c r="BP81" i="18"/>
  <c r="BL81" i="18"/>
  <c r="BD78" i="18"/>
  <c r="AE79" i="18"/>
  <c r="F80" i="18"/>
  <c r="BR80" i="18"/>
  <c r="AS81" i="18"/>
  <c r="T82" i="18"/>
  <c r="CF82" i="18"/>
  <c r="CM78" i="18"/>
  <c r="P81" i="18"/>
  <c r="AG78" i="18"/>
  <c r="H79" i="18"/>
  <c r="BT79" i="18"/>
  <c r="AU80" i="18"/>
  <c r="V81" i="18"/>
  <c r="CH81" i="18"/>
  <c r="BI82" i="18"/>
  <c r="AH79" i="18"/>
  <c r="BT81" i="18"/>
  <c r="BF78" i="18"/>
  <c r="AG79" i="18"/>
  <c r="H80" i="18"/>
  <c r="BT80" i="18"/>
  <c r="AU81" i="18"/>
  <c r="V82" i="18"/>
  <c r="AA78" i="18"/>
  <c r="AW80" i="18"/>
  <c r="T78" i="18"/>
  <c r="CF78" i="18"/>
  <c r="BG79" i="18"/>
  <c r="AH80" i="18"/>
  <c r="I81" i="18"/>
  <c r="BU81" i="18"/>
  <c r="AV82" i="18"/>
  <c r="AX81" i="18"/>
  <c r="BU82" i="18"/>
  <c r="D78" i="18"/>
  <c r="S52" i="18"/>
  <c r="T52" i="18"/>
  <c r="R51" i="18"/>
  <c r="L56" i="18"/>
  <c r="M58" i="18"/>
  <c r="K51" i="18"/>
  <c r="F52" i="18"/>
  <c r="F55" i="18"/>
  <c r="D51" i="18"/>
  <c r="S27" i="18"/>
  <c r="M24" i="18"/>
  <c r="K26" i="18"/>
  <c r="F24" i="18"/>
  <c r="E27" i="18"/>
  <c r="U39" i="7"/>
  <c r="U35" i="7"/>
  <c r="U28" i="7"/>
  <c r="R55" i="18"/>
  <c r="K53" i="18"/>
  <c r="F56" i="18"/>
  <c r="R26" i="18"/>
  <c r="L27" i="18"/>
  <c r="E25" i="18"/>
  <c r="U36" i="7"/>
  <c r="AX103" i="18"/>
  <c r="AH92" i="18"/>
  <c r="CF93" i="18"/>
  <c r="AG90" i="18"/>
  <c r="AM93" i="18"/>
  <c r="V78" i="18"/>
  <c r="BC78" i="18"/>
  <c r="P78" i="18"/>
  <c r="AR82" i="18"/>
  <c r="W82" i="18"/>
  <c r="U82" i="18"/>
  <c r="AB101" i="18"/>
  <c r="Z103" i="18"/>
  <c r="CK104" i="18"/>
  <c r="CO101" i="18"/>
  <c r="CM103" i="18"/>
  <c r="BJ101" i="18"/>
  <c r="F103" i="18"/>
  <c r="N101" i="18"/>
  <c r="BO104" i="18"/>
  <c r="BD100" i="18"/>
  <c r="BB102" i="18"/>
  <c r="AB104" i="18"/>
  <c r="AF101" i="18"/>
  <c r="AD104" i="18"/>
  <c r="AO101" i="18"/>
  <c r="AU103" i="18"/>
  <c r="AP101" i="18"/>
  <c r="P103" i="18"/>
  <c r="AB100" i="18"/>
  <c r="Z102" i="18"/>
  <c r="CK103" i="18"/>
  <c r="L90" i="18"/>
  <c r="J92" i="18"/>
  <c r="BU93" i="18"/>
  <c r="BQ90" i="18"/>
  <c r="N90" i="18"/>
  <c r="BD89" i="18"/>
  <c r="BJ91" i="18"/>
  <c r="BH93" i="18"/>
  <c r="Q92" i="18"/>
  <c r="BE89" i="18"/>
  <c r="BC91" i="18"/>
  <c r="BL93" i="18"/>
  <c r="BV89" i="18"/>
  <c r="BT91" i="18"/>
  <c r="AT93" i="18"/>
  <c r="AO92" i="18"/>
  <c r="K89" i="18"/>
  <c r="BV90" i="18"/>
  <c r="CB92" i="18"/>
  <c r="CF89" i="18"/>
  <c r="BT93" i="18"/>
  <c r="D92" i="18"/>
  <c r="CO78" i="18"/>
  <c r="AQ80" i="18"/>
  <c r="CC82" i="18"/>
  <c r="U79" i="18"/>
  <c r="BH80" i="18"/>
  <c r="CE81" i="18"/>
  <c r="CD82" i="18"/>
  <c r="CE82" i="18"/>
  <c r="AM78" i="18"/>
  <c r="N79" i="18"/>
  <c r="BZ79" i="18"/>
  <c r="BI80" i="18"/>
  <c r="CF81" i="18"/>
  <c r="BK82" i="18"/>
  <c r="BL78" i="18"/>
  <c r="AM79" i="18"/>
  <c r="N80" i="18"/>
  <c r="BZ80" i="18"/>
  <c r="BA81" i="18"/>
  <c r="AB82" i="18"/>
  <c r="CN82" i="18"/>
  <c r="Z79" i="18"/>
  <c r="AV81" i="18"/>
  <c r="AO78" i="18"/>
  <c r="P79" i="18"/>
  <c r="CB79" i="18"/>
  <c r="BC80" i="18"/>
  <c r="AD81" i="18"/>
  <c r="E82" i="18"/>
  <c r="BQ82" i="18"/>
  <c r="BF79" i="18"/>
  <c r="AE82" i="18"/>
  <c r="BN78" i="18"/>
  <c r="AO79" i="18"/>
  <c r="P80" i="18"/>
  <c r="CB80" i="18"/>
  <c r="BC81" i="18"/>
  <c r="AD82" i="18"/>
  <c r="BG78" i="18"/>
  <c r="BU80" i="18"/>
  <c r="AB78" i="18"/>
  <c r="CN78" i="18"/>
  <c r="BO79" i="18"/>
  <c r="AP80" i="18"/>
  <c r="Q81" i="18"/>
  <c r="CC81" i="18"/>
  <c r="BD82" i="18"/>
  <c r="BN81" i="18"/>
  <c r="CK82" i="18"/>
  <c r="R52" i="18"/>
  <c r="S55" i="18"/>
  <c r="M51" i="18"/>
  <c r="M53" i="18"/>
  <c r="E52" i="18"/>
  <c r="D54" i="18"/>
  <c r="R25" i="18"/>
  <c r="K24" i="18"/>
  <c r="U30" i="7"/>
  <c r="AZ102" i="18"/>
  <c r="BR101" i="18"/>
  <c r="O101" i="18"/>
  <c r="CF104" i="18"/>
  <c r="CB104" i="18"/>
  <c r="BD104" i="18"/>
  <c r="BT103" i="18"/>
  <c r="D103" i="18"/>
  <c r="AL90" i="18"/>
  <c r="P90" i="18"/>
  <c r="BO92" i="18"/>
  <c r="AO91" i="18"/>
  <c r="AR79" i="18"/>
  <c r="K81" i="18"/>
  <c r="AD79" i="18"/>
  <c r="CB78" i="18"/>
  <c r="BV79" i="18"/>
  <c r="BS80" i="18"/>
  <c r="AJ101" i="18"/>
  <c r="AP103" i="18"/>
  <c r="AL100" i="18"/>
  <c r="L102" i="18"/>
  <c r="R104" i="18"/>
  <c r="BA102" i="18"/>
  <c r="AD103" i="18"/>
  <c r="AT101" i="18"/>
  <c r="AL103" i="18"/>
  <c r="BL100" i="18"/>
  <c r="BR102" i="18"/>
  <c r="BP104" i="18"/>
  <c r="AN101" i="18"/>
  <c r="CH104" i="18"/>
  <c r="CC101" i="18"/>
  <c r="BC103" i="18"/>
  <c r="BF101" i="18"/>
  <c r="BD103" i="18"/>
  <c r="AJ100" i="18"/>
  <c r="AP102" i="18"/>
  <c r="BL104" i="18"/>
  <c r="T90" i="18"/>
  <c r="Z92" i="18"/>
  <c r="AR91" i="18"/>
  <c r="AB91" i="18"/>
  <c r="AD90" i="18"/>
  <c r="G90" i="18"/>
  <c r="BR91" i="18"/>
  <c r="BX93" i="18"/>
  <c r="AD89" i="18"/>
  <c r="BM89" i="18"/>
  <c r="CA91" i="18"/>
  <c r="BH91" i="18"/>
  <c r="CD89" i="18"/>
  <c r="CJ91" i="18"/>
  <c r="CH93" i="18"/>
  <c r="BM92" i="18"/>
  <c r="AA89" i="18"/>
  <c r="Y91" i="18"/>
  <c r="CJ92" i="18"/>
  <c r="S90" i="18"/>
  <c r="V89" i="18"/>
  <c r="D90" i="18"/>
  <c r="L79" i="18"/>
  <c r="AY80" i="18"/>
  <c r="CJ81" i="18"/>
  <c r="AC79" i="18"/>
  <c r="BP80" i="18"/>
  <c r="CM81" i="18"/>
  <c r="L81" i="18"/>
  <c r="AF81" i="18"/>
  <c r="AU78" i="18"/>
  <c r="V79" i="18"/>
  <c r="CH79" i="18"/>
  <c r="BQ80" i="18"/>
  <c r="K82" i="18"/>
  <c r="H78" i="18"/>
  <c r="BT78" i="18"/>
  <c r="AU79" i="18"/>
  <c r="V80" i="18"/>
  <c r="CH80" i="18"/>
  <c r="BI81" i="18"/>
  <c r="AJ82" i="18"/>
  <c r="CG82" i="18"/>
  <c r="AX79" i="18"/>
  <c r="CB81" i="18"/>
  <c r="AW78" i="18"/>
  <c r="X79" i="18"/>
  <c r="CJ79" i="18"/>
  <c r="BK80" i="18"/>
  <c r="AL81" i="18"/>
  <c r="M82" i="18"/>
  <c r="BY82" i="18"/>
  <c r="CD79" i="18"/>
  <c r="J78" i="18"/>
  <c r="BV78" i="18"/>
  <c r="AW79" i="18"/>
  <c r="X80" i="18"/>
  <c r="CJ80" i="18"/>
  <c r="BK81" i="18"/>
  <c r="AL82" i="18"/>
  <c r="CE78" i="18"/>
  <c r="CK80" i="18"/>
  <c r="AJ78" i="18"/>
  <c r="K79" i="18"/>
  <c r="BW79" i="18"/>
  <c r="AX80" i="18"/>
  <c r="Y81" i="18"/>
  <c r="CK81" i="18"/>
  <c r="BL82" i="18"/>
  <c r="CD81" i="18"/>
  <c r="AM82" i="18"/>
  <c r="T54" i="18"/>
  <c r="T57" i="18"/>
  <c r="R58" i="18"/>
  <c r="M55" i="18"/>
  <c r="M54" i="18"/>
  <c r="K54" i="18"/>
  <c r="E56" i="18"/>
  <c r="E53" i="18"/>
  <c r="D55" i="18"/>
  <c r="S26" i="18"/>
  <c r="T27" i="18"/>
  <c r="M25" i="18"/>
  <c r="K27" i="18"/>
  <c r="F25" i="18"/>
  <c r="D27" i="18"/>
  <c r="U26" i="7"/>
  <c r="BY102" i="18"/>
  <c r="AX102" i="18"/>
  <c r="U92" i="18"/>
  <c r="AB89" i="18"/>
  <c r="E78" i="18"/>
  <c r="J82" i="18"/>
  <c r="BY80" i="18"/>
  <c r="BQ81" i="18"/>
  <c r="G80" i="18"/>
  <c r="CN101" i="18"/>
  <c r="U104" i="18"/>
  <c r="Q102" i="18"/>
  <c r="CN92" i="18"/>
  <c r="Z93" i="18"/>
  <c r="AH91" i="18"/>
  <c r="R82" i="18"/>
  <c r="X78" i="18"/>
  <c r="I80" i="18"/>
  <c r="CO82" i="18"/>
  <c r="BE79" i="18"/>
  <c r="AT82" i="18"/>
  <c r="S79" i="18"/>
  <c r="H82" i="18"/>
  <c r="S57" i="18"/>
  <c r="L55" i="18"/>
  <c r="D56" i="18"/>
  <c r="M26" i="18"/>
  <c r="U34" i="7"/>
  <c r="D57" i="18"/>
  <c r="U19" i="7"/>
  <c r="U14" i="7"/>
  <c r="CA80" i="18"/>
  <c r="Q82" i="18"/>
  <c r="CO104" i="18"/>
  <c r="BY79" i="18"/>
  <c r="CD78" i="18"/>
  <c r="CA82" i="18"/>
  <c r="CL103" i="18"/>
  <c r="AE101" i="18"/>
  <c r="CB103" i="18"/>
  <c r="BA91" i="18"/>
  <c r="AW90" i="18"/>
  <c r="AA92" i="18"/>
  <c r="AR81" i="18"/>
  <c r="CJ78" i="18"/>
  <c r="CI82" i="18"/>
  <c r="K78" i="18"/>
  <c r="BM79" i="18"/>
  <c r="BB82" i="18"/>
  <c r="AA79" i="18"/>
  <c r="P82" i="18"/>
  <c r="T55" i="18"/>
  <c r="M52" i="18"/>
  <c r="L23" i="18"/>
  <c r="AJ91" i="18"/>
  <c r="Z78" i="18"/>
  <c r="T25" i="18"/>
  <c r="AW91" i="18"/>
  <c r="AG81" i="18"/>
  <c r="U32" i="7"/>
  <c r="BJ100" i="18"/>
  <c r="AC103" i="18"/>
  <c r="CN100" i="18"/>
  <c r="AE90" i="18"/>
  <c r="AU92" i="18"/>
  <c r="U78" i="18"/>
  <c r="BS82" i="18"/>
  <c r="BK79" i="18"/>
  <c r="BM78" i="18"/>
  <c r="Q80" i="18"/>
  <c r="AF80" i="18"/>
  <c r="R79" i="18"/>
  <c r="CE79" i="18"/>
  <c r="BT82" i="18"/>
  <c r="R53" i="18"/>
  <c r="K55" i="18"/>
  <c r="R24" i="18"/>
  <c r="F26" i="18"/>
  <c r="BW89" i="18"/>
  <c r="BD81" i="18"/>
  <c r="D24" i="18"/>
  <c r="AF90" i="18"/>
  <c r="BS81" i="18"/>
  <c r="L26" i="18"/>
  <c r="BP102" i="18"/>
  <c r="CN104" i="18"/>
  <c r="CL102" i="18"/>
  <c r="AK92" i="18"/>
  <c r="AR89" i="18"/>
  <c r="BH79" i="18"/>
  <c r="BK78" i="18"/>
  <c r="AL80" i="18"/>
  <c r="AN79" i="18"/>
  <c r="AO80" i="18"/>
  <c r="AN80" i="18"/>
  <c r="AP79" i="18"/>
  <c r="CM79" i="18"/>
  <c r="CB82" i="18"/>
  <c r="S58" i="18"/>
  <c r="K56" i="18"/>
  <c r="T26" i="18"/>
  <c r="F23" i="18"/>
  <c r="M80" i="18"/>
  <c r="O81" i="18"/>
  <c r="S56" i="18"/>
  <c r="BV92" i="18"/>
  <c r="AZ82" i="18"/>
  <c r="AR78" i="18"/>
  <c r="F53" i="18"/>
  <c r="BN104" i="18"/>
  <c r="G102" i="18"/>
  <c r="D101" i="18"/>
  <c r="AL92" i="18"/>
  <c r="E90" i="18"/>
  <c r="R81" i="18"/>
  <c r="AL79" i="18"/>
  <c r="M81" i="18"/>
  <c r="O80" i="18"/>
  <c r="R78" i="18"/>
  <c r="G81" i="18"/>
  <c r="X81" i="18"/>
  <c r="BF80" i="18"/>
  <c r="CL81" i="18"/>
  <c r="S53" i="18"/>
  <c r="E57" i="18"/>
  <c r="S25" i="18"/>
  <c r="D25" i="18"/>
  <c r="CO102" i="18"/>
  <c r="AP100" i="18"/>
  <c r="BX90" i="18"/>
  <c r="AL78" i="18"/>
  <c r="BY81" i="18"/>
  <c r="BN80" i="18"/>
  <c r="F57" i="18"/>
  <c r="P102" i="18"/>
  <c r="CO80" i="18"/>
  <c r="BB81" i="18"/>
  <c r="L57" i="18"/>
  <c r="BQ102" i="18"/>
  <c r="S100" i="18"/>
  <c r="CE92" i="18"/>
  <c r="BZ92" i="18"/>
  <c r="BC93" i="18"/>
  <c r="S81" i="18"/>
  <c r="AQ82" i="18"/>
  <c r="S78" i="18"/>
  <c r="AC82" i="18"/>
  <c r="CL78" i="18"/>
  <c r="CA81" i="18"/>
  <c r="AZ78" i="18"/>
  <c r="AO81" i="18"/>
  <c r="D81" i="18"/>
  <c r="M57" i="18"/>
  <c r="E54" i="18"/>
  <c r="L24" i="18"/>
  <c r="U27" i="7"/>
  <c r="AZ84" i="18" l="1"/>
  <c r="CL84" i="18"/>
  <c r="S84" i="18"/>
  <c r="S106" i="18"/>
  <c r="AL84" i="18"/>
  <c r="AP106" i="18"/>
  <c r="R84" i="18"/>
  <c r="AR84" i="18"/>
  <c r="BK84" i="18"/>
  <c r="AR95" i="18"/>
  <c r="BW95" i="18"/>
  <c r="BM84" i="18"/>
  <c r="U84" i="18"/>
  <c r="CN106" i="18"/>
  <c r="BJ106" i="18"/>
  <c r="Z84" i="18"/>
  <c r="K84" i="18"/>
  <c r="CJ84" i="18"/>
  <c r="CD84" i="18"/>
  <c r="X84" i="18"/>
  <c r="E84" i="18"/>
  <c r="AB95" i="18"/>
  <c r="AJ84" i="18"/>
  <c r="CE84" i="18"/>
  <c r="BV84" i="18"/>
  <c r="J84" i="18"/>
  <c r="AW84" i="18"/>
  <c r="BT84" i="18"/>
  <c r="H84" i="18"/>
  <c r="AU84" i="18"/>
  <c r="V95" i="18"/>
  <c r="AA95" i="18"/>
  <c r="CD95" i="18"/>
  <c r="BM95" i="18"/>
  <c r="AD95" i="18"/>
  <c r="AJ106" i="18"/>
  <c r="BL106" i="18"/>
  <c r="AL106" i="18"/>
  <c r="CB84" i="18"/>
  <c r="CN84" i="18"/>
  <c r="AB84" i="18"/>
  <c r="BG84" i="18"/>
  <c r="BN84" i="18"/>
  <c r="AO84" i="18"/>
  <c r="BL84" i="18"/>
  <c r="AM84" i="18"/>
  <c r="CO84" i="18"/>
  <c r="CF95" i="18"/>
  <c r="K95" i="18"/>
  <c r="BV95" i="18"/>
  <c r="BE95" i="18"/>
  <c r="BD95" i="18"/>
  <c r="AB106" i="18"/>
  <c r="BD106" i="18"/>
  <c r="P84" i="18"/>
  <c r="BC84" i="18"/>
  <c r="V84" i="18"/>
  <c r="D84" i="18"/>
  <c r="CF84" i="18"/>
  <c r="T84" i="18"/>
  <c r="AA84" i="18"/>
  <c r="BF84" i="18"/>
  <c r="AG84" i="18"/>
  <c r="CM84" i="18"/>
  <c r="BD84" i="18"/>
  <c r="AE84" i="18"/>
  <c r="CG84" i="18"/>
  <c r="BP95" i="18"/>
  <c r="BF95" i="18"/>
  <c r="AO95" i="18"/>
  <c r="AV95" i="18"/>
  <c r="BK95" i="18"/>
  <c r="CH95" i="18"/>
  <c r="CG95" i="18"/>
  <c r="L106" i="18"/>
  <c r="CM106" i="18"/>
  <c r="AN106" i="18"/>
  <c r="AM106" i="18"/>
  <c r="N95" i="18"/>
  <c r="BX106" i="18"/>
  <c r="BX84" i="18"/>
  <c r="L84" i="18"/>
  <c r="AX84" i="18"/>
  <c r="CK84" i="18"/>
  <c r="Y84" i="18"/>
  <c r="BO84" i="18"/>
  <c r="AV84" i="18"/>
  <c r="CI84" i="18"/>
  <c r="W84" i="18"/>
  <c r="CH84" i="18"/>
  <c r="BQ84" i="18"/>
  <c r="AJ95" i="18"/>
  <c r="R95" i="18"/>
  <c r="AF95" i="18"/>
  <c r="BC95" i="18"/>
  <c r="AS95" i="18"/>
  <c r="CE106" i="18"/>
  <c r="BM106" i="18"/>
  <c r="AE106" i="18"/>
  <c r="BI106" i="18"/>
  <c r="AI95" i="18"/>
  <c r="BP84" i="18"/>
  <c r="AP84" i="18"/>
  <c r="BW84" i="18"/>
  <c r="CC84" i="18"/>
  <c r="Q84" i="18"/>
  <c r="AY84" i="18"/>
  <c r="AN84" i="18"/>
  <c r="CA84" i="18"/>
  <c r="O84" i="18"/>
  <c r="BB84" i="18"/>
  <c r="AK84" i="18"/>
  <c r="J95" i="18"/>
  <c r="AM95" i="18"/>
  <c r="AK95" i="18"/>
  <c r="BO106" i="18"/>
  <c r="BN106" i="18"/>
  <c r="BE106" i="18"/>
  <c r="G106" i="18"/>
  <c r="BA106" i="18"/>
  <c r="BE84" i="18"/>
  <c r="BB106" i="18"/>
  <c r="BH84" i="18"/>
  <c r="AH84" i="18"/>
  <c r="AQ84" i="18"/>
  <c r="BU84" i="18"/>
  <c r="I84" i="18"/>
  <c r="AI84" i="18"/>
  <c r="AF84" i="18"/>
  <c r="BS84" i="18"/>
  <c r="G84" i="18"/>
  <c r="AT84" i="18"/>
  <c r="AC84" i="18"/>
  <c r="CM95" i="18"/>
  <c r="U95" i="18"/>
  <c r="AA106" i="18"/>
  <c r="BF106" i="18"/>
  <c r="AO106" i="18"/>
  <c r="AK106" i="18"/>
  <c r="AD84" i="18"/>
  <c r="BY84" i="18"/>
  <c r="M84" i="18"/>
  <c r="AZ95" i="18"/>
  <c r="CE95" i="18"/>
  <c r="S95" i="18"/>
  <c r="BZ95" i="18"/>
  <c r="T95" i="18"/>
  <c r="BN95" i="18"/>
  <c r="AW95" i="18"/>
  <c r="AN95" i="18"/>
  <c r="AU95" i="18"/>
  <c r="CO95" i="18"/>
  <c r="AC95" i="18"/>
  <c r="CF106" i="18"/>
  <c r="T106" i="18"/>
  <c r="BW106" i="18"/>
  <c r="K106" i="18"/>
  <c r="AX106" i="18"/>
  <c r="AW106" i="18"/>
  <c r="AV106" i="18"/>
  <c r="O106" i="18"/>
  <c r="AT106" i="18"/>
  <c r="AS106" i="18"/>
  <c r="BZ84" i="18"/>
  <c r="N84" i="18"/>
  <c r="BI84" i="18"/>
  <c r="D95" i="18"/>
  <c r="L95" i="18"/>
  <c r="BO95" i="18"/>
  <c r="AX95" i="18"/>
  <c r="AG95" i="18"/>
  <c r="CJ95" i="18"/>
  <c r="X95" i="18"/>
  <c r="AE95" i="18"/>
  <c r="BJ95" i="18"/>
  <c r="BY95" i="18"/>
  <c r="M95" i="18"/>
  <c r="BP106" i="18"/>
  <c r="BG106" i="18"/>
  <c r="AH106" i="18"/>
  <c r="AG106" i="18"/>
  <c r="AF106" i="18"/>
  <c r="CI106" i="18"/>
  <c r="AD106" i="18"/>
  <c r="CO106" i="18"/>
  <c r="AC106" i="18"/>
  <c r="BR84" i="18"/>
  <c r="F84" i="18"/>
  <c r="BA84" i="18"/>
  <c r="BG95" i="18"/>
  <c r="CN95" i="18"/>
  <c r="AP95" i="18"/>
  <c r="CK95" i="18"/>
  <c r="Y95" i="18"/>
  <c r="CB95" i="18"/>
  <c r="P95" i="18"/>
  <c r="CI95" i="18"/>
  <c r="W95" i="18"/>
  <c r="BB95" i="18"/>
  <c r="BQ95" i="18"/>
  <c r="E95" i="18"/>
  <c r="BH106" i="18"/>
  <c r="AY106" i="18"/>
  <c r="CL106" i="18"/>
  <c r="Z106" i="18"/>
  <c r="CK106" i="18"/>
  <c r="Y106" i="18"/>
  <c r="CJ106" i="18"/>
  <c r="X106" i="18"/>
  <c r="BS106" i="18"/>
  <c r="CA106" i="18"/>
  <c r="CH106" i="18"/>
  <c r="V106" i="18"/>
  <c r="CG106" i="18"/>
  <c r="U106" i="18"/>
  <c r="BJ84" i="18"/>
  <c r="AS84" i="18"/>
  <c r="BR95" i="18"/>
  <c r="AY95" i="18"/>
  <c r="BX95" i="18"/>
  <c r="AH95" i="18"/>
  <c r="AT95" i="18"/>
  <c r="CC95" i="18"/>
  <c r="Q95" i="18"/>
  <c r="BT95" i="18"/>
  <c r="H95" i="18"/>
  <c r="CA95" i="18"/>
  <c r="O95" i="18"/>
  <c r="F95" i="18"/>
  <c r="AL95" i="18"/>
  <c r="BI95" i="18"/>
  <c r="D106" i="18"/>
  <c r="AZ106" i="18"/>
  <c r="AQ106" i="18"/>
  <c r="CD106" i="18"/>
  <c r="R106" i="18"/>
  <c r="CC106" i="18"/>
  <c r="Q106" i="18"/>
  <c r="CB106" i="18"/>
  <c r="P106" i="18"/>
  <c r="BC106" i="18"/>
  <c r="BK106" i="18"/>
  <c r="BZ106" i="18"/>
  <c r="N106" i="18"/>
  <c r="BY106" i="18"/>
  <c r="M106" i="18"/>
  <c r="AQ95" i="18"/>
  <c r="BH95" i="18"/>
  <c r="CL95" i="18"/>
  <c r="Z95" i="18"/>
  <c r="BU95" i="18"/>
  <c r="I95" i="18"/>
  <c r="BL95" i="18"/>
  <c r="BS95" i="18"/>
  <c r="G95" i="18"/>
  <c r="BA95" i="18"/>
  <c r="AR106" i="18"/>
  <c r="AI106" i="18"/>
  <c r="BV106" i="18"/>
  <c r="J106" i="18"/>
  <c r="BU106" i="18"/>
  <c r="I106" i="18"/>
  <c r="BT106" i="18"/>
  <c r="H106" i="18"/>
  <c r="AU106" i="18"/>
  <c r="W106" i="18"/>
  <c r="BR106" i="18"/>
  <c r="F106" i="18"/>
  <c r="BQ106" i="18"/>
  <c r="E106" i="18"/>
  <c r="DN11" i="7"/>
  <c r="DN12" i="7"/>
  <c r="DN13" i="7"/>
  <c r="DN14" i="7"/>
  <c r="DN15" i="7"/>
  <c r="DN16" i="7"/>
  <c r="DN17" i="7"/>
  <c r="DN18" i="7"/>
  <c r="DN19" i="7"/>
  <c r="DN20" i="7"/>
  <c r="DN21" i="7"/>
  <c r="DN22" i="7"/>
  <c r="DN23" i="7"/>
  <c r="DN24" i="7"/>
  <c r="DN25" i="7"/>
  <c r="DN26" i="7"/>
  <c r="DN27" i="7"/>
  <c r="DN28" i="7"/>
  <c r="DN29" i="7"/>
  <c r="DN30" i="7"/>
  <c r="DN31" i="7"/>
  <c r="DN32" i="7"/>
  <c r="DN33" i="7"/>
  <c r="DN34" i="7"/>
  <c r="DN35" i="7"/>
  <c r="DN36" i="7"/>
  <c r="DN37" i="7"/>
  <c r="DN38" i="7"/>
  <c r="DN39" i="7"/>
  <c r="DN10" i="7"/>
  <c r="U10" i="7"/>
  <c r="U11" i="7"/>
  <c r="U12" i="7"/>
  <c r="U13" i="7"/>
  <c r="U12" i="49" l="1"/>
  <c r="U13" i="49"/>
  <c r="U14" i="49"/>
  <c r="U15" i="49"/>
  <c r="U16" i="49"/>
  <c r="U17" i="49"/>
  <c r="U18" i="49"/>
  <c r="U19" i="49"/>
  <c r="U20" i="49"/>
  <c r="U21" i="49"/>
  <c r="U11" i="49"/>
  <c r="C11" i="49"/>
  <c r="D6" i="49"/>
  <c r="D7" i="49" s="1"/>
  <c r="D66" i="48" l="1"/>
  <c r="D67" i="48"/>
  <c r="D68" i="48"/>
  <c r="X16" i="7"/>
  <c r="X17" i="7"/>
  <c r="X18" i="7"/>
  <c r="N6" i="1"/>
  <c r="C42" i="18" l="1"/>
  <c r="C43" i="18"/>
  <c r="C44" i="18"/>
  <c r="C56" i="18"/>
  <c r="J56" i="18"/>
  <c r="Q56" i="18"/>
  <c r="C57" i="18"/>
  <c r="J57" i="18"/>
  <c r="Q57" i="18"/>
  <c r="C58" i="18"/>
  <c r="J58" i="18"/>
  <c r="Q58" i="18"/>
  <c r="C24" i="45"/>
  <c r="C25" i="45"/>
  <c r="C23" i="45"/>
  <c r="J15" i="7" l="1"/>
  <c r="S15" i="7"/>
  <c r="T15" i="7"/>
  <c r="R15" i="7"/>
  <c r="J11" i="7"/>
  <c r="J16" i="7" s="1"/>
  <c r="U15" i="7"/>
  <c r="K11" i="7" l="1"/>
  <c r="J12" i="7" s="1"/>
  <c r="J17" i="7" s="1"/>
  <c r="T16" i="7"/>
  <c r="T17" i="7"/>
  <c r="S16" i="7"/>
  <c r="R16" i="7"/>
  <c r="D11" i="49"/>
  <c r="D62" i="48"/>
  <c r="D63" i="48"/>
  <c r="D64" i="48"/>
  <c r="D65" i="48"/>
  <c r="D61" i="48"/>
  <c r="D48" i="48"/>
  <c r="D49" i="48"/>
  <c r="D50" i="48"/>
  <c r="D51" i="48"/>
  <c r="D47" i="48"/>
  <c r="U16" i="7"/>
  <c r="K12" i="7" l="1"/>
  <c r="J13" i="7" s="1"/>
  <c r="K13" i="7" s="1"/>
  <c r="J14" i="7" s="1"/>
  <c r="K14" i="7" s="1"/>
  <c r="K15" i="7" s="1"/>
  <c r="K16" i="7" s="1"/>
  <c r="K17" i="7" s="1"/>
  <c r="K18" i="7" s="1"/>
  <c r="T18" i="7"/>
  <c r="S17" i="7"/>
  <c r="R17" i="7"/>
  <c r="DO16" i="7"/>
  <c r="C12" i="49"/>
  <c r="D12" i="49" s="1"/>
  <c r="C13" i="49" s="1"/>
  <c r="F11" i="49"/>
  <c r="G11" i="49" s="1"/>
  <c r="E11" i="49"/>
  <c r="P7" i="1"/>
  <c r="P6" i="1"/>
  <c r="P5" i="1"/>
  <c r="D36" i="48"/>
  <c r="D37" i="48"/>
  <c r="D38" i="48"/>
  <c r="D39" i="48"/>
  <c r="D35" i="48"/>
  <c r="X11" i="7"/>
  <c r="X12" i="7"/>
  <c r="X13" i="7"/>
  <c r="X14" i="7"/>
  <c r="X15" i="7"/>
  <c r="X19" i="7"/>
  <c r="X20" i="7"/>
  <c r="X21" i="7"/>
  <c r="X22" i="7"/>
  <c r="X23" i="7"/>
  <c r="X24" i="7"/>
  <c r="X25" i="7"/>
  <c r="X26" i="7"/>
  <c r="X27" i="7"/>
  <c r="X28" i="7"/>
  <c r="X29" i="7"/>
  <c r="X30" i="7"/>
  <c r="X31" i="7"/>
  <c r="X32" i="7"/>
  <c r="X33" i="7"/>
  <c r="X34" i="7"/>
  <c r="X35" i="7"/>
  <c r="X36" i="7"/>
  <c r="X37" i="7"/>
  <c r="X38" i="7"/>
  <c r="X39" i="7"/>
  <c r="U17" i="7"/>
  <c r="J18" i="7" l="1"/>
  <c r="DM16" i="7"/>
  <c r="R18" i="7"/>
  <c r="DP16" i="7"/>
  <c r="S18" i="7"/>
  <c r="DO18" i="7"/>
  <c r="DM17" i="7"/>
  <c r="DO17" i="7"/>
  <c r="F12" i="49"/>
  <c r="G12" i="49" s="1"/>
  <c r="E12" i="49"/>
  <c r="D13" i="49"/>
  <c r="C14" i="49" s="1"/>
  <c r="M9" i="19"/>
  <c r="N9" i="19"/>
  <c r="O9" i="19"/>
  <c r="P9" i="19"/>
  <c r="Q9" i="19"/>
  <c r="R9" i="19"/>
  <c r="S9" i="19"/>
  <c r="T9" i="19"/>
  <c r="U9" i="19"/>
  <c r="V9" i="19"/>
  <c r="W9" i="19"/>
  <c r="X9" i="19"/>
  <c r="Y9" i="19"/>
  <c r="Z9" i="19"/>
  <c r="AA9" i="19"/>
  <c r="AB9" i="19"/>
  <c r="AC9" i="19"/>
  <c r="AD9" i="19"/>
  <c r="AE9" i="19"/>
  <c r="AF9" i="19"/>
  <c r="AG9" i="19"/>
  <c r="AH9" i="19"/>
  <c r="AI9" i="19"/>
  <c r="AJ9" i="19"/>
  <c r="AK9" i="19"/>
  <c r="AL9" i="19"/>
  <c r="AM9" i="19"/>
  <c r="AN9" i="19"/>
  <c r="AO9" i="19"/>
  <c r="AP9" i="19"/>
  <c r="AQ9" i="19"/>
  <c r="AR9" i="19"/>
  <c r="AS9" i="19"/>
  <c r="AT9" i="19"/>
  <c r="AU9" i="19"/>
  <c r="AV9" i="19"/>
  <c r="AW9" i="19"/>
  <c r="AX9" i="19"/>
  <c r="AY9" i="19"/>
  <c r="AZ9" i="19"/>
  <c r="BA9" i="19"/>
  <c r="BB9" i="19"/>
  <c r="BC9" i="19"/>
  <c r="BD9" i="19"/>
  <c r="BE9" i="19"/>
  <c r="BF9" i="19"/>
  <c r="BG9" i="19"/>
  <c r="BH9" i="19"/>
  <c r="BI9" i="19"/>
  <c r="BJ9" i="19"/>
  <c r="BK9" i="19"/>
  <c r="BL9" i="19"/>
  <c r="BM9" i="19"/>
  <c r="BN9" i="19"/>
  <c r="BO9" i="19"/>
  <c r="BP9" i="19"/>
  <c r="BQ9" i="19"/>
  <c r="BR9" i="19"/>
  <c r="BS9" i="19"/>
  <c r="BT9" i="19"/>
  <c r="BU9" i="19"/>
  <c r="BV9" i="19"/>
  <c r="BW9" i="19"/>
  <c r="BX9" i="19"/>
  <c r="BY9" i="19"/>
  <c r="BZ9" i="19"/>
  <c r="CA9" i="19"/>
  <c r="CB9" i="19"/>
  <c r="CC9" i="19"/>
  <c r="CD9" i="19"/>
  <c r="CE9" i="19"/>
  <c r="CF9" i="19"/>
  <c r="CG9" i="19"/>
  <c r="CH9" i="19"/>
  <c r="CI9" i="19"/>
  <c r="CJ9" i="19"/>
  <c r="CK9" i="19"/>
  <c r="CL9" i="19"/>
  <c r="CM9" i="19"/>
  <c r="CN9" i="19"/>
  <c r="CO9" i="19"/>
  <c r="CP9" i="19"/>
  <c r="CQ9" i="19"/>
  <c r="CR9" i="19"/>
  <c r="CS9" i="19"/>
  <c r="CT9" i="19"/>
  <c r="CU9" i="19"/>
  <c r="CV9" i="19"/>
  <c r="CW9" i="19"/>
  <c r="L9" i="19"/>
  <c r="D8" i="2"/>
  <c r="H3" i="14" s="1"/>
  <c r="U18" i="7"/>
  <c r="DP18" i="7" l="1"/>
  <c r="DP17" i="7"/>
  <c r="DM18" i="7"/>
  <c r="F13" i="49"/>
  <c r="G13" i="49" s="1"/>
  <c r="E13" i="49"/>
  <c r="D14" i="49"/>
  <c r="C15" i="49" s="1"/>
  <c r="C104" i="18"/>
  <c r="C103" i="18"/>
  <c r="C102" i="18"/>
  <c r="C101" i="18"/>
  <c r="C100" i="18"/>
  <c r="C93" i="18"/>
  <c r="C92" i="18"/>
  <c r="C91" i="18"/>
  <c r="C90" i="18"/>
  <c r="C89" i="18"/>
  <c r="C82" i="18"/>
  <c r="C81" i="18"/>
  <c r="C80" i="18"/>
  <c r="C79" i="18"/>
  <c r="C78" i="18"/>
  <c r="C71" i="18"/>
  <c r="C70" i="18"/>
  <c r="C69" i="18"/>
  <c r="C68" i="18"/>
  <c r="C67" i="18"/>
  <c r="Q55" i="18"/>
  <c r="J55" i="18"/>
  <c r="C55" i="18"/>
  <c r="Q54" i="18"/>
  <c r="J54" i="18"/>
  <c r="C54" i="18"/>
  <c r="Q53" i="18"/>
  <c r="J53" i="18"/>
  <c r="C53" i="18"/>
  <c r="Q52" i="18"/>
  <c r="J52" i="18"/>
  <c r="C52" i="18"/>
  <c r="Q51" i="18"/>
  <c r="J51" i="18"/>
  <c r="C51" i="18"/>
  <c r="C41" i="18"/>
  <c r="C40" i="18"/>
  <c r="C39" i="18"/>
  <c r="C38" i="18"/>
  <c r="C37" i="18"/>
  <c r="Q27" i="18"/>
  <c r="J27" i="18"/>
  <c r="C27" i="18"/>
  <c r="Q26" i="18"/>
  <c r="J26" i="18"/>
  <c r="C26" i="18"/>
  <c r="Q25" i="18"/>
  <c r="J25" i="18"/>
  <c r="C25" i="18"/>
  <c r="Q24" i="18"/>
  <c r="J24" i="18"/>
  <c r="C24" i="18"/>
  <c r="Q23" i="18"/>
  <c r="J23" i="18"/>
  <c r="C23" i="18"/>
  <c r="C16" i="18"/>
  <c r="C15" i="18"/>
  <c r="C14" i="18"/>
  <c r="C13" i="18"/>
  <c r="C12" i="18"/>
  <c r="D7" i="18"/>
  <c r="D6" i="18"/>
  <c r="F14" i="49" l="1"/>
  <c r="D15" i="49"/>
  <c r="F15" i="49" s="1"/>
  <c r="E14" i="49"/>
  <c r="C16" i="49" l="1"/>
  <c r="G15" i="49"/>
  <c r="G14" i="49"/>
  <c r="E15" i="49"/>
  <c r="D16" i="49" l="1"/>
  <c r="C19" i="45"/>
  <c r="C20" i="45"/>
  <c r="C21" i="45"/>
  <c r="C22" i="45"/>
  <c r="C18" i="45"/>
  <c r="C8" i="45"/>
  <c r="C9" i="45"/>
  <c r="C10" i="45"/>
  <c r="C11" i="45"/>
  <c r="C7" i="45"/>
  <c r="N7" i="1"/>
  <c r="F16" i="49" l="1"/>
  <c r="G16" i="49" s="1"/>
  <c r="F62" i="48"/>
  <c r="G64" i="48"/>
  <c r="H64" i="48"/>
  <c r="F65" i="48"/>
  <c r="F63" i="48"/>
  <c r="H62" i="48"/>
  <c r="G65" i="48"/>
  <c r="G63" i="48"/>
  <c r="H66" i="48"/>
  <c r="H67" i="48"/>
  <c r="H68" i="48"/>
  <c r="F64" i="48"/>
  <c r="G67" i="48"/>
  <c r="G68" i="48"/>
  <c r="G66" i="48"/>
  <c r="F66" i="48"/>
  <c r="F68" i="48"/>
  <c r="F67" i="48"/>
  <c r="G62" i="48"/>
  <c r="H65" i="48"/>
  <c r="H63" i="48"/>
  <c r="C17" i="49"/>
  <c r="E16" i="49"/>
  <c r="L29" i="18" l="1"/>
  <c r="T29" i="18"/>
  <c r="R29" i="18"/>
  <c r="S29" i="18"/>
  <c r="K29" i="18"/>
  <c r="M29" i="18"/>
  <c r="F29" i="18"/>
  <c r="E29" i="18"/>
  <c r="D29" i="18"/>
  <c r="S60" i="18"/>
  <c r="T60" i="18"/>
  <c r="R60" i="18"/>
  <c r="K60" i="18"/>
  <c r="L60" i="18"/>
  <c r="M60" i="18"/>
  <c r="E60" i="18"/>
  <c r="D60" i="18"/>
  <c r="F60" i="18"/>
  <c r="H61" i="48"/>
  <c r="H70" i="48" s="1"/>
  <c r="G61" i="48"/>
  <c r="G70" i="48" s="1"/>
  <c r="F61" i="48"/>
  <c r="F70" i="48" s="1"/>
  <c r="D17" i="49"/>
  <c r="C18" i="49" s="1"/>
  <c r="D18" i="49" s="1"/>
  <c r="C19" i="49" s="1"/>
  <c r="H49" i="48"/>
  <c r="H47" i="48"/>
  <c r="G51" i="48"/>
  <c r="F48" i="48"/>
  <c r="G48" i="48"/>
  <c r="F51" i="48"/>
  <c r="H50" i="48"/>
  <c r="G47" i="48"/>
  <c r="F47" i="48"/>
  <c r="G50" i="48"/>
  <c r="F50" i="48"/>
  <c r="G49" i="48"/>
  <c r="H48" i="48"/>
  <c r="H51" i="48"/>
  <c r="F49" i="48"/>
  <c r="C34" i="45"/>
  <c r="C33" i="45"/>
  <c r="C32" i="45"/>
  <c r="C31" i="45"/>
  <c r="C30" i="45"/>
  <c r="D19" i="49" l="1"/>
  <c r="C20" i="49" s="1"/>
  <c r="D20" i="49" s="1"/>
  <c r="C21" i="49" s="1"/>
  <c r="F18" i="49"/>
  <c r="F17" i="49"/>
  <c r="E18" i="49"/>
  <c r="E17" i="49"/>
  <c r="G53" i="48"/>
  <c r="H53" i="48"/>
  <c r="F53" i="48"/>
  <c r="DO11" i="7"/>
  <c r="DO12" i="7"/>
  <c r="DO13" i="7"/>
  <c r="DO14" i="7"/>
  <c r="DO15" i="7"/>
  <c r="DO19" i="7"/>
  <c r="DO20" i="7"/>
  <c r="DO21" i="7"/>
  <c r="DO22" i="7"/>
  <c r="DO23" i="7"/>
  <c r="DO24" i="7"/>
  <c r="DO25" i="7"/>
  <c r="DO26" i="7"/>
  <c r="DO27" i="7"/>
  <c r="DO28" i="7"/>
  <c r="DO29" i="7"/>
  <c r="DO30" i="7"/>
  <c r="DO31" i="7"/>
  <c r="DO32" i="7"/>
  <c r="DO33" i="7"/>
  <c r="DO34" i="7"/>
  <c r="DO35" i="7"/>
  <c r="DO36" i="7"/>
  <c r="DO37" i="7"/>
  <c r="DO38" i="7"/>
  <c r="DO39" i="7"/>
  <c r="DO10" i="7"/>
  <c r="E19" i="49" l="1"/>
  <c r="F19" i="49"/>
  <c r="G19" i="49" s="1"/>
  <c r="F20" i="49"/>
  <c r="G17" i="49"/>
  <c r="G18" i="49"/>
  <c r="E20" i="49"/>
  <c r="D21" i="49"/>
  <c r="C22" i="49" s="1"/>
  <c r="E10" i="4"/>
  <c r="N9" i="1" s="1"/>
  <c r="DM11" i="7"/>
  <c r="C10" i="8"/>
  <c r="C11" i="8" s="1"/>
  <c r="C12" i="8" s="1"/>
  <c r="C13" i="8" s="1"/>
  <c r="C14" i="8" s="1"/>
  <c r="C15" i="8" s="1"/>
  <c r="C16" i="8" s="1"/>
  <c r="C17" i="8" s="1"/>
  <c r="C18" i="8" s="1"/>
  <c r="E12" i="4"/>
  <c r="E6" i="4"/>
  <c r="DM15" i="7"/>
  <c r="DM19" i="7"/>
  <c r="DM20" i="7"/>
  <c r="DM21" i="7"/>
  <c r="DM22" i="7"/>
  <c r="DM23" i="7"/>
  <c r="DM24" i="7"/>
  <c r="DM25" i="7"/>
  <c r="DM26" i="7"/>
  <c r="DM27" i="7"/>
  <c r="DM28" i="7"/>
  <c r="DM29" i="7"/>
  <c r="DM30" i="7"/>
  <c r="DM31" i="7"/>
  <c r="DM32" i="7"/>
  <c r="DM33" i="7"/>
  <c r="DM34" i="7"/>
  <c r="DM35" i="7"/>
  <c r="DM36" i="7"/>
  <c r="DM37" i="7"/>
  <c r="DM38" i="7"/>
  <c r="DM39" i="7"/>
  <c r="DM10" i="7"/>
  <c r="G20" i="49" l="1"/>
  <c r="F21" i="49"/>
  <c r="G21" i="49" s="1"/>
  <c r="E21" i="49"/>
  <c r="D22" i="49"/>
  <c r="C23" i="49" s="1"/>
  <c r="DP23" i="7"/>
  <c r="DP29" i="7"/>
  <c r="DP35" i="7"/>
  <c r="C15" i="19"/>
  <c r="D15" i="19" s="1"/>
  <c r="C9" i="19"/>
  <c r="F9" i="19" s="1"/>
  <c r="C10" i="17"/>
  <c r="E10" i="17" s="1"/>
  <c r="C11" i="17"/>
  <c r="E11" i="17" s="1"/>
  <c r="C12" i="17"/>
  <c r="E12" i="17" s="1"/>
  <c r="C13" i="17"/>
  <c r="E13" i="17" s="1"/>
  <c r="C14" i="17"/>
  <c r="E14" i="17" s="1"/>
  <c r="C15" i="17"/>
  <c r="E15" i="17" s="1"/>
  <c r="C16" i="17"/>
  <c r="E16" i="17" s="1"/>
  <c r="C17" i="17"/>
  <c r="E17" i="17" s="1"/>
  <c r="C18" i="17"/>
  <c r="C19" i="17"/>
  <c r="C20" i="17"/>
  <c r="C21" i="17"/>
  <c r="C22" i="17"/>
  <c r="C23" i="17"/>
  <c r="C24" i="17"/>
  <c r="C25" i="17"/>
  <c r="C26" i="17"/>
  <c r="C27" i="17"/>
  <c r="C28" i="17"/>
  <c r="C29" i="17"/>
  <c r="C30" i="17"/>
  <c r="C31" i="17"/>
  <c r="C32" i="17"/>
  <c r="C33" i="17"/>
  <c r="C34" i="17"/>
  <c r="C35" i="17"/>
  <c r="C36" i="17"/>
  <c r="C37" i="17"/>
  <c r="C38" i="17"/>
  <c r="C9" i="17"/>
  <c r="E9" i="17" s="1"/>
  <c r="C10" i="16"/>
  <c r="C11" i="16"/>
  <c r="E11" i="16" s="1"/>
  <c r="C12" i="16"/>
  <c r="C13" i="16"/>
  <c r="E13" i="16" s="1"/>
  <c r="C14" i="16"/>
  <c r="E14" i="16" s="1"/>
  <c r="C15" i="16"/>
  <c r="C16" i="16"/>
  <c r="C17" i="16"/>
  <c r="C18" i="16"/>
  <c r="CI18" i="16" s="1"/>
  <c r="C19" i="16"/>
  <c r="CC19" i="16" s="1"/>
  <c r="C20" i="16"/>
  <c r="C21" i="16"/>
  <c r="C22" i="16"/>
  <c r="E22" i="16" s="1"/>
  <c r="C23" i="16"/>
  <c r="AJ23" i="16" s="1"/>
  <c r="C24" i="16"/>
  <c r="C25" i="16"/>
  <c r="E25" i="16" s="1"/>
  <c r="C26" i="16"/>
  <c r="C27" i="16"/>
  <c r="E27" i="16" s="1"/>
  <c r="C28" i="16"/>
  <c r="C29" i="16"/>
  <c r="C30" i="16"/>
  <c r="H30" i="16" s="1"/>
  <c r="C31" i="16"/>
  <c r="C32" i="16"/>
  <c r="CL32" i="16" s="1"/>
  <c r="C33" i="16"/>
  <c r="C34" i="16"/>
  <c r="C35" i="16"/>
  <c r="AN35" i="16" s="1"/>
  <c r="C36" i="16"/>
  <c r="C37" i="16"/>
  <c r="AC37" i="16" s="1"/>
  <c r="C38" i="16"/>
  <c r="E38" i="16" s="1"/>
  <c r="C9" i="16"/>
  <c r="C10" i="15"/>
  <c r="D10" i="15" s="1"/>
  <c r="C11" i="15"/>
  <c r="C12" i="15"/>
  <c r="C13" i="15"/>
  <c r="D13" i="15" s="1"/>
  <c r="C14" i="15"/>
  <c r="C15" i="15"/>
  <c r="C16" i="15"/>
  <c r="C17" i="15"/>
  <c r="C18" i="15"/>
  <c r="BL18" i="15" s="1"/>
  <c r="C19" i="15"/>
  <c r="F19" i="15" s="1"/>
  <c r="C20" i="15"/>
  <c r="D20" i="15" s="1"/>
  <c r="C21" i="15"/>
  <c r="AP21" i="15" s="1"/>
  <c r="C22" i="15"/>
  <c r="D22" i="15" s="1"/>
  <c r="C23" i="15"/>
  <c r="AE23" i="15" s="1"/>
  <c r="C24" i="15"/>
  <c r="D24" i="15" s="1"/>
  <c r="C25" i="15"/>
  <c r="C26" i="15"/>
  <c r="C27" i="15"/>
  <c r="N27" i="15" s="1"/>
  <c r="C28" i="15"/>
  <c r="C29" i="15"/>
  <c r="U29" i="15" s="1"/>
  <c r="C30" i="15"/>
  <c r="C31" i="15"/>
  <c r="AC31" i="15" s="1"/>
  <c r="C32" i="15"/>
  <c r="BL32" i="15" s="1"/>
  <c r="C33" i="15"/>
  <c r="C34" i="15"/>
  <c r="P34" i="15" s="1"/>
  <c r="C35" i="15"/>
  <c r="BR35" i="15" s="1"/>
  <c r="C36" i="15"/>
  <c r="AB36" i="15" s="1"/>
  <c r="C37" i="15"/>
  <c r="AZ37" i="15" s="1"/>
  <c r="C38" i="15"/>
  <c r="C9" i="15"/>
  <c r="C10" i="14"/>
  <c r="C11" i="14"/>
  <c r="E11" i="14" s="1"/>
  <c r="C12" i="14"/>
  <c r="C13" i="14"/>
  <c r="E13" i="14" s="1"/>
  <c r="C14" i="14"/>
  <c r="E14" i="14" s="1"/>
  <c r="C15" i="14"/>
  <c r="C16" i="14"/>
  <c r="C17" i="14"/>
  <c r="C18" i="14"/>
  <c r="C19" i="14"/>
  <c r="C20" i="14"/>
  <c r="AV20" i="14" s="1"/>
  <c r="C21" i="14"/>
  <c r="AV21" i="14" s="1"/>
  <c r="C22" i="14"/>
  <c r="BJ22" i="14" s="1"/>
  <c r="C23" i="14"/>
  <c r="C24" i="14"/>
  <c r="C25" i="14"/>
  <c r="C26" i="14"/>
  <c r="C27" i="14"/>
  <c r="C28" i="14"/>
  <c r="C29" i="14"/>
  <c r="C30" i="14"/>
  <c r="E30" i="14" s="1"/>
  <c r="C31" i="14"/>
  <c r="E31" i="14" s="1"/>
  <c r="C32" i="14"/>
  <c r="C33" i="14"/>
  <c r="C34" i="14"/>
  <c r="C35" i="14"/>
  <c r="E35" i="14" s="1"/>
  <c r="C36" i="14"/>
  <c r="C37" i="14"/>
  <c r="C38" i="14"/>
  <c r="C9" i="14"/>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9" i="13"/>
  <c r="E32" i="17" l="1"/>
  <c r="T32" i="17"/>
  <c r="AB32" i="17"/>
  <c r="AJ32" i="17"/>
  <c r="AR32" i="17"/>
  <c r="AZ32" i="17"/>
  <c r="BH32" i="17"/>
  <c r="BP32" i="17"/>
  <c r="BX32" i="17"/>
  <c r="CF32" i="17"/>
  <c r="CN32" i="17"/>
  <c r="CV32" i="17"/>
  <c r="U32" i="17"/>
  <c r="AC32" i="17"/>
  <c r="AK32" i="17"/>
  <c r="AS32" i="17"/>
  <c r="BA32" i="17"/>
  <c r="BI32" i="17"/>
  <c r="BQ32" i="17"/>
  <c r="BY32" i="17"/>
  <c r="CG32" i="17"/>
  <c r="CO32" i="17"/>
  <c r="CW32" i="17"/>
  <c r="N32" i="17"/>
  <c r="V32" i="17"/>
  <c r="AD32" i="17"/>
  <c r="AL32" i="17"/>
  <c r="AT32" i="17"/>
  <c r="BB32" i="17"/>
  <c r="BJ32" i="17"/>
  <c r="BR32" i="17"/>
  <c r="BZ32" i="17"/>
  <c r="CH32" i="17"/>
  <c r="CP32" i="17"/>
  <c r="CX32" i="17"/>
  <c r="O32" i="17"/>
  <c r="W32" i="17"/>
  <c r="AE32" i="17"/>
  <c r="AM32" i="17"/>
  <c r="AU32" i="17"/>
  <c r="BC32" i="17"/>
  <c r="P32" i="17"/>
  <c r="X32" i="17"/>
  <c r="AF32" i="17"/>
  <c r="AN32" i="17"/>
  <c r="AV32" i="17"/>
  <c r="BD32" i="17"/>
  <c r="BL32" i="17"/>
  <c r="BT32" i="17"/>
  <c r="CB32" i="17"/>
  <c r="CJ32" i="17"/>
  <c r="CR32" i="17"/>
  <c r="Y32" i="17"/>
  <c r="AQ32" i="17"/>
  <c r="BM32" i="17"/>
  <c r="CC32" i="17"/>
  <c r="CS32" i="17"/>
  <c r="M32" i="17"/>
  <c r="AG32" i="17"/>
  <c r="CK32" i="17"/>
  <c r="BK32" i="17"/>
  <c r="Z32" i="17"/>
  <c r="AW32" i="17"/>
  <c r="BN32" i="17"/>
  <c r="CD32" i="17"/>
  <c r="CT32" i="17"/>
  <c r="BU32" i="17"/>
  <c r="AA32" i="17"/>
  <c r="AX32" i="17"/>
  <c r="BO32" i="17"/>
  <c r="CE32" i="17"/>
  <c r="CU32" i="17"/>
  <c r="BE32" i="17"/>
  <c r="AP32" i="17"/>
  <c r="AY32" i="17"/>
  <c r="BS32" i="17"/>
  <c r="CI32" i="17"/>
  <c r="AH32" i="17"/>
  <c r="CA32" i="17"/>
  <c r="Q32" i="17"/>
  <c r="AI32" i="17"/>
  <c r="BF32" i="17"/>
  <c r="BV32" i="17"/>
  <c r="CL32" i="17"/>
  <c r="R32" i="17"/>
  <c r="AO32" i="17"/>
  <c r="BG32" i="17"/>
  <c r="BW32" i="17"/>
  <c r="CM32" i="17"/>
  <c r="S32" i="17"/>
  <c r="CQ32" i="17"/>
  <c r="E24" i="17"/>
  <c r="Q24" i="17"/>
  <c r="Y24" i="17"/>
  <c r="AG24" i="17"/>
  <c r="AO24" i="17"/>
  <c r="AW24" i="17"/>
  <c r="BE24" i="17"/>
  <c r="BM24" i="17"/>
  <c r="BU24" i="17"/>
  <c r="CC24" i="17"/>
  <c r="CK24" i="17"/>
  <c r="CS24" i="17"/>
  <c r="R24" i="17"/>
  <c r="Z24" i="17"/>
  <c r="AH24" i="17"/>
  <c r="AP24" i="17"/>
  <c r="AX24" i="17"/>
  <c r="BF24" i="17"/>
  <c r="BN24" i="17"/>
  <c r="BV24" i="17"/>
  <c r="CD24" i="17"/>
  <c r="CL24" i="17"/>
  <c r="CT24" i="17"/>
  <c r="S24" i="17"/>
  <c r="AA24" i="17"/>
  <c r="AI24" i="17"/>
  <c r="AQ24" i="17"/>
  <c r="AY24" i="17"/>
  <c r="BG24" i="17"/>
  <c r="BO24" i="17"/>
  <c r="BW24" i="17"/>
  <c r="CE24" i="17"/>
  <c r="CM24" i="17"/>
  <c r="CU24" i="17"/>
  <c r="U24" i="17"/>
  <c r="AC24" i="17"/>
  <c r="AK24" i="17"/>
  <c r="AS24" i="17"/>
  <c r="BA24" i="17"/>
  <c r="BI24" i="17"/>
  <c r="BQ24" i="17"/>
  <c r="BY24" i="17"/>
  <c r="CG24" i="17"/>
  <c r="CO24" i="17"/>
  <c r="CW24" i="17"/>
  <c r="N24" i="17"/>
  <c r="V24" i="17"/>
  <c r="AD24" i="17"/>
  <c r="AL24" i="17"/>
  <c r="AT24" i="17"/>
  <c r="BB24" i="17"/>
  <c r="BJ24" i="17"/>
  <c r="BR24" i="17"/>
  <c r="BZ24" i="17"/>
  <c r="CH24" i="17"/>
  <c r="CP24" i="17"/>
  <c r="CX24" i="17"/>
  <c r="O24" i="17"/>
  <c r="W24" i="17"/>
  <c r="AE24" i="17"/>
  <c r="AM24" i="17"/>
  <c r="AU24" i="17"/>
  <c r="BC24" i="17"/>
  <c r="BK24" i="17"/>
  <c r="BS24" i="17"/>
  <c r="CA24" i="17"/>
  <c r="CI24" i="17"/>
  <c r="CQ24" i="17"/>
  <c r="X24" i="17"/>
  <c r="BD24" i="17"/>
  <c r="CJ24" i="17"/>
  <c r="AB24" i="17"/>
  <c r="BH24" i="17"/>
  <c r="CN24" i="17"/>
  <c r="AF24" i="17"/>
  <c r="BL24" i="17"/>
  <c r="CR24" i="17"/>
  <c r="AN24" i="17"/>
  <c r="BT24" i="17"/>
  <c r="AR24" i="17"/>
  <c r="BX24" i="17"/>
  <c r="CF24" i="17"/>
  <c r="P24" i="17"/>
  <c r="CV24" i="17"/>
  <c r="T24" i="17"/>
  <c r="AJ24" i="17"/>
  <c r="AV24" i="17"/>
  <c r="CB24" i="17"/>
  <c r="M24" i="17"/>
  <c r="AZ24" i="17"/>
  <c r="BP24" i="17"/>
  <c r="E34" i="17"/>
  <c r="R34" i="17"/>
  <c r="Z34" i="17"/>
  <c r="AH34" i="17"/>
  <c r="AP34" i="17"/>
  <c r="AX34" i="17"/>
  <c r="BF34" i="17"/>
  <c r="BN34" i="17"/>
  <c r="BV34" i="17"/>
  <c r="CD34" i="17"/>
  <c r="CL34" i="17"/>
  <c r="CT34" i="17"/>
  <c r="S34" i="17"/>
  <c r="AA34" i="17"/>
  <c r="AI34" i="17"/>
  <c r="AQ34" i="17"/>
  <c r="AY34" i="17"/>
  <c r="BG34" i="17"/>
  <c r="BO34" i="17"/>
  <c r="BW34" i="17"/>
  <c r="CE34" i="17"/>
  <c r="CM34" i="17"/>
  <c r="CU34" i="17"/>
  <c r="T34" i="17"/>
  <c r="AB34" i="17"/>
  <c r="AJ34" i="17"/>
  <c r="AR34" i="17"/>
  <c r="AZ34" i="17"/>
  <c r="BH34" i="17"/>
  <c r="BP34" i="17"/>
  <c r="BX34" i="17"/>
  <c r="CF34" i="17"/>
  <c r="CN34" i="17"/>
  <c r="CV34" i="17"/>
  <c r="N34" i="17"/>
  <c r="V34" i="17"/>
  <c r="AD34" i="17"/>
  <c r="AL34" i="17"/>
  <c r="AT34" i="17"/>
  <c r="BB34" i="17"/>
  <c r="BJ34" i="17"/>
  <c r="BR34" i="17"/>
  <c r="BZ34" i="17"/>
  <c r="CH34" i="17"/>
  <c r="CP34" i="17"/>
  <c r="CX34" i="17"/>
  <c r="O34" i="17"/>
  <c r="AE34" i="17"/>
  <c r="AU34" i="17"/>
  <c r="BK34" i="17"/>
  <c r="CA34" i="17"/>
  <c r="CQ34" i="17"/>
  <c r="U34" i="17"/>
  <c r="BC34" i="17"/>
  <c r="AS34" i="17"/>
  <c r="P34" i="17"/>
  <c r="AF34" i="17"/>
  <c r="AV34" i="17"/>
  <c r="BL34" i="17"/>
  <c r="CB34" i="17"/>
  <c r="CR34" i="17"/>
  <c r="BQ34" i="17"/>
  <c r="AM34" i="17"/>
  <c r="BY34" i="17"/>
  <c r="Q34" i="17"/>
  <c r="AG34" i="17"/>
  <c r="AW34" i="17"/>
  <c r="BM34" i="17"/>
  <c r="CC34" i="17"/>
  <c r="CS34" i="17"/>
  <c r="M34" i="17"/>
  <c r="BA34" i="17"/>
  <c r="CG34" i="17"/>
  <c r="BS34" i="17"/>
  <c r="BI34" i="17"/>
  <c r="AK34" i="17"/>
  <c r="CW34" i="17"/>
  <c r="W34" i="17"/>
  <c r="CI34" i="17"/>
  <c r="AC34" i="17"/>
  <c r="X34" i="17"/>
  <c r="AN34" i="17"/>
  <c r="BD34" i="17"/>
  <c r="BT34" i="17"/>
  <c r="CJ34" i="17"/>
  <c r="Y34" i="17"/>
  <c r="AO34" i="17"/>
  <c r="BE34" i="17"/>
  <c r="BU34" i="17"/>
  <c r="CK34" i="17"/>
  <c r="CO34" i="17"/>
  <c r="E26" i="17"/>
  <c r="T26" i="17"/>
  <c r="AB26" i="17"/>
  <c r="AJ26" i="17"/>
  <c r="AR26" i="17"/>
  <c r="AZ26" i="17"/>
  <c r="BH26" i="17"/>
  <c r="BP26" i="17"/>
  <c r="BX26" i="17"/>
  <c r="CF26" i="17"/>
  <c r="CN26" i="17"/>
  <c r="CV26" i="17"/>
  <c r="U26" i="17"/>
  <c r="AC26" i="17"/>
  <c r="AK26" i="17"/>
  <c r="AS26" i="17"/>
  <c r="BA26" i="17"/>
  <c r="BI26" i="17"/>
  <c r="BQ26" i="17"/>
  <c r="BY26" i="17"/>
  <c r="CG26" i="17"/>
  <c r="CO26" i="17"/>
  <c r="CW26" i="17"/>
  <c r="N26" i="17"/>
  <c r="V26" i="17"/>
  <c r="AD26" i="17"/>
  <c r="AL26" i="17"/>
  <c r="AT26" i="17"/>
  <c r="BB26" i="17"/>
  <c r="BJ26" i="17"/>
  <c r="BR26" i="17"/>
  <c r="BZ26" i="17"/>
  <c r="CH26" i="17"/>
  <c r="CP26" i="17"/>
  <c r="CX26" i="17"/>
  <c r="P26" i="17"/>
  <c r="X26" i="17"/>
  <c r="AF26" i="17"/>
  <c r="AN26" i="17"/>
  <c r="AV26" i="17"/>
  <c r="BD26" i="17"/>
  <c r="BL26" i="17"/>
  <c r="BT26" i="17"/>
  <c r="CB26" i="17"/>
  <c r="CJ26" i="17"/>
  <c r="CR26" i="17"/>
  <c r="Q26" i="17"/>
  <c r="Y26" i="17"/>
  <c r="AG26" i="17"/>
  <c r="AO26" i="17"/>
  <c r="AW26" i="17"/>
  <c r="BE26" i="17"/>
  <c r="BM26" i="17"/>
  <c r="BU26" i="17"/>
  <c r="CC26" i="17"/>
  <c r="CK26" i="17"/>
  <c r="CS26" i="17"/>
  <c r="AA26" i="17"/>
  <c r="AX26" i="17"/>
  <c r="BS26" i="17"/>
  <c r="CM26" i="17"/>
  <c r="AE26" i="17"/>
  <c r="AY26" i="17"/>
  <c r="BV26" i="17"/>
  <c r="CQ26" i="17"/>
  <c r="AH26" i="17"/>
  <c r="BC26" i="17"/>
  <c r="BW26" i="17"/>
  <c r="CT26" i="17"/>
  <c r="O26" i="17"/>
  <c r="AI26" i="17"/>
  <c r="BF26" i="17"/>
  <c r="CA26" i="17"/>
  <c r="CU26" i="17"/>
  <c r="R26" i="17"/>
  <c r="AM26" i="17"/>
  <c r="BG26" i="17"/>
  <c r="CD26" i="17"/>
  <c r="Z26" i="17"/>
  <c r="AU26" i="17"/>
  <c r="BO26" i="17"/>
  <c r="CL26" i="17"/>
  <c r="CE26" i="17"/>
  <c r="CI26" i="17"/>
  <c r="BN26" i="17"/>
  <c r="S26" i="17"/>
  <c r="M26" i="17"/>
  <c r="W26" i="17"/>
  <c r="AP26" i="17"/>
  <c r="AQ26" i="17"/>
  <c r="BK26" i="17"/>
  <c r="E25" i="17"/>
  <c r="P25" i="17"/>
  <c r="X25" i="17"/>
  <c r="AF25" i="17"/>
  <c r="AN25" i="17"/>
  <c r="AV25" i="17"/>
  <c r="BD25" i="17"/>
  <c r="BL25" i="17"/>
  <c r="Q25" i="17"/>
  <c r="Y25" i="17"/>
  <c r="AG25" i="17"/>
  <c r="AO25" i="17"/>
  <c r="AW25" i="17"/>
  <c r="BE25" i="17"/>
  <c r="BM25" i="17"/>
  <c r="R25" i="17"/>
  <c r="Z25" i="17"/>
  <c r="AH25" i="17"/>
  <c r="AP25" i="17"/>
  <c r="AX25" i="17"/>
  <c r="BF25" i="17"/>
  <c r="BN25" i="17"/>
  <c r="T25" i="17"/>
  <c r="AB25" i="17"/>
  <c r="AJ25" i="17"/>
  <c r="AR25" i="17"/>
  <c r="AZ25" i="17"/>
  <c r="BH25" i="17"/>
  <c r="BP25" i="17"/>
  <c r="U25" i="17"/>
  <c r="AC25" i="17"/>
  <c r="AK25" i="17"/>
  <c r="AS25" i="17"/>
  <c r="BA25" i="17"/>
  <c r="BI25" i="17"/>
  <c r="BQ25" i="17"/>
  <c r="N25" i="17"/>
  <c r="V25" i="17"/>
  <c r="AD25" i="17"/>
  <c r="AL25" i="17"/>
  <c r="AT25" i="17"/>
  <c r="BB25" i="17"/>
  <c r="BJ25" i="17"/>
  <c r="BR25" i="17"/>
  <c r="AE25" i="17"/>
  <c r="BK25" i="17"/>
  <c r="BY25" i="17"/>
  <c r="CG25" i="17"/>
  <c r="CO25" i="17"/>
  <c r="CW25" i="17"/>
  <c r="AI25" i="17"/>
  <c r="BO25" i="17"/>
  <c r="BZ25" i="17"/>
  <c r="CH25" i="17"/>
  <c r="CP25" i="17"/>
  <c r="CX25" i="17"/>
  <c r="AM25" i="17"/>
  <c r="BS25" i="17"/>
  <c r="CA25" i="17"/>
  <c r="CI25" i="17"/>
  <c r="CQ25" i="17"/>
  <c r="O25" i="17"/>
  <c r="AU25" i="17"/>
  <c r="BU25" i="17"/>
  <c r="CC25" i="17"/>
  <c r="CK25" i="17"/>
  <c r="CS25" i="17"/>
  <c r="S25" i="17"/>
  <c r="AY25" i="17"/>
  <c r="BV25" i="17"/>
  <c r="CD25" i="17"/>
  <c r="CL25" i="17"/>
  <c r="CT25" i="17"/>
  <c r="BW25" i="17"/>
  <c r="CR25" i="17"/>
  <c r="BX25" i="17"/>
  <c r="CU25" i="17"/>
  <c r="W25" i="17"/>
  <c r="CB25" i="17"/>
  <c r="CV25" i="17"/>
  <c r="AA25" i="17"/>
  <c r="CE25" i="17"/>
  <c r="AQ25" i="17"/>
  <c r="CF25" i="17"/>
  <c r="BT25" i="17"/>
  <c r="CN25" i="17"/>
  <c r="CJ25" i="17"/>
  <c r="BG25" i="17"/>
  <c r="CM25" i="17"/>
  <c r="M25" i="17"/>
  <c r="BC25" i="17"/>
  <c r="E31" i="17"/>
  <c r="O31" i="17"/>
  <c r="W31" i="17"/>
  <c r="AE31" i="17"/>
  <c r="AM31" i="17"/>
  <c r="P31" i="17"/>
  <c r="X31" i="17"/>
  <c r="AF31" i="17"/>
  <c r="AN31" i="17"/>
  <c r="Q31" i="17"/>
  <c r="Y31" i="17"/>
  <c r="AG31" i="17"/>
  <c r="AO31" i="17"/>
  <c r="T31" i="17"/>
  <c r="AH31" i="17"/>
  <c r="AS31" i="17"/>
  <c r="BA31" i="17"/>
  <c r="BI31" i="17"/>
  <c r="BQ31" i="17"/>
  <c r="BY31" i="17"/>
  <c r="CG31" i="17"/>
  <c r="CO31" i="17"/>
  <c r="CW31" i="17"/>
  <c r="U31" i="17"/>
  <c r="AI31" i="17"/>
  <c r="AT31" i="17"/>
  <c r="BB31" i="17"/>
  <c r="BJ31" i="17"/>
  <c r="BR31" i="17"/>
  <c r="BZ31" i="17"/>
  <c r="CH31" i="17"/>
  <c r="CP31" i="17"/>
  <c r="CX31" i="17"/>
  <c r="V31" i="17"/>
  <c r="AJ31" i="17"/>
  <c r="AU31" i="17"/>
  <c r="BC31" i="17"/>
  <c r="BK31" i="17"/>
  <c r="BS31" i="17"/>
  <c r="CA31" i="17"/>
  <c r="CI31" i="17"/>
  <c r="CQ31" i="17"/>
  <c r="Z31" i="17"/>
  <c r="AK31" i="17"/>
  <c r="AV31" i="17"/>
  <c r="BD31" i="17"/>
  <c r="BL31" i="17"/>
  <c r="BT31" i="17"/>
  <c r="CB31" i="17"/>
  <c r="CJ31" i="17"/>
  <c r="CR31" i="17"/>
  <c r="AA31" i="17"/>
  <c r="AL31" i="17"/>
  <c r="AW31" i="17"/>
  <c r="BE31" i="17"/>
  <c r="BM31" i="17"/>
  <c r="BU31" i="17"/>
  <c r="CC31" i="17"/>
  <c r="CK31" i="17"/>
  <c r="CS31" i="17"/>
  <c r="R31" i="17"/>
  <c r="AX31" i="17"/>
  <c r="BP31" i="17"/>
  <c r="CM31" i="17"/>
  <c r="CD31" i="17"/>
  <c r="CV31" i="17"/>
  <c r="N31" i="17"/>
  <c r="S31" i="17"/>
  <c r="AY31" i="17"/>
  <c r="BV31" i="17"/>
  <c r="CN31" i="17"/>
  <c r="BX31" i="17"/>
  <c r="CL31" i="17"/>
  <c r="AB31" i="17"/>
  <c r="AZ31" i="17"/>
  <c r="BW31" i="17"/>
  <c r="CT31" i="17"/>
  <c r="AD31" i="17"/>
  <c r="AC31" i="17"/>
  <c r="BF31" i="17"/>
  <c r="CU31" i="17"/>
  <c r="BG31" i="17"/>
  <c r="BO31" i="17"/>
  <c r="AP31" i="17"/>
  <c r="BH31" i="17"/>
  <c r="CE31" i="17"/>
  <c r="AQ31" i="17"/>
  <c r="BN31" i="17"/>
  <c r="CF31" i="17"/>
  <c r="AR31" i="17"/>
  <c r="M31" i="17"/>
  <c r="E23" i="17"/>
  <c r="R23" i="17"/>
  <c r="Z23" i="17"/>
  <c r="AH23" i="17"/>
  <c r="AP23" i="17"/>
  <c r="AX23" i="17"/>
  <c r="BF23" i="17"/>
  <c r="BN23" i="17"/>
  <c r="BV23" i="17"/>
  <c r="CD23" i="17"/>
  <c r="CL23" i="17"/>
  <c r="CT23" i="17"/>
  <c r="S23" i="17"/>
  <c r="AA23" i="17"/>
  <c r="AI23" i="17"/>
  <c r="AQ23" i="17"/>
  <c r="AY23" i="17"/>
  <c r="BG23" i="17"/>
  <c r="BO23" i="17"/>
  <c r="BW23" i="17"/>
  <c r="CE23" i="17"/>
  <c r="CM23" i="17"/>
  <c r="CU23" i="17"/>
  <c r="T23" i="17"/>
  <c r="AB23" i="17"/>
  <c r="AJ23" i="17"/>
  <c r="AR23" i="17"/>
  <c r="AZ23" i="17"/>
  <c r="BH23" i="17"/>
  <c r="BP23" i="17"/>
  <c r="BX23" i="17"/>
  <c r="CF23" i="17"/>
  <c r="CN23" i="17"/>
  <c r="CV23" i="17"/>
  <c r="N23" i="17"/>
  <c r="V23" i="17"/>
  <c r="AD23" i="17"/>
  <c r="AL23" i="17"/>
  <c r="AT23" i="17"/>
  <c r="BB23" i="17"/>
  <c r="BJ23" i="17"/>
  <c r="BR23" i="17"/>
  <c r="BZ23" i="17"/>
  <c r="CH23" i="17"/>
  <c r="CP23" i="17"/>
  <c r="CX23" i="17"/>
  <c r="O23" i="17"/>
  <c r="W23" i="17"/>
  <c r="AE23" i="17"/>
  <c r="AM23" i="17"/>
  <c r="AU23" i="17"/>
  <c r="BC23" i="17"/>
  <c r="BK23" i="17"/>
  <c r="BS23" i="17"/>
  <c r="CA23" i="17"/>
  <c r="CI23" i="17"/>
  <c r="CQ23" i="17"/>
  <c r="P23" i="17"/>
  <c r="X23" i="17"/>
  <c r="AF23" i="17"/>
  <c r="AN23" i="17"/>
  <c r="AV23" i="17"/>
  <c r="BD23" i="17"/>
  <c r="BL23" i="17"/>
  <c r="BT23" i="17"/>
  <c r="CB23" i="17"/>
  <c r="CJ23" i="17"/>
  <c r="CR23" i="17"/>
  <c r="Q23" i="17"/>
  <c r="AW23" i="17"/>
  <c r="CC23" i="17"/>
  <c r="U23" i="17"/>
  <c r="BA23" i="17"/>
  <c r="CG23" i="17"/>
  <c r="Y23" i="17"/>
  <c r="BE23" i="17"/>
  <c r="CK23" i="17"/>
  <c r="AG23" i="17"/>
  <c r="BM23" i="17"/>
  <c r="CS23" i="17"/>
  <c r="AK23" i="17"/>
  <c r="BQ23" i="17"/>
  <c r="CW23" i="17"/>
  <c r="CO23" i="17"/>
  <c r="AC23" i="17"/>
  <c r="AO23" i="17"/>
  <c r="AS23" i="17"/>
  <c r="BY23" i="17"/>
  <c r="M23" i="17"/>
  <c r="BI23" i="17"/>
  <c r="BU23" i="17"/>
  <c r="E30" i="17"/>
  <c r="P30" i="17"/>
  <c r="X30" i="17"/>
  <c r="AF30" i="17"/>
  <c r="AN30" i="17"/>
  <c r="AV30" i="17"/>
  <c r="BD30" i="17"/>
  <c r="BL30" i="17"/>
  <c r="BT30" i="17"/>
  <c r="CB30" i="17"/>
  <c r="CJ30" i="17"/>
  <c r="CR30" i="17"/>
  <c r="Q30" i="17"/>
  <c r="Y30" i="17"/>
  <c r="AG30" i="17"/>
  <c r="AO30" i="17"/>
  <c r="AW30" i="17"/>
  <c r="BE30" i="17"/>
  <c r="BM30" i="17"/>
  <c r="BU30" i="17"/>
  <c r="CC30" i="17"/>
  <c r="CK30" i="17"/>
  <c r="CS30" i="17"/>
  <c r="R30" i="17"/>
  <c r="Z30" i="17"/>
  <c r="AH30" i="17"/>
  <c r="AP30" i="17"/>
  <c r="AX30" i="17"/>
  <c r="BF30" i="17"/>
  <c r="BN30" i="17"/>
  <c r="BV30" i="17"/>
  <c r="CD30" i="17"/>
  <c r="CL30" i="17"/>
  <c r="CT30" i="17"/>
  <c r="U30" i="17"/>
  <c r="AC30" i="17"/>
  <c r="AK30" i="17"/>
  <c r="AS30" i="17"/>
  <c r="AB30" i="17"/>
  <c r="AR30" i="17"/>
  <c r="BG30" i="17"/>
  <c r="BR30" i="17"/>
  <c r="CF30" i="17"/>
  <c r="CQ30" i="17"/>
  <c r="N30" i="17"/>
  <c r="AD30" i="17"/>
  <c r="AT30" i="17"/>
  <c r="BH30" i="17"/>
  <c r="BS30" i="17"/>
  <c r="CG30" i="17"/>
  <c r="CU30" i="17"/>
  <c r="O30" i="17"/>
  <c r="AE30" i="17"/>
  <c r="AU30" i="17"/>
  <c r="BI30" i="17"/>
  <c r="BW30" i="17"/>
  <c r="CH30" i="17"/>
  <c r="CV30" i="17"/>
  <c r="S30" i="17"/>
  <c r="AI30" i="17"/>
  <c r="AY30" i="17"/>
  <c r="BJ30" i="17"/>
  <c r="BX30" i="17"/>
  <c r="CI30" i="17"/>
  <c r="CW30" i="17"/>
  <c r="T30" i="17"/>
  <c r="AJ30" i="17"/>
  <c r="AZ30" i="17"/>
  <c r="BK30" i="17"/>
  <c r="BY30" i="17"/>
  <c r="CM30" i="17"/>
  <c r="CX30" i="17"/>
  <c r="AL30" i="17"/>
  <c r="BQ30" i="17"/>
  <c r="AM30" i="17"/>
  <c r="BZ30" i="17"/>
  <c r="CN30" i="17"/>
  <c r="BP30" i="17"/>
  <c r="AQ30" i="17"/>
  <c r="CA30" i="17"/>
  <c r="CE30" i="17"/>
  <c r="M30" i="17"/>
  <c r="BA30" i="17"/>
  <c r="AA30" i="17"/>
  <c r="BB30" i="17"/>
  <c r="V30" i="17"/>
  <c r="BC30" i="17"/>
  <c r="CO30" i="17"/>
  <c r="W30" i="17"/>
  <c r="BO30" i="17"/>
  <c r="CP30" i="17"/>
  <c r="E38" i="17"/>
  <c r="U38" i="17"/>
  <c r="AC38" i="17"/>
  <c r="AK38" i="17"/>
  <c r="AS38" i="17"/>
  <c r="BA38" i="17"/>
  <c r="BI38" i="17"/>
  <c r="BQ38" i="17"/>
  <c r="BY38" i="17"/>
  <c r="CG38" i="17"/>
  <c r="CO38" i="17"/>
  <c r="CW38" i="17"/>
  <c r="X38" i="17"/>
  <c r="BD38" i="17"/>
  <c r="CJ38" i="17"/>
  <c r="AG38" i="17"/>
  <c r="BM38" i="17"/>
  <c r="CS38" i="17"/>
  <c r="BG38" i="17"/>
  <c r="CU38" i="17"/>
  <c r="T38" i="17"/>
  <c r="BH38" i="17"/>
  <c r="CV38" i="17"/>
  <c r="N38" i="17"/>
  <c r="V38" i="17"/>
  <c r="AD38" i="17"/>
  <c r="AL38" i="17"/>
  <c r="AT38" i="17"/>
  <c r="BB38" i="17"/>
  <c r="BJ38" i="17"/>
  <c r="BR38" i="17"/>
  <c r="BZ38" i="17"/>
  <c r="CH38" i="17"/>
  <c r="CP38" i="17"/>
  <c r="CX38" i="17"/>
  <c r="AV38" i="17"/>
  <c r="BT38" i="17"/>
  <c r="CR38" i="17"/>
  <c r="AO38" i="17"/>
  <c r="CK38" i="17"/>
  <c r="AA38" i="17"/>
  <c r="BO38" i="17"/>
  <c r="AB38" i="17"/>
  <c r="BX38" i="17"/>
  <c r="O38" i="17"/>
  <c r="W38" i="17"/>
  <c r="AE38" i="17"/>
  <c r="AM38" i="17"/>
  <c r="AU38" i="17"/>
  <c r="BC38" i="17"/>
  <c r="BK38" i="17"/>
  <c r="BS38" i="17"/>
  <c r="CA38" i="17"/>
  <c r="CI38" i="17"/>
  <c r="CQ38" i="17"/>
  <c r="P38" i="17"/>
  <c r="AN38" i="17"/>
  <c r="CB38" i="17"/>
  <c r="Q38" i="17"/>
  <c r="AW38" i="17"/>
  <c r="BU38" i="17"/>
  <c r="AI38" i="17"/>
  <c r="BW38" i="17"/>
  <c r="AZ38" i="17"/>
  <c r="CN38" i="17"/>
  <c r="AF38" i="17"/>
  <c r="BL38" i="17"/>
  <c r="Y38" i="17"/>
  <c r="BE38" i="17"/>
  <c r="CC38" i="17"/>
  <c r="AQ38" i="17"/>
  <c r="CM38" i="17"/>
  <c r="AR38" i="17"/>
  <c r="CF38" i="17"/>
  <c r="R38" i="17"/>
  <c r="Z38" i="17"/>
  <c r="AH38" i="17"/>
  <c r="AP38" i="17"/>
  <c r="AX38" i="17"/>
  <c r="BF38" i="17"/>
  <c r="BN38" i="17"/>
  <c r="BV38" i="17"/>
  <c r="CD38" i="17"/>
  <c r="CL38" i="17"/>
  <c r="CT38" i="17"/>
  <c r="S38" i="17"/>
  <c r="AY38" i="17"/>
  <c r="CE38" i="17"/>
  <c r="M38" i="17"/>
  <c r="AJ38" i="17"/>
  <c r="BP38" i="17"/>
  <c r="E22" i="17"/>
  <c r="S22" i="17"/>
  <c r="AA22" i="17"/>
  <c r="AI22" i="17"/>
  <c r="AQ22" i="17"/>
  <c r="AY22" i="17"/>
  <c r="BG22" i="17"/>
  <c r="BO22" i="17"/>
  <c r="BW22" i="17"/>
  <c r="CE22" i="17"/>
  <c r="CM22" i="17"/>
  <c r="CU22" i="17"/>
  <c r="T22" i="17"/>
  <c r="AB22" i="17"/>
  <c r="AJ22" i="17"/>
  <c r="AR22" i="17"/>
  <c r="AZ22" i="17"/>
  <c r="BH22" i="17"/>
  <c r="BP22" i="17"/>
  <c r="BX22" i="17"/>
  <c r="CF22" i="17"/>
  <c r="CN22" i="17"/>
  <c r="CV22" i="17"/>
  <c r="U22" i="17"/>
  <c r="AC22" i="17"/>
  <c r="AK22" i="17"/>
  <c r="AS22" i="17"/>
  <c r="BA22" i="17"/>
  <c r="BI22" i="17"/>
  <c r="BQ22" i="17"/>
  <c r="BY22" i="17"/>
  <c r="CG22" i="17"/>
  <c r="CO22" i="17"/>
  <c r="CW22" i="17"/>
  <c r="O22" i="17"/>
  <c r="W22" i="17"/>
  <c r="AE22" i="17"/>
  <c r="AM22" i="17"/>
  <c r="AU22" i="17"/>
  <c r="BC22" i="17"/>
  <c r="BK22" i="17"/>
  <c r="BS22" i="17"/>
  <c r="CA22" i="17"/>
  <c r="CI22" i="17"/>
  <c r="CQ22" i="17"/>
  <c r="P22" i="17"/>
  <c r="X22" i="17"/>
  <c r="AF22" i="17"/>
  <c r="AN22" i="17"/>
  <c r="AV22" i="17"/>
  <c r="BD22" i="17"/>
  <c r="BL22" i="17"/>
  <c r="BT22" i="17"/>
  <c r="CB22" i="17"/>
  <c r="CJ22" i="17"/>
  <c r="CR22" i="17"/>
  <c r="Q22" i="17"/>
  <c r="Y22" i="17"/>
  <c r="AG22" i="17"/>
  <c r="AO22" i="17"/>
  <c r="AW22" i="17"/>
  <c r="BE22" i="17"/>
  <c r="BM22" i="17"/>
  <c r="BU22" i="17"/>
  <c r="CC22" i="17"/>
  <c r="CK22" i="17"/>
  <c r="CS22" i="17"/>
  <c r="AP22" i="17"/>
  <c r="BV22" i="17"/>
  <c r="N22" i="17"/>
  <c r="AT22" i="17"/>
  <c r="BZ22" i="17"/>
  <c r="R22" i="17"/>
  <c r="AX22" i="17"/>
  <c r="CD22" i="17"/>
  <c r="Z22" i="17"/>
  <c r="BF22" i="17"/>
  <c r="CL22" i="17"/>
  <c r="AD22" i="17"/>
  <c r="BJ22" i="17"/>
  <c r="CP22" i="17"/>
  <c r="CT22" i="17"/>
  <c r="V22" i="17"/>
  <c r="CX22" i="17"/>
  <c r="AH22" i="17"/>
  <c r="AL22" i="17"/>
  <c r="BB22" i="17"/>
  <c r="CH22" i="17"/>
  <c r="BN22" i="17"/>
  <c r="BR22" i="17"/>
  <c r="M22" i="17"/>
  <c r="E37" i="17"/>
  <c r="O37" i="17"/>
  <c r="W37" i="17"/>
  <c r="AE37" i="17"/>
  <c r="AM37" i="17"/>
  <c r="AU37" i="17"/>
  <c r="BC37" i="17"/>
  <c r="BK37" i="17"/>
  <c r="BS37" i="17"/>
  <c r="CA37" i="17"/>
  <c r="CI37" i="17"/>
  <c r="P37" i="17"/>
  <c r="X37" i="17"/>
  <c r="AF37" i="17"/>
  <c r="AN37" i="17"/>
  <c r="AV37" i="17"/>
  <c r="BD37" i="17"/>
  <c r="BL37" i="17"/>
  <c r="BT37" i="17"/>
  <c r="Q37" i="17"/>
  <c r="Y37" i="17"/>
  <c r="AG37" i="17"/>
  <c r="AO37" i="17"/>
  <c r="AW37" i="17"/>
  <c r="BE37" i="17"/>
  <c r="BM37" i="17"/>
  <c r="BU37" i="17"/>
  <c r="CC37" i="17"/>
  <c r="V37" i="17"/>
  <c r="AJ37" i="17"/>
  <c r="AX37" i="17"/>
  <c r="BI37" i="17"/>
  <c r="BW37" i="17"/>
  <c r="CG37" i="17"/>
  <c r="CP37" i="17"/>
  <c r="CX37" i="17"/>
  <c r="BA37" i="17"/>
  <c r="CK37" i="17"/>
  <c r="BB37" i="17"/>
  <c r="CT37" i="17"/>
  <c r="CN37" i="17"/>
  <c r="BH37" i="17"/>
  <c r="Z37" i="17"/>
  <c r="AK37" i="17"/>
  <c r="AY37" i="17"/>
  <c r="BJ37" i="17"/>
  <c r="BX37" i="17"/>
  <c r="CH37" i="17"/>
  <c r="CQ37" i="17"/>
  <c r="AP37" i="17"/>
  <c r="CS37" i="17"/>
  <c r="R37" i="17"/>
  <c r="CL37" i="17"/>
  <c r="BR37" i="17"/>
  <c r="U37" i="17"/>
  <c r="BV37" i="17"/>
  <c r="AA37" i="17"/>
  <c r="AL37" i="17"/>
  <c r="AZ37" i="17"/>
  <c r="BN37" i="17"/>
  <c r="BY37" i="17"/>
  <c r="CJ37" i="17"/>
  <c r="CR37" i="17"/>
  <c r="AB37" i="17"/>
  <c r="BO37" i="17"/>
  <c r="AC37" i="17"/>
  <c r="BP37" i="17"/>
  <c r="CV37" i="17"/>
  <c r="AI37" i="17"/>
  <c r="CO37" i="17"/>
  <c r="N37" i="17"/>
  <c r="BZ37" i="17"/>
  <c r="AQ37" i="17"/>
  <c r="CB37" i="17"/>
  <c r="CE37" i="17"/>
  <c r="AT37" i="17"/>
  <c r="CW37" i="17"/>
  <c r="S37" i="17"/>
  <c r="AD37" i="17"/>
  <c r="AR37" i="17"/>
  <c r="BF37" i="17"/>
  <c r="BQ37" i="17"/>
  <c r="CD37" i="17"/>
  <c r="CM37" i="17"/>
  <c r="CU37" i="17"/>
  <c r="M37" i="17"/>
  <c r="T37" i="17"/>
  <c r="AH37" i="17"/>
  <c r="AS37" i="17"/>
  <c r="BG37" i="17"/>
  <c r="CF37" i="17"/>
  <c r="E29" i="17"/>
  <c r="Q29" i="17"/>
  <c r="Y29" i="17"/>
  <c r="AG29" i="17"/>
  <c r="AO29" i="17"/>
  <c r="AW29" i="17"/>
  <c r="BE29" i="17"/>
  <c r="BM29" i="17"/>
  <c r="BU29" i="17"/>
  <c r="CC29" i="17"/>
  <c r="CK29" i="17"/>
  <c r="CS29" i="17"/>
  <c r="R29" i="17"/>
  <c r="Z29" i="17"/>
  <c r="AH29" i="17"/>
  <c r="AP29" i="17"/>
  <c r="AX29" i="17"/>
  <c r="BF29" i="17"/>
  <c r="BN29" i="17"/>
  <c r="BV29" i="17"/>
  <c r="CD29" i="17"/>
  <c r="CL29" i="17"/>
  <c r="CT29" i="17"/>
  <c r="S29" i="17"/>
  <c r="AA29" i="17"/>
  <c r="AI29" i="17"/>
  <c r="AQ29" i="17"/>
  <c r="AY29" i="17"/>
  <c r="BG29" i="17"/>
  <c r="BO29" i="17"/>
  <c r="BW29" i="17"/>
  <c r="CE29" i="17"/>
  <c r="CM29" i="17"/>
  <c r="CU29" i="17"/>
  <c r="U29" i="17"/>
  <c r="AC29" i="17"/>
  <c r="AK29" i="17"/>
  <c r="AS29" i="17"/>
  <c r="BA29" i="17"/>
  <c r="BI29" i="17"/>
  <c r="BQ29" i="17"/>
  <c r="BY29" i="17"/>
  <c r="CG29" i="17"/>
  <c r="CO29" i="17"/>
  <c r="N29" i="17"/>
  <c r="V29" i="17"/>
  <c r="AD29" i="17"/>
  <c r="AL29" i="17"/>
  <c r="AT29" i="17"/>
  <c r="BB29" i="17"/>
  <c r="BJ29" i="17"/>
  <c r="BR29" i="17"/>
  <c r="BZ29" i="17"/>
  <c r="CH29" i="17"/>
  <c r="CP29" i="17"/>
  <c r="CX29" i="17"/>
  <c r="P29" i="17"/>
  <c r="AM29" i="17"/>
  <c r="BH29" i="17"/>
  <c r="CB29" i="17"/>
  <c r="CW29" i="17"/>
  <c r="T29" i="17"/>
  <c r="AN29" i="17"/>
  <c r="BK29" i="17"/>
  <c r="CF29" i="17"/>
  <c r="W29" i="17"/>
  <c r="AR29" i="17"/>
  <c r="BL29" i="17"/>
  <c r="CI29" i="17"/>
  <c r="X29" i="17"/>
  <c r="AU29" i="17"/>
  <c r="BP29" i="17"/>
  <c r="CJ29" i="17"/>
  <c r="AB29" i="17"/>
  <c r="AV29" i="17"/>
  <c r="BS29" i="17"/>
  <c r="CN29" i="17"/>
  <c r="O29" i="17"/>
  <c r="AJ29" i="17"/>
  <c r="BD29" i="17"/>
  <c r="CA29" i="17"/>
  <c r="BT29" i="17"/>
  <c r="BX29" i="17"/>
  <c r="CQ29" i="17"/>
  <c r="CR29" i="17"/>
  <c r="AE29" i="17"/>
  <c r="CV29" i="17"/>
  <c r="AF29" i="17"/>
  <c r="M29" i="17"/>
  <c r="AZ29" i="17"/>
  <c r="BC29" i="17"/>
  <c r="E21" i="17"/>
  <c r="T21" i="17"/>
  <c r="AB21" i="17"/>
  <c r="AJ21" i="17"/>
  <c r="AR21" i="17"/>
  <c r="AZ21" i="17"/>
  <c r="BH21" i="17"/>
  <c r="BP21" i="17"/>
  <c r="BX21" i="17"/>
  <c r="CF21" i="17"/>
  <c r="CN21" i="17"/>
  <c r="CV21" i="17"/>
  <c r="U21" i="17"/>
  <c r="AC21" i="17"/>
  <c r="AK21" i="17"/>
  <c r="AS21" i="17"/>
  <c r="BA21" i="17"/>
  <c r="BI21" i="17"/>
  <c r="BQ21" i="17"/>
  <c r="BY21" i="17"/>
  <c r="CG21" i="17"/>
  <c r="CO21" i="17"/>
  <c r="CW21" i="17"/>
  <c r="N21" i="17"/>
  <c r="V21" i="17"/>
  <c r="AD21" i="17"/>
  <c r="AL21" i="17"/>
  <c r="AT21" i="17"/>
  <c r="BB21" i="17"/>
  <c r="BJ21" i="17"/>
  <c r="BR21" i="17"/>
  <c r="BZ21" i="17"/>
  <c r="CH21" i="17"/>
  <c r="CP21" i="17"/>
  <c r="CX21" i="17"/>
  <c r="P21" i="17"/>
  <c r="X21" i="17"/>
  <c r="AF21" i="17"/>
  <c r="AN21" i="17"/>
  <c r="AV21" i="17"/>
  <c r="BD21" i="17"/>
  <c r="BL21" i="17"/>
  <c r="BT21" i="17"/>
  <c r="CB21" i="17"/>
  <c r="CJ21" i="17"/>
  <c r="CR21" i="17"/>
  <c r="Q21" i="17"/>
  <c r="Y21" i="17"/>
  <c r="AG21" i="17"/>
  <c r="AO21" i="17"/>
  <c r="AW21" i="17"/>
  <c r="BE21" i="17"/>
  <c r="BM21" i="17"/>
  <c r="BU21" i="17"/>
  <c r="CC21" i="17"/>
  <c r="CK21" i="17"/>
  <c r="CS21" i="17"/>
  <c r="R21" i="17"/>
  <c r="Z21" i="17"/>
  <c r="AH21" i="17"/>
  <c r="AP21" i="17"/>
  <c r="AX21" i="17"/>
  <c r="BF21" i="17"/>
  <c r="BN21" i="17"/>
  <c r="BV21" i="17"/>
  <c r="CD21" i="17"/>
  <c r="CL21" i="17"/>
  <c r="CT21" i="17"/>
  <c r="AI21" i="17"/>
  <c r="BO21" i="17"/>
  <c r="CU21" i="17"/>
  <c r="AM21" i="17"/>
  <c r="BS21" i="17"/>
  <c r="AQ21" i="17"/>
  <c r="BW21" i="17"/>
  <c r="S21" i="17"/>
  <c r="AY21" i="17"/>
  <c r="CE21" i="17"/>
  <c r="W21" i="17"/>
  <c r="BC21" i="17"/>
  <c r="CI21" i="17"/>
  <c r="O21" i="17"/>
  <c r="CQ21" i="17"/>
  <c r="AA21" i="17"/>
  <c r="AE21" i="17"/>
  <c r="AU21" i="17"/>
  <c r="BG21" i="17"/>
  <c r="CM21" i="17"/>
  <c r="CA21" i="17"/>
  <c r="M21" i="17"/>
  <c r="BK21" i="17"/>
  <c r="E36" i="17"/>
  <c r="P36" i="17"/>
  <c r="X36" i="17"/>
  <c r="AF36" i="17"/>
  <c r="AN36" i="17"/>
  <c r="AV36" i="17"/>
  <c r="BD36" i="17"/>
  <c r="BL36" i="17"/>
  <c r="BT36" i="17"/>
  <c r="CB36" i="17"/>
  <c r="CJ36" i="17"/>
  <c r="CR36" i="17"/>
  <c r="Q36" i="17"/>
  <c r="Y36" i="17"/>
  <c r="AG36" i="17"/>
  <c r="AO36" i="17"/>
  <c r="AW36" i="17"/>
  <c r="BE36" i="17"/>
  <c r="BM36" i="17"/>
  <c r="BU36" i="17"/>
  <c r="CC36" i="17"/>
  <c r="CK36" i="17"/>
  <c r="CS36" i="17"/>
  <c r="R36" i="17"/>
  <c r="Z36" i="17"/>
  <c r="AH36" i="17"/>
  <c r="AP36" i="17"/>
  <c r="AX36" i="17"/>
  <c r="BF36" i="17"/>
  <c r="BN36" i="17"/>
  <c r="BV36" i="17"/>
  <c r="CD36" i="17"/>
  <c r="CL36" i="17"/>
  <c r="CT36" i="17"/>
  <c r="V36" i="17"/>
  <c r="AJ36" i="17"/>
  <c r="AU36" i="17"/>
  <c r="BI36" i="17"/>
  <c r="BW36" i="17"/>
  <c r="CH36" i="17"/>
  <c r="CV36" i="17"/>
  <c r="AM36" i="17"/>
  <c r="CN36" i="17"/>
  <c r="AQ36" i="17"/>
  <c r="CA36" i="17"/>
  <c r="M36" i="17"/>
  <c r="BS36" i="17"/>
  <c r="W36" i="17"/>
  <c r="AK36" i="17"/>
  <c r="AY36" i="17"/>
  <c r="BJ36" i="17"/>
  <c r="BX36" i="17"/>
  <c r="CI36" i="17"/>
  <c r="CW36" i="17"/>
  <c r="N36" i="17"/>
  <c r="BO36" i="17"/>
  <c r="BB36" i="17"/>
  <c r="AI36" i="17"/>
  <c r="AA36" i="17"/>
  <c r="AL36" i="17"/>
  <c r="AZ36" i="17"/>
  <c r="BK36" i="17"/>
  <c r="BY36" i="17"/>
  <c r="CM36" i="17"/>
  <c r="CX36" i="17"/>
  <c r="AB36" i="17"/>
  <c r="BZ36" i="17"/>
  <c r="O36" i="17"/>
  <c r="BP36" i="17"/>
  <c r="BH36" i="17"/>
  <c r="BA36" i="17"/>
  <c r="AC36" i="17"/>
  <c r="CO36" i="17"/>
  <c r="U36" i="17"/>
  <c r="CG36" i="17"/>
  <c r="S36" i="17"/>
  <c r="AD36" i="17"/>
  <c r="AR36" i="17"/>
  <c r="BC36" i="17"/>
  <c r="BQ36" i="17"/>
  <c r="CE36" i="17"/>
  <c r="CP36" i="17"/>
  <c r="T36" i="17"/>
  <c r="AE36" i="17"/>
  <c r="AS36" i="17"/>
  <c r="BG36" i="17"/>
  <c r="BR36" i="17"/>
  <c r="CF36" i="17"/>
  <c r="CQ36" i="17"/>
  <c r="AT36" i="17"/>
  <c r="CU36" i="17"/>
  <c r="E28" i="17"/>
  <c r="R28" i="17"/>
  <c r="Z28" i="17"/>
  <c r="AH28" i="17"/>
  <c r="AP28" i="17"/>
  <c r="AX28" i="17"/>
  <c r="BF28" i="17"/>
  <c r="BN28" i="17"/>
  <c r="BV28" i="17"/>
  <c r="CD28" i="17"/>
  <c r="CL28" i="17"/>
  <c r="CT28" i="17"/>
  <c r="S28" i="17"/>
  <c r="AA28" i="17"/>
  <c r="AI28" i="17"/>
  <c r="AQ28" i="17"/>
  <c r="AY28" i="17"/>
  <c r="BG28" i="17"/>
  <c r="BO28" i="17"/>
  <c r="BW28" i="17"/>
  <c r="CE28" i="17"/>
  <c r="CM28" i="17"/>
  <c r="CU28" i="17"/>
  <c r="T28" i="17"/>
  <c r="AB28" i="17"/>
  <c r="AJ28" i="17"/>
  <c r="AR28" i="17"/>
  <c r="AZ28" i="17"/>
  <c r="BH28" i="17"/>
  <c r="BP28" i="17"/>
  <c r="BX28" i="17"/>
  <c r="CF28" i="17"/>
  <c r="CN28" i="17"/>
  <c r="CV28" i="17"/>
  <c r="N28" i="17"/>
  <c r="V28" i="17"/>
  <c r="AD28" i="17"/>
  <c r="AL28" i="17"/>
  <c r="AT28" i="17"/>
  <c r="BB28" i="17"/>
  <c r="BJ28" i="17"/>
  <c r="BR28" i="17"/>
  <c r="BZ28" i="17"/>
  <c r="CH28" i="17"/>
  <c r="CP28" i="17"/>
  <c r="CX28" i="17"/>
  <c r="O28" i="17"/>
  <c r="W28" i="17"/>
  <c r="AE28" i="17"/>
  <c r="AM28" i="17"/>
  <c r="AU28" i="17"/>
  <c r="BC28" i="17"/>
  <c r="BK28" i="17"/>
  <c r="BS28" i="17"/>
  <c r="CA28" i="17"/>
  <c r="CI28" i="17"/>
  <c r="CQ28" i="17"/>
  <c r="U28" i="17"/>
  <c r="AO28" i="17"/>
  <c r="BL28" i="17"/>
  <c r="CG28" i="17"/>
  <c r="X28" i="17"/>
  <c r="AS28" i="17"/>
  <c r="BM28" i="17"/>
  <c r="CJ28" i="17"/>
  <c r="Y28" i="17"/>
  <c r="AV28" i="17"/>
  <c r="BQ28" i="17"/>
  <c r="CK28" i="17"/>
  <c r="AC28" i="17"/>
  <c r="AW28" i="17"/>
  <c r="BT28" i="17"/>
  <c r="CO28" i="17"/>
  <c r="AF28" i="17"/>
  <c r="BA28" i="17"/>
  <c r="BU28" i="17"/>
  <c r="CR28" i="17"/>
  <c r="Q28" i="17"/>
  <c r="AN28" i="17"/>
  <c r="BI28" i="17"/>
  <c r="CC28" i="17"/>
  <c r="BY28" i="17"/>
  <c r="CB28" i="17"/>
  <c r="CS28" i="17"/>
  <c r="P28" i="17"/>
  <c r="CW28" i="17"/>
  <c r="M28" i="17"/>
  <c r="AG28" i="17"/>
  <c r="AK28" i="17"/>
  <c r="BD28" i="17"/>
  <c r="BE28" i="17"/>
  <c r="E20" i="17"/>
  <c r="U20" i="17"/>
  <c r="AC20" i="17"/>
  <c r="AK20" i="17"/>
  <c r="AS20" i="17"/>
  <c r="BA20" i="17"/>
  <c r="BI20" i="17"/>
  <c r="BQ20" i="17"/>
  <c r="BY20" i="17"/>
  <c r="CG20" i="17"/>
  <c r="CO20" i="17"/>
  <c r="CW20" i="17"/>
  <c r="N20" i="17"/>
  <c r="V20" i="17"/>
  <c r="AD20" i="17"/>
  <c r="AL20" i="17"/>
  <c r="AT20" i="17"/>
  <c r="BB20" i="17"/>
  <c r="BJ20" i="17"/>
  <c r="BR20" i="17"/>
  <c r="BZ20" i="17"/>
  <c r="CH20" i="17"/>
  <c r="CP20" i="17"/>
  <c r="CX20" i="17"/>
  <c r="O20" i="17"/>
  <c r="W20" i="17"/>
  <c r="AE20" i="17"/>
  <c r="AM20" i="17"/>
  <c r="AU20" i="17"/>
  <c r="BC20" i="17"/>
  <c r="BK20" i="17"/>
  <c r="BS20" i="17"/>
  <c r="CA20" i="17"/>
  <c r="CI20" i="17"/>
  <c r="CQ20" i="17"/>
  <c r="Q20" i="17"/>
  <c r="Y20" i="17"/>
  <c r="AG20" i="17"/>
  <c r="AO20" i="17"/>
  <c r="AW20" i="17"/>
  <c r="BE20" i="17"/>
  <c r="BM20" i="17"/>
  <c r="BU20" i="17"/>
  <c r="CC20" i="17"/>
  <c r="CK20" i="17"/>
  <c r="CS20" i="17"/>
  <c r="R20" i="17"/>
  <c r="Z20" i="17"/>
  <c r="AH20" i="17"/>
  <c r="AP20" i="17"/>
  <c r="AX20" i="17"/>
  <c r="BF20" i="17"/>
  <c r="BN20" i="17"/>
  <c r="BV20" i="17"/>
  <c r="CD20" i="17"/>
  <c r="CL20" i="17"/>
  <c r="CT20" i="17"/>
  <c r="S20" i="17"/>
  <c r="AA20" i="17"/>
  <c r="AI20" i="17"/>
  <c r="AQ20" i="17"/>
  <c r="AY20" i="17"/>
  <c r="BG20" i="17"/>
  <c r="BO20" i="17"/>
  <c r="BW20" i="17"/>
  <c r="CE20" i="17"/>
  <c r="CM20" i="17"/>
  <c r="CU20" i="17"/>
  <c r="AB20" i="17"/>
  <c r="BH20" i="17"/>
  <c r="CN20" i="17"/>
  <c r="AF20" i="17"/>
  <c r="BL20" i="17"/>
  <c r="CR20" i="17"/>
  <c r="AJ20" i="17"/>
  <c r="BP20" i="17"/>
  <c r="CV20" i="17"/>
  <c r="AR20" i="17"/>
  <c r="BX20" i="17"/>
  <c r="P20" i="17"/>
  <c r="AV20" i="17"/>
  <c r="CB20" i="17"/>
  <c r="T20" i="17"/>
  <c r="X20" i="17"/>
  <c r="AN20" i="17"/>
  <c r="AZ20" i="17"/>
  <c r="BD20" i="17"/>
  <c r="CJ20" i="17"/>
  <c r="M20" i="17"/>
  <c r="BT20" i="17"/>
  <c r="CF20" i="17"/>
  <c r="E19" i="17"/>
  <c r="N19" i="17"/>
  <c r="V19" i="17"/>
  <c r="AD19" i="17"/>
  <c r="AL19" i="17"/>
  <c r="AT19" i="17"/>
  <c r="BB19" i="17"/>
  <c r="BJ19" i="17"/>
  <c r="BR19" i="17"/>
  <c r="BZ19" i="17"/>
  <c r="CH19" i="17"/>
  <c r="CP19" i="17"/>
  <c r="CX19" i="17"/>
  <c r="O19" i="17"/>
  <c r="W19" i="17"/>
  <c r="AE19" i="17"/>
  <c r="AM19" i="17"/>
  <c r="AU19" i="17"/>
  <c r="BC19" i="17"/>
  <c r="BK19" i="17"/>
  <c r="BS19" i="17"/>
  <c r="CA19" i="17"/>
  <c r="CI19" i="17"/>
  <c r="CQ19" i="17"/>
  <c r="P19" i="17"/>
  <c r="X19" i="17"/>
  <c r="AF19" i="17"/>
  <c r="AN19" i="17"/>
  <c r="AV19" i="17"/>
  <c r="BD19" i="17"/>
  <c r="BL19" i="17"/>
  <c r="BT19" i="17"/>
  <c r="CB19" i="17"/>
  <c r="CJ19" i="17"/>
  <c r="CR19" i="17"/>
  <c r="R19" i="17"/>
  <c r="Z19" i="17"/>
  <c r="AH19" i="17"/>
  <c r="AP19" i="17"/>
  <c r="AX19" i="17"/>
  <c r="BF19" i="17"/>
  <c r="BN19" i="17"/>
  <c r="BV19" i="17"/>
  <c r="CD19" i="17"/>
  <c r="CL19" i="17"/>
  <c r="CT19" i="17"/>
  <c r="S19" i="17"/>
  <c r="AA19" i="17"/>
  <c r="AI19" i="17"/>
  <c r="AQ19" i="17"/>
  <c r="AY19" i="17"/>
  <c r="BG19" i="17"/>
  <c r="BO19" i="17"/>
  <c r="BW19" i="17"/>
  <c r="CE19" i="17"/>
  <c r="CM19" i="17"/>
  <c r="CU19" i="17"/>
  <c r="T19" i="17"/>
  <c r="AB19" i="17"/>
  <c r="AJ19" i="17"/>
  <c r="AR19" i="17"/>
  <c r="AZ19" i="17"/>
  <c r="BH19" i="17"/>
  <c r="BP19" i="17"/>
  <c r="BX19" i="17"/>
  <c r="CF19" i="17"/>
  <c r="CN19" i="17"/>
  <c r="CV19" i="17"/>
  <c r="U19" i="17"/>
  <c r="BA19" i="17"/>
  <c r="CG19" i="17"/>
  <c r="Y19" i="17"/>
  <c r="BE19" i="17"/>
  <c r="CK19" i="17"/>
  <c r="AC19" i="17"/>
  <c r="BI19" i="17"/>
  <c r="CO19" i="17"/>
  <c r="AK19" i="17"/>
  <c r="BQ19" i="17"/>
  <c r="CW19" i="17"/>
  <c r="AO19" i="17"/>
  <c r="BU19" i="17"/>
  <c r="Q19" i="17"/>
  <c r="AG19" i="17"/>
  <c r="AS19" i="17"/>
  <c r="AW19" i="17"/>
  <c r="BM19" i="17"/>
  <c r="CS19" i="17"/>
  <c r="BY19" i="17"/>
  <c r="M19" i="17"/>
  <c r="CC19" i="17"/>
  <c r="E35" i="17"/>
  <c r="Q35" i="17"/>
  <c r="Y35" i="17"/>
  <c r="AG35" i="17"/>
  <c r="AO35" i="17"/>
  <c r="AW35" i="17"/>
  <c r="BE35" i="17"/>
  <c r="BM35" i="17"/>
  <c r="BU35" i="17"/>
  <c r="CC35" i="17"/>
  <c r="CK35" i="17"/>
  <c r="CS35" i="17"/>
  <c r="R35" i="17"/>
  <c r="Z35" i="17"/>
  <c r="AH35" i="17"/>
  <c r="AP35" i="17"/>
  <c r="AX35" i="17"/>
  <c r="BF35" i="17"/>
  <c r="BN35" i="17"/>
  <c r="BV35" i="17"/>
  <c r="CD35" i="17"/>
  <c r="CL35" i="17"/>
  <c r="CT35" i="17"/>
  <c r="S35" i="17"/>
  <c r="AA35" i="17"/>
  <c r="AI35" i="17"/>
  <c r="AQ35" i="17"/>
  <c r="AY35" i="17"/>
  <c r="BG35" i="17"/>
  <c r="BO35" i="17"/>
  <c r="BW35" i="17"/>
  <c r="CE35" i="17"/>
  <c r="CM35" i="17"/>
  <c r="CU35" i="17"/>
  <c r="U35" i="17"/>
  <c r="AC35" i="17"/>
  <c r="AK35" i="17"/>
  <c r="AS35" i="17"/>
  <c r="BA35" i="17"/>
  <c r="BI35" i="17"/>
  <c r="BQ35" i="17"/>
  <c r="BY35" i="17"/>
  <c r="CG35" i="17"/>
  <c r="V35" i="17"/>
  <c r="AL35" i="17"/>
  <c r="BB35" i="17"/>
  <c r="BR35" i="17"/>
  <c r="CH35" i="17"/>
  <c r="CV35" i="17"/>
  <c r="AB35" i="17"/>
  <c r="CN35" i="17"/>
  <c r="M35" i="17"/>
  <c r="AD35" i="17"/>
  <c r="BZ35" i="17"/>
  <c r="T35" i="17"/>
  <c r="CR35" i="17"/>
  <c r="W35" i="17"/>
  <c r="AM35" i="17"/>
  <c r="BC35" i="17"/>
  <c r="BS35" i="17"/>
  <c r="CI35" i="17"/>
  <c r="CW35" i="17"/>
  <c r="BH35" i="17"/>
  <c r="N35" i="17"/>
  <c r="CO35" i="17"/>
  <c r="AZ35" i="17"/>
  <c r="X35" i="17"/>
  <c r="AN35" i="17"/>
  <c r="BD35" i="17"/>
  <c r="BT35" i="17"/>
  <c r="CJ35" i="17"/>
  <c r="CX35" i="17"/>
  <c r="AR35" i="17"/>
  <c r="AT35" i="17"/>
  <c r="CF35" i="17"/>
  <c r="BX35" i="17"/>
  <c r="BJ35" i="17"/>
  <c r="AJ35" i="17"/>
  <c r="O35" i="17"/>
  <c r="AE35" i="17"/>
  <c r="AU35" i="17"/>
  <c r="BK35" i="17"/>
  <c r="CA35" i="17"/>
  <c r="CP35" i="17"/>
  <c r="P35" i="17"/>
  <c r="AF35" i="17"/>
  <c r="AV35" i="17"/>
  <c r="BL35" i="17"/>
  <c r="CB35" i="17"/>
  <c r="CQ35" i="17"/>
  <c r="BP35" i="17"/>
  <c r="E27" i="17"/>
  <c r="S27" i="17"/>
  <c r="AA27" i="17"/>
  <c r="AI27" i="17"/>
  <c r="AQ27" i="17"/>
  <c r="AY27" i="17"/>
  <c r="BG27" i="17"/>
  <c r="BO27" i="17"/>
  <c r="BW27" i="17"/>
  <c r="CE27" i="17"/>
  <c r="CM27" i="17"/>
  <c r="CU27" i="17"/>
  <c r="T27" i="17"/>
  <c r="AB27" i="17"/>
  <c r="AJ27" i="17"/>
  <c r="AR27" i="17"/>
  <c r="AZ27" i="17"/>
  <c r="BH27" i="17"/>
  <c r="BP27" i="17"/>
  <c r="BX27" i="17"/>
  <c r="CF27" i="17"/>
  <c r="CN27" i="17"/>
  <c r="CV27" i="17"/>
  <c r="U27" i="17"/>
  <c r="AC27" i="17"/>
  <c r="AK27" i="17"/>
  <c r="AS27" i="17"/>
  <c r="BA27" i="17"/>
  <c r="BI27" i="17"/>
  <c r="BQ27" i="17"/>
  <c r="BY27" i="17"/>
  <c r="CG27" i="17"/>
  <c r="CO27" i="17"/>
  <c r="CW27" i="17"/>
  <c r="O27" i="17"/>
  <c r="W27" i="17"/>
  <c r="AE27" i="17"/>
  <c r="AM27" i="17"/>
  <c r="AU27" i="17"/>
  <c r="BC27" i="17"/>
  <c r="BK27" i="17"/>
  <c r="BS27" i="17"/>
  <c r="CA27" i="17"/>
  <c r="CI27" i="17"/>
  <c r="CQ27" i="17"/>
  <c r="P27" i="17"/>
  <c r="X27" i="17"/>
  <c r="AF27" i="17"/>
  <c r="AN27" i="17"/>
  <c r="AV27" i="17"/>
  <c r="BD27" i="17"/>
  <c r="BL27" i="17"/>
  <c r="BT27" i="17"/>
  <c r="CB27" i="17"/>
  <c r="CJ27" i="17"/>
  <c r="CR27" i="17"/>
  <c r="Y27" i="17"/>
  <c r="AT27" i="17"/>
  <c r="BN27" i="17"/>
  <c r="CK27" i="17"/>
  <c r="Z27" i="17"/>
  <c r="AW27" i="17"/>
  <c r="BR27" i="17"/>
  <c r="CL27" i="17"/>
  <c r="AD27" i="17"/>
  <c r="AX27" i="17"/>
  <c r="BU27" i="17"/>
  <c r="CP27" i="17"/>
  <c r="AG27" i="17"/>
  <c r="BB27" i="17"/>
  <c r="BV27" i="17"/>
  <c r="CS27" i="17"/>
  <c r="N27" i="17"/>
  <c r="AH27" i="17"/>
  <c r="BE27" i="17"/>
  <c r="BZ27" i="17"/>
  <c r="CT27" i="17"/>
  <c r="V27" i="17"/>
  <c r="AP27" i="17"/>
  <c r="BM27" i="17"/>
  <c r="CH27" i="17"/>
  <c r="CC27" i="17"/>
  <c r="CD27" i="17"/>
  <c r="Q27" i="17"/>
  <c r="CX27" i="17"/>
  <c r="R27" i="17"/>
  <c r="M27" i="17"/>
  <c r="BJ27" i="17"/>
  <c r="AL27" i="17"/>
  <c r="AO27" i="17"/>
  <c r="BF27" i="17"/>
  <c r="E18" i="17"/>
  <c r="O18" i="17"/>
  <c r="W18" i="17"/>
  <c r="AE18" i="17"/>
  <c r="AM18" i="17"/>
  <c r="AU18" i="17"/>
  <c r="BC18" i="17"/>
  <c r="BK18" i="17"/>
  <c r="BS18" i="17"/>
  <c r="CA18" i="17"/>
  <c r="CI18" i="17"/>
  <c r="CQ18" i="17"/>
  <c r="P18" i="17"/>
  <c r="X18" i="17"/>
  <c r="AF18" i="17"/>
  <c r="AN18" i="17"/>
  <c r="AV18" i="17"/>
  <c r="BD18" i="17"/>
  <c r="BL18" i="17"/>
  <c r="BT18" i="17"/>
  <c r="CB18" i="17"/>
  <c r="CJ18" i="17"/>
  <c r="CR18" i="17"/>
  <c r="Q18" i="17"/>
  <c r="Y18" i="17"/>
  <c r="AG18" i="17"/>
  <c r="AO18" i="17"/>
  <c r="AW18" i="17"/>
  <c r="BE18" i="17"/>
  <c r="BM18" i="17"/>
  <c r="BU18" i="17"/>
  <c r="CC18" i="17"/>
  <c r="CK18" i="17"/>
  <c r="CS18" i="17"/>
  <c r="S18" i="17"/>
  <c r="AA18" i="17"/>
  <c r="AI18" i="17"/>
  <c r="AQ18" i="17"/>
  <c r="AY18" i="17"/>
  <c r="BG18" i="17"/>
  <c r="BO18" i="17"/>
  <c r="BW18" i="17"/>
  <c r="CE18" i="17"/>
  <c r="CM18" i="17"/>
  <c r="CU18" i="17"/>
  <c r="T18" i="17"/>
  <c r="AB18" i="17"/>
  <c r="AJ18" i="17"/>
  <c r="AR18" i="17"/>
  <c r="AZ18" i="17"/>
  <c r="BH18" i="17"/>
  <c r="BP18" i="17"/>
  <c r="BX18" i="17"/>
  <c r="CF18" i="17"/>
  <c r="CN18" i="17"/>
  <c r="CV18" i="17"/>
  <c r="U18" i="17"/>
  <c r="AC18" i="17"/>
  <c r="AK18" i="17"/>
  <c r="AS18" i="17"/>
  <c r="BA18" i="17"/>
  <c r="BI18" i="17"/>
  <c r="BQ18" i="17"/>
  <c r="BY18" i="17"/>
  <c r="CG18" i="17"/>
  <c r="CO18" i="17"/>
  <c r="CW18" i="17"/>
  <c r="N18" i="17"/>
  <c r="AT18" i="17"/>
  <c r="BZ18" i="17"/>
  <c r="R18" i="17"/>
  <c r="AX18" i="17"/>
  <c r="CD18" i="17"/>
  <c r="V18" i="17"/>
  <c r="BB18" i="17"/>
  <c r="CH18" i="17"/>
  <c r="AD18" i="17"/>
  <c r="BJ18" i="17"/>
  <c r="CP18" i="17"/>
  <c r="AH18" i="17"/>
  <c r="BN18" i="17"/>
  <c r="CT18" i="17"/>
  <c r="Z18" i="17"/>
  <c r="AL18" i="17"/>
  <c r="AP18" i="17"/>
  <c r="BF18" i="17"/>
  <c r="BR18" i="17"/>
  <c r="CX18" i="17"/>
  <c r="BV18" i="17"/>
  <c r="CL18" i="17"/>
  <c r="M18" i="17"/>
  <c r="E33" i="17"/>
  <c r="S33" i="17"/>
  <c r="AA33" i="17"/>
  <c r="AI33" i="17"/>
  <c r="AQ33" i="17"/>
  <c r="AY33" i="17"/>
  <c r="BG33" i="17"/>
  <c r="BO33" i="17"/>
  <c r="BW33" i="17"/>
  <c r="CE33" i="17"/>
  <c r="CM33" i="17"/>
  <c r="CU33" i="17"/>
  <c r="T33" i="17"/>
  <c r="AB33" i="17"/>
  <c r="AJ33" i="17"/>
  <c r="AR33" i="17"/>
  <c r="AZ33" i="17"/>
  <c r="BH33" i="17"/>
  <c r="BP33" i="17"/>
  <c r="BX33" i="17"/>
  <c r="CF33" i="17"/>
  <c r="CN33" i="17"/>
  <c r="CV33" i="17"/>
  <c r="U33" i="17"/>
  <c r="AC33" i="17"/>
  <c r="AK33" i="17"/>
  <c r="AS33" i="17"/>
  <c r="BA33" i="17"/>
  <c r="BI33" i="17"/>
  <c r="BQ33" i="17"/>
  <c r="BY33" i="17"/>
  <c r="CG33" i="17"/>
  <c r="CO33" i="17"/>
  <c r="CW33" i="17"/>
  <c r="O33" i="17"/>
  <c r="W33" i="17"/>
  <c r="AE33" i="17"/>
  <c r="AM33" i="17"/>
  <c r="AU33" i="17"/>
  <c r="BC33" i="17"/>
  <c r="BK33" i="17"/>
  <c r="BS33" i="17"/>
  <c r="CA33" i="17"/>
  <c r="CI33" i="17"/>
  <c r="CQ33" i="17"/>
  <c r="X33" i="17"/>
  <c r="AN33" i="17"/>
  <c r="BD33" i="17"/>
  <c r="BT33" i="17"/>
  <c r="CJ33" i="17"/>
  <c r="CB33" i="17"/>
  <c r="BB33" i="17"/>
  <c r="Y33" i="17"/>
  <c r="AO33" i="17"/>
  <c r="BE33" i="17"/>
  <c r="BU33" i="17"/>
  <c r="CK33" i="17"/>
  <c r="M33" i="17"/>
  <c r="BZ33" i="17"/>
  <c r="BL33" i="17"/>
  <c r="V33" i="17"/>
  <c r="CX33" i="17"/>
  <c r="Z33" i="17"/>
  <c r="AP33" i="17"/>
  <c r="BF33" i="17"/>
  <c r="BV33" i="17"/>
  <c r="CL33" i="17"/>
  <c r="AD33" i="17"/>
  <c r="BJ33" i="17"/>
  <c r="CP33" i="17"/>
  <c r="AF33" i="17"/>
  <c r="CR33" i="17"/>
  <c r="BR33" i="17"/>
  <c r="N33" i="17"/>
  <c r="AT33" i="17"/>
  <c r="P33" i="17"/>
  <c r="AV33" i="17"/>
  <c r="AL33" i="17"/>
  <c r="Q33" i="17"/>
  <c r="AG33" i="17"/>
  <c r="AW33" i="17"/>
  <c r="BM33" i="17"/>
  <c r="CC33" i="17"/>
  <c r="CS33" i="17"/>
  <c r="R33" i="17"/>
  <c r="AH33" i="17"/>
  <c r="AX33" i="17"/>
  <c r="BN33" i="17"/>
  <c r="CD33" i="17"/>
  <c r="CT33" i="17"/>
  <c r="CH33" i="17"/>
  <c r="J30" i="13"/>
  <c r="P30" i="13"/>
  <c r="T30" i="13"/>
  <c r="X30" i="13"/>
  <c r="AB30" i="13"/>
  <c r="AF30" i="13"/>
  <c r="AJ30" i="13"/>
  <c r="AN30" i="13"/>
  <c r="AR30" i="13"/>
  <c r="AV30" i="13"/>
  <c r="AZ30" i="13"/>
  <c r="BD30" i="13"/>
  <c r="BH30" i="13"/>
  <c r="BL30" i="13"/>
  <c r="BP30" i="13"/>
  <c r="BT30" i="13"/>
  <c r="BX30" i="13"/>
  <c r="CB30" i="13"/>
  <c r="CF30" i="13"/>
  <c r="CJ30" i="13"/>
  <c r="CN30" i="13"/>
  <c r="CR30" i="13"/>
  <c r="CV30" i="13"/>
  <c r="N30" i="13"/>
  <c r="S30" i="13"/>
  <c r="Y30" i="13"/>
  <c r="AD30" i="13"/>
  <c r="AI30" i="13"/>
  <c r="AO30" i="13"/>
  <c r="AT30" i="13"/>
  <c r="AY30" i="13"/>
  <c r="BE30" i="13"/>
  <c r="BJ30" i="13"/>
  <c r="BO30" i="13"/>
  <c r="BU30" i="13"/>
  <c r="BZ30" i="13"/>
  <c r="CE30" i="13"/>
  <c r="CK30" i="13"/>
  <c r="CP30" i="13"/>
  <c r="CU30" i="13"/>
  <c r="O30" i="13"/>
  <c r="U30" i="13"/>
  <c r="Z30" i="13"/>
  <c r="AE30" i="13"/>
  <c r="AK30" i="13"/>
  <c r="AP30" i="13"/>
  <c r="AU30" i="13"/>
  <c r="BA30" i="13"/>
  <c r="BF30" i="13"/>
  <c r="BK30" i="13"/>
  <c r="BQ30" i="13"/>
  <c r="BV30" i="13"/>
  <c r="CA30" i="13"/>
  <c r="CG30" i="13"/>
  <c r="CL30" i="13"/>
  <c r="CQ30" i="13"/>
  <c r="CW30" i="13"/>
  <c r="Q30" i="13"/>
  <c r="V30" i="13"/>
  <c r="AA30" i="13"/>
  <c r="AG30" i="13"/>
  <c r="AL30" i="13"/>
  <c r="AQ30" i="13"/>
  <c r="AW30" i="13"/>
  <c r="BB30" i="13"/>
  <c r="BG30" i="13"/>
  <c r="BM30" i="13"/>
  <c r="BR30" i="13"/>
  <c r="BW30" i="13"/>
  <c r="CC30" i="13"/>
  <c r="CH30" i="13"/>
  <c r="CM30" i="13"/>
  <c r="CS30" i="13"/>
  <c r="CX30" i="13"/>
  <c r="AC30" i="13"/>
  <c r="AX30" i="13"/>
  <c r="BS30" i="13"/>
  <c r="CO30" i="13"/>
  <c r="W30" i="13"/>
  <c r="AS30" i="13"/>
  <c r="BN30" i="13"/>
  <c r="CI30" i="13"/>
  <c r="M30" i="13"/>
  <c r="AH30" i="13"/>
  <c r="BC30" i="13"/>
  <c r="BY30" i="13"/>
  <c r="CT30" i="13"/>
  <c r="R30" i="13"/>
  <c r="AM30" i="13"/>
  <c r="BI30" i="13"/>
  <c r="CD30" i="13"/>
  <c r="O18" i="13"/>
  <c r="S18" i="13"/>
  <c r="W18" i="13"/>
  <c r="AA18" i="13"/>
  <c r="AE18" i="13"/>
  <c r="AI18" i="13"/>
  <c r="AM18" i="13"/>
  <c r="AQ18" i="13"/>
  <c r="AU18" i="13"/>
  <c r="AY18" i="13"/>
  <c r="BC18" i="13"/>
  <c r="BG18" i="13"/>
  <c r="BK18" i="13"/>
  <c r="BO18" i="13"/>
  <c r="BS18" i="13"/>
  <c r="BW18" i="13"/>
  <c r="CA18" i="13"/>
  <c r="CE18" i="13"/>
  <c r="CI18" i="13"/>
  <c r="CM18" i="13"/>
  <c r="CQ18" i="13"/>
  <c r="CU18" i="13"/>
  <c r="J18" i="13"/>
  <c r="P18" i="13"/>
  <c r="T18" i="13"/>
  <c r="X18" i="13"/>
  <c r="M18" i="13"/>
  <c r="Q18" i="13"/>
  <c r="U18" i="13"/>
  <c r="Y18" i="13"/>
  <c r="AC18" i="13"/>
  <c r="AG18" i="13"/>
  <c r="AK18" i="13"/>
  <c r="AO18" i="13"/>
  <c r="AS18" i="13"/>
  <c r="AW18" i="13"/>
  <c r="BA18" i="13"/>
  <c r="BE18" i="13"/>
  <c r="BI18" i="13"/>
  <c r="BM18" i="13"/>
  <c r="BQ18" i="13"/>
  <c r="BU18" i="13"/>
  <c r="BY18" i="13"/>
  <c r="CC18" i="13"/>
  <c r="CG18" i="13"/>
  <c r="CK18" i="13"/>
  <c r="CO18" i="13"/>
  <c r="CS18" i="13"/>
  <c r="CW18" i="13"/>
  <c r="V18" i="13"/>
  <c r="AF18" i="13"/>
  <c r="AN18" i="13"/>
  <c r="AV18" i="13"/>
  <c r="BD18" i="13"/>
  <c r="BL18" i="13"/>
  <c r="BT18" i="13"/>
  <c r="CB18" i="13"/>
  <c r="CJ18" i="13"/>
  <c r="CR18" i="13"/>
  <c r="N18" i="13"/>
  <c r="AB18" i="13"/>
  <c r="AJ18" i="13"/>
  <c r="AR18" i="13"/>
  <c r="AZ18" i="13"/>
  <c r="BH18" i="13"/>
  <c r="BP18" i="13"/>
  <c r="BX18" i="13"/>
  <c r="CF18" i="13"/>
  <c r="CN18" i="13"/>
  <c r="Z18" i="13"/>
  <c r="AP18" i="13"/>
  <c r="BF18" i="13"/>
  <c r="BV18" i="13"/>
  <c r="CL18" i="13"/>
  <c r="CX18" i="13"/>
  <c r="AD18" i="13"/>
  <c r="AT18" i="13"/>
  <c r="BJ18" i="13"/>
  <c r="BZ18" i="13"/>
  <c r="CP18" i="13"/>
  <c r="AH18" i="13"/>
  <c r="AX18" i="13"/>
  <c r="BN18" i="13"/>
  <c r="CD18" i="13"/>
  <c r="CT18" i="13"/>
  <c r="BR18" i="13"/>
  <c r="R18" i="13"/>
  <c r="CH18" i="13"/>
  <c r="AL18" i="13"/>
  <c r="CV18" i="13"/>
  <c r="BB18" i="13"/>
  <c r="J29" i="13"/>
  <c r="N29" i="13"/>
  <c r="R29" i="13"/>
  <c r="V29" i="13"/>
  <c r="Z29" i="13"/>
  <c r="AD29" i="13"/>
  <c r="AH29" i="13"/>
  <c r="AL29" i="13"/>
  <c r="AP29" i="13"/>
  <c r="AT29" i="13"/>
  <c r="AX29" i="13"/>
  <c r="BB29" i="13"/>
  <c r="BF29" i="13"/>
  <c r="BJ29" i="13"/>
  <c r="BN29" i="13"/>
  <c r="BR29" i="13"/>
  <c r="BV29" i="13"/>
  <c r="BZ29" i="13"/>
  <c r="CD29" i="13"/>
  <c r="CH29" i="13"/>
  <c r="CL29" i="13"/>
  <c r="CP29" i="13"/>
  <c r="CT29" i="13"/>
  <c r="CX29" i="13"/>
  <c r="M29" i="13"/>
  <c r="S29" i="13"/>
  <c r="X29" i="13"/>
  <c r="AC29" i="13"/>
  <c r="AI29" i="13"/>
  <c r="AN29" i="13"/>
  <c r="AS29" i="13"/>
  <c r="AY29" i="13"/>
  <c r="BD29" i="13"/>
  <c r="BI29" i="13"/>
  <c r="BO29" i="13"/>
  <c r="BT29" i="13"/>
  <c r="BY29" i="13"/>
  <c r="CE29" i="13"/>
  <c r="CJ29" i="13"/>
  <c r="CO29" i="13"/>
  <c r="CU29" i="13"/>
  <c r="O29" i="13"/>
  <c r="T29" i="13"/>
  <c r="Y29" i="13"/>
  <c r="AE29" i="13"/>
  <c r="AJ29" i="13"/>
  <c r="AO29" i="13"/>
  <c r="AU29" i="13"/>
  <c r="AZ29" i="13"/>
  <c r="BE29" i="13"/>
  <c r="BK29" i="13"/>
  <c r="BP29" i="13"/>
  <c r="BU29" i="13"/>
  <c r="CA29" i="13"/>
  <c r="CF29" i="13"/>
  <c r="CK29" i="13"/>
  <c r="CQ29" i="13"/>
  <c r="CV29" i="13"/>
  <c r="P29" i="13"/>
  <c r="U29" i="13"/>
  <c r="AA29" i="13"/>
  <c r="AF29" i="13"/>
  <c r="AK29" i="13"/>
  <c r="AQ29" i="13"/>
  <c r="AV29" i="13"/>
  <c r="BA29" i="13"/>
  <c r="BG29" i="13"/>
  <c r="BL29" i="13"/>
  <c r="BQ29" i="13"/>
  <c r="BW29" i="13"/>
  <c r="CB29" i="13"/>
  <c r="CG29" i="13"/>
  <c r="CM29" i="13"/>
  <c r="CR29" i="13"/>
  <c r="CW29" i="13"/>
  <c r="AG29" i="13"/>
  <c r="BC29" i="13"/>
  <c r="BX29" i="13"/>
  <c r="CS29" i="13"/>
  <c r="AB29" i="13"/>
  <c r="AW29" i="13"/>
  <c r="BS29" i="13"/>
  <c r="CN29" i="13"/>
  <c r="Q29" i="13"/>
  <c r="AM29" i="13"/>
  <c r="BH29" i="13"/>
  <c r="CC29" i="13"/>
  <c r="W29" i="13"/>
  <c r="AR29" i="13"/>
  <c r="BM29" i="13"/>
  <c r="CI29" i="13"/>
  <c r="J26" i="13"/>
  <c r="N26" i="13"/>
  <c r="R26" i="13"/>
  <c r="V26" i="13"/>
  <c r="Z26" i="13"/>
  <c r="AD26" i="13"/>
  <c r="AH26" i="13"/>
  <c r="AL26" i="13"/>
  <c r="AP26" i="13"/>
  <c r="AT26" i="13"/>
  <c r="AX26" i="13"/>
  <c r="BB26" i="13"/>
  <c r="BF26" i="13"/>
  <c r="BJ26" i="13"/>
  <c r="BN26" i="13"/>
  <c r="BR26" i="13"/>
  <c r="BV26" i="13"/>
  <c r="BZ26" i="13"/>
  <c r="CD26" i="13"/>
  <c r="CH26" i="13"/>
  <c r="CL26" i="13"/>
  <c r="CP26" i="13"/>
  <c r="CT26" i="13"/>
  <c r="CX26" i="13"/>
  <c r="O26" i="13"/>
  <c r="T26" i="13"/>
  <c r="Y26" i="13"/>
  <c r="AE26" i="13"/>
  <c r="AJ26" i="13"/>
  <c r="AO26" i="13"/>
  <c r="AU26" i="13"/>
  <c r="AZ26" i="13"/>
  <c r="BE26" i="13"/>
  <c r="BK26" i="13"/>
  <c r="BP26" i="13"/>
  <c r="BU26" i="13"/>
  <c r="CA26" i="13"/>
  <c r="CF26" i="13"/>
  <c r="CK26" i="13"/>
  <c r="CQ26" i="13"/>
  <c r="CV26" i="13"/>
  <c r="Q26" i="13"/>
  <c r="W26" i="13"/>
  <c r="AB26" i="13"/>
  <c r="AG26" i="13"/>
  <c r="AM26" i="13"/>
  <c r="AR26" i="13"/>
  <c r="AW26" i="13"/>
  <c r="BC26" i="13"/>
  <c r="BH26" i="13"/>
  <c r="BM26" i="13"/>
  <c r="BS26" i="13"/>
  <c r="BX26" i="13"/>
  <c r="CC26" i="13"/>
  <c r="CI26" i="13"/>
  <c r="CN26" i="13"/>
  <c r="CS26" i="13"/>
  <c r="U26" i="13"/>
  <c r="AF26" i="13"/>
  <c r="AQ26" i="13"/>
  <c r="BA26" i="13"/>
  <c r="BL26" i="13"/>
  <c r="BW26" i="13"/>
  <c r="CG26" i="13"/>
  <c r="CR26" i="13"/>
  <c r="M26" i="13"/>
  <c r="X26" i="13"/>
  <c r="AI26" i="13"/>
  <c r="AS26" i="13"/>
  <c r="BD26" i="13"/>
  <c r="BO26" i="13"/>
  <c r="BY26" i="13"/>
  <c r="CJ26" i="13"/>
  <c r="CU26" i="13"/>
  <c r="P26" i="13"/>
  <c r="AA26" i="13"/>
  <c r="AK26" i="13"/>
  <c r="AV26" i="13"/>
  <c r="BG26" i="13"/>
  <c r="BQ26" i="13"/>
  <c r="CB26" i="13"/>
  <c r="CM26" i="13"/>
  <c r="CW26" i="13"/>
  <c r="AN26" i="13"/>
  <c r="CE26" i="13"/>
  <c r="AC26" i="13"/>
  <c r="BT26" i="13"/>
  <c r="AY26" i="13"/>
  <c r="CO26" i="13"/>
  <c r="S26" i="13"/>
  <c r="BI26" i="13"/>
  <c r="J33" i="13"/>
  <c r="N33" i="13"/>
  <c r="R33" i="13"/>
  <c r="V33" i="13"/>
  <c r="Z33" i="13"/>
  <c r="AD33" i="13"/>
  <c r="AH33" i="13"/>
  <c r="AL33" i="13"/>
  <c r="AP33" i="13"/>
  <c r="AT33" i="13"/>
  <c r="AX33" i="13"/>
  <c r="BB33" i="13"/>
  <c r="BF33" i="13"/>
  <c r="BJ33" i="13"/>
  <c r="BN33" i="13"/>
  <c r="BR33" i="13"/>
  <c r="BV33" i="13"/>
  <c r="BZ33" i="13"/>
  <c r="CD33" i="13"/>
  <c r="CH33" i="13"/>
  <c r="CL33" i="13"/>
  <c r="CP33" i="13"/>
  <c r="CT33" i="13"/>
  <c r="CX33" i="13"/>
  <c r="P33" i="13"/>
  <c r="T33" i="13"/>
  <c r="X33" i="13"/>
  <c r="AB33" i="13"/>
  <c r="AF33" i="13"/>
  <c r="AJ33" i="13"/>
  <c r="AN33" i="13"/>
  <c r="AR33" i="13"/>
  <c r="AV33" i="13"/>
  <c r="AZ33" i="13"/>
  <c r="BD33" i="13"/>
  <c r="BH33" i="13"/>
  <c r="BL33" i="13"/>
  <c r="BP33" i="13"/>
  <c r="BT33" i="13"/>
  <c r="BX33" i="13"/>
  <c r="CB33" i="13"/>
  <c r="CF33" i="13"/>
  <c r="CJ33" i="13"/>
  <c r="CN33" i="13"/>
  <c r="CR33" i="13"/>
  <c r="CV33" i="13"/>
  <c r="O33" i="13"/>
  <c r="W33" i="13"/>
  <c r="AE33" i="13"/>
  <c r="AM33" i="13"/>
  <c r="AU33" i="13"/>
  <c r="BC33" i="13"/>
  <c r="BK33" i="13"/>
  <c r="BS33" i="13"/>
  <c r="CA33" i="13"/>
  <c r="CI33" i="13"/>
  <c r="CQ33" i="13"/>
  <c r="Q33" i="13"/>
  <c r="Y33" i="13"/>
  <c r="AG33" i="13"/>
  <c r="AO33" i="13"/>
  <c r="BE33" i="13"/>
  <c r="BM33" i="13"/>
  <c r="BU33" i="13"/>
  <c r="CC33" i="13"/>
  <c r="CK33" i="13"/>
  <c r="U33" i="13"/>
  <c r="AK33" i="13"/>
  <c r="BI33" i="13"/>
  <c r="BQ33" i="13"/>
  <c r="CO33" i="13"/>
  <c r="CW33" i="13"/>
  <c r="AW33" i="13"/>
  <c r="CS33" i="13"/>
  <c r="M33" i="13"/>
  <c r="AS33" i="13"/>
  <c r="BY33" i="13"/>
  <c r="S33" i="13"/>
  <c r="AA33" i="13"/>
  <c r="AI33" i="13"/>
  <c r="AQ33" i="13"/>
  <c r="AY33" i="13"/>
  <c r="BG33" i="13"/>
  <c r="BO33" i="13"/>
  <c r="BW33" i="13"/>
  <c r="CE33" i="13"/>
  <c r="CM33" i="13"/>
  <c r="CU33" i="13"/>
  <c r="AC33" i="13"/>
  <c r="BA33" i="13"/>
  <c r="CG33" i="13"/>
  <c r="J21" i="13"/>
  <c r="O21" i="13"/>
  <c r="S21" i="13"/>
  <c r="W21" i="13"/>
  <c r="AA21" i="13"/>
  <c r="AE21" i="13"/>
  <c r="AI21" i="13"/>
  <c r="AM21" i="13"/>
  <c r="AQ21" i="13"/>
  <c r="AU21" i="13"/>
  <c r="AY21" i="13"/>
  <c r="BC21" i="13"/>
  <c r="BG21" i="13"/>
  <c r="M21" i="13"/>
  <c r="R21" i="13"/>
  <c r="X21" i="13"/>
  <c r="AC21" i="13"/>
  <c r="AH21" i="13"/>
  <c r="AN21" i="13"/>
  <c r="AS21" i="13"/>
  <c r="AX21" i="13"/>
  <c r="BD21" i="13"/>
  <c r="BI21" i="13"/>
  <c r="BM21" i="13"/>
  <c r="BQ21" i="13"/>
  <c r="BU21" i="13"/>
  <c r="BY21" i="13"/>
  <c r="CC21" i="13"/>
  <c r="CG21" i="13"/>
  <c r="CK21" i="13"/>
  <c r="CO21" i="13"/>
  <c r="CS21" i="13"/>
  <c r="CW21" i="13"/>
  <c r="Q21" i="13"/>
  <c r="Y21" i="13"/>
  <c r="AF21" i="13"/>
  <c r="AL21" i="13"/>
  <c r="AT21" i="13"/>
  <c r="BA21" i="13"/>
  <c r="BH21" i="13"/>
  <c r="BN21" i="13"/>
  <c r="BS21" i="13"/>
  <c r="BX21" i="13"/>
  <c r="CD21" i="13"/>
  <c r="CI21" i="13"/>
  <c r="CN21" i="13"/>
  <c r="CT21" i="13"/>
  <c r="T21" i="13"/>
  <c r="Z21" i="13"/>
  <c r="AG21" i="13"/>
  <c r="AO21" i="13"/>
  <c r="AV21" i="13"/>
  <c r="BB21" i="13"/>
  <c r="BJ21" i="13"/>
  <c r="BO21" i="13"/>
  <c r="BT21" i="13"/>
  <c r="BZ21" i="13"/>
  <c r="CE21" i="13"/>
  <c r="CJ21" i="13"/>
  <c r="CP21" i="13"/>
  <c r="CU21" i="13"/>
  <c r="N21" i="13"/>
  <c r="U21" i="13"/>
  <c r="AB21" i="13"/>
  <c r="AJ21" i="13"/>
  <c r="AP21" i="13"/>
  <c r="AW21" i="13"/>
  <c r="BE21" i="13"/>
  <c r="BK21" i="13"/>
  <c r="BP21" i="13"/>
  <c r="BV21" i="13"/>
  <c r="CA21" i="13"/>
  <c r="CF21" i="13"/>
  <c r="CL21" i="13"/>
  <c r="CQ21" i="13"/>
  <c r="CV21" i="13"/>
  <c r="V21" i="13"/>
  <c r="AZ21" i="13"/>
  <c r="BW21" i="13"/>
  <c r="CR21" i="13"/>
  <c r="AD21" i="13"/>
  <c r="BF21" i="13"/>
  <c r="CB21" i="13"/>
  <c r="CX21" i="13"/>
  <c r="AK21" i="13"/>
  <c r="BL21" i="13"/>
  <c r="CH21" i="13"/>
  <c r="AR21" i="13"/>
  <c r="BR21" i="13"/>
  <c r="CM21" i="13"/>
  <c r="P21" i="13"/>
  <c r="J36" i="13"/>
  <c r="N36" i="13"/>
  <c r="R36" i="13"/>
  <c r="V36" i="13"/>
  <c r="Z36" i="13"/>
  <c r="AD36" i="13"/>
  <c r="AH36" i="13"/>
  <c r="AL36" i="13"/>
  <c r="AP36" i="13"/>
  <c r="AT36" i="13"/>
  <c r="AX36" i="13"/>
  <c r="BB36" i="13"/>
  <c r="BF36" i="13"/>
  <c r="BJ36" i="13"/>
  <c r="BN36" i="13"/>
  <c r="BR36" i="13"/>
  <c r="BV36" i="13"/>
  <c r="BZ36" i="13"/>
  <c r="CD36" i="13"/>
  <c r="CH36" i="13"/>
  <c r="CL36" i="13"/>
  <c r="CP36" i="13"/>
  <c r="CT36" i="13"/>
  <c r="CX36" i="13"/>
  <c r="Q36" i="13"/>
  <c r="W36" i="13"/>
  <c r="AB36" i="13"/>
  <c r="AG36" i="13"/>
  <c r="AM36" i="13"/>
  <c r="AR36" i="13"/>
  <c r="AW36" i="13"/>
  <c r="BC36" i="13"/>
  <c r="BH36" i="13"/>
  <c r="BM36" i="13"/>
  <c r="BS36" i="13"/>
  <c r="BX36" i="13"/>
  <c r="CC36" i="13"/>
  <c r="CI36" i="13"/>
  <c r="CN36" i="13"/>
  <c r="CS36" i="13"/>
  <c r="S36" i="13"/>
  <c r="X36" i="13"/>
  <c r="AC36" i="13"/>
  <c r="AN36" i="13"/>
  <c r="AS36" i="13"/>
  <c r="AY36" i="13"/>
  <c r="BD36" i="13"/>
  <c r="BO36" i="13"/>
  <c r="BT36" i="13"/>
  <c r="BY36" i="13"/>
  <c r="CE36" i="13"/>
  <c r="CO36" i="13"/>
  <c r="CU36" i="13"/>
  <c r="U36" i="13"/>
  <c r="AF36" i="13"/>
  <c r="AK36" i="13"/>
  <c r="BA36" i="13"/>
  <c r="BG36" i="13"/>
  <c r="BW36" i="13"/>
  <c r="CG36" i="13"/>
  <c r="CM36" i="13"/>
  <c r="M36" i="13"/>
  <c r="AI36" i="13"/>
  <c r="BI36" i="13"/>
  <c r="CJ36" i="13"/>
  <c r="P36" i="13"/>
  <c r="AQ36" i="13"/>
  <c r="BQ36" i="13"/>
  <c r="CW36" i="13"/>
  <c r="O36" i="13"/>
  <c r="T36" i="13"/>
  <c r="Y36" i="13"/>
  <c r="AE36" i="13"/>
  <c r="AJ36" i="13"/>
  <c r="AO36" i="13"/>
  <c r="AU36" i="13"/>
  <c r="AZ36" i="13"/>
  <c r="BE36" i="13"/>
  <c r="BK36" i="13"/>
  <c r="BP36" i="13"/>
  <c r="BU36" i="13"/>
  <c r="CA36" i="13"/>
  <c r="CF36" i="13"/>
  <c r="CK36" i="13"/>
  <c r="CQ36" i="13"/>
  <c r="CV36" i="13"/>
  <c r="AA36" i="13"/>
  <c r="AV36" i="13"/>
  <c r="BL36" i="13"/>
  <c r="CB36" i="13"/>
  <c r="CR36" i="13"/>
  <c r="J32" i="13"/>
  <c r="P32" i="13"/>
  <c r="T32" i="13"/>
  <c r="X32" i="13"/>
  <c r="AB32" i="13"/>
  <c r="AF32" i="13"/>
  <c r="AJ32" i="13"/>
  <c r="AN32" i="13"/>
  <c r="AR32" i="13"/>
  <c r="AV32" i="13"/>
  <c r="AZ32" i="13"/>
  <c r="BD32" i="13"/>
  <c r="BH32" i="13"/>
  <c r="BL32" i="13"/>
  <c r="BP32" i="13"/>
  <c r="BT32" i="13"/>
  <c r="BX32" i="13"/>
  <c r="CB32" i="13"/>
  <c r="CF32" i="13"/>
  <c r="CJ32" i="13"/>
  <c r="CN32" i="13"/>
  <c r="CR32" i="13"/>
  <c r="CV32" i="13"/>
  <c r="N32" i="13"/>
  <c r="R32" i="13"/>
  <c r="V32" i="13"/>
  <c r="Z32" i="13"/>
  <c r="AD32" i="13"/>
  <c r="AH32" i="13"/>
  <c r="AL32" i="13"/>
  <c r="AP32" i="13"/>
  <c r="AT32" i="13"/>
  <c r="AX32" i="13"/>
  <c r="BB32" i="13"/>
  <c r="BF32" i="13"/>
  <c r="BJ32" i="13"/>
  <c r="BN32" i="13"/>
  <c r="BR32" i="13"/>
  <c r="BV32" i="13"/>
  <c r="BZ32" i="13"/>
  <c r="CD32" i="13"/>
  <c r="CH32" i="13"/>
  <c r="CL32" i="13"/>
  <c r="CP32" i="13"/>
  <c r="CT32" i="13"/>
  <c r="CX32" i="13"/>
  <c r="Q32" i="13"/>
  <c r="Y32" i="13"/>
  <c r="AG32" i="13"/>
  <c r="AO32" i="13"/>
  <c r="AW32" i="13"/>
  <c r="BE32" i="13"/>
  <c r="BM32" i="13"/>
  <c r="BU32" i="13"/>
  <c r="CC32" i="13"/>
  <c r="CK32" i="13"/>
  <c r="CS32" i="13"/>
  <c r="S32" i="13"/>
  <c r="BG32" i="13"/>
  <c r="BW32" i="13"/>
  <c r="CE32" i="13"/>
  <c r="CM32" i="13"/>
  <c r="O32" i="13"/>
  <c r="AE32" i="13"/>
  <c r="AM32" i="13"/>
  <c r="AU32" i="13"/>
  <c r="BK32" i="13"/>
  <c r="CI32" i="13"/>
  <c r="CQ32" i="13"/>
  <c r="AA32" i="13"/>
  <c r="AI32" i="13"/>
  <c r="AQ32" i="13"/>
  <c r="AY32" i="13"/>
  <c r="BO32" i="13"/>
  <c r="CU32" i="13"/>
  <c r="BS32" i="13"/>
  <c r="M32" i="13"/>
  <c r="U32" i="13"/>
  <c r="AC32" i="13"/>
  <c r="AK32" i="13"/>
  <c r="AS32" i="13"/>
  <c r="BA32" i="13"/>
  <c r="BI32" i="13"/>
  <c r="BQ32" i="13"/>
  <c r="BY32" i="13"/>
  <c r="CG32" i="13"/>
  <c r="CO32" i="13"/>
  <c r="CW32" i="13"/>
  <c r="W32" i="13"/>
  <c r="BC32" i="13"/>
  <c r="CA32" i="13"/>
  <c r="J28" i="13"/>
  <c r="N28" i="13"/>
  <c r="P28" i="13"/>
  <c r="T28" i="13"/>
  <c r="X28" i="13"/>
  <c r="AB28" i="13"/>
  <c r="AF28" i="13"/>
  <c r="AJ28" i="13"/>
  <c r="AN28" i="13"/>
  <c r="AR28" i="13"/>
  <c r="AV28" i="13"/>
  <c r="AZ28" i="13"/>
  <c r="BD28" i="13"/>
  <c r="BH28" i="13"/>
  <c r="BL28" i="13"/>
  <c r="BP28" i="13"/>
  <c r="BT28" i="13"/>
  <c r="BX28" i="13"/>
  <c r="CB28" i="13"/>
  <c r="CF28" i="13"/>
  <c r="CJ28" i="13"/>
  <c r="CN28" i="13"/>
  <c r="CR28" i="13"/>
  <c r="CV28" i="13"/>
  <c r="M28" i="13"/>
  <c r="R28" i="13"/>
  <c r="V28" i="13"/>
  <c r="Z28" i="13"/>
  <c r="AD28" i="13"/>
  <c r="AH28" i="13"/>
  <c r="AL28" i="13"/>
  <c r="AP28" i="13"/>
  <c r="AT28" i="13"/>
  <c r="AX28" i="13"/>
  <c r="BB28" i="13"/>
  <c r="BF28" i="13"/>
  <c r="U28" i="13"/>
  <c r="AC28" i="13"/>
  <c r="AK28" i="13"/>
  <c r="AS28" i="13"/>
  <c r="BA28" i="13"/>
  <c r="BI28" i="13"/>
  <c r="BN28" i="13"/>
  <c r="BS28" i="13"/>
  <c r="BY28" i="13"/>
  <c r="CD28" i="13"/>
  <c r="CI28" i="13"/>
  <c r="CO28" i="13"/>
  <c r="CT28" i="13"/>
  <c r="O28" i="13"/>
  <c r="W28" i="13"/>
  <c r="AE28" i="13"/>
  <c r="AM28" i="13"/>
  <c r="AU28" i="13"/>
  <c r="BC28" i="13"/>
  <c r="BJ28" i="13"/>
  <c r="BO28" i="13"/>
  <c r="BU28" i="13"/>
  <c r="BZ28" i="13"/>
  <c r="CE28" i="13"/>
  <c r="CK28" i="13"/>
  <c r="CP28" i="13"/>
  <c r="CU28" i="13"/>
  <c r="Q28" i="13"/>
  <c r="Y28" i="13"/>
  <c r="AG28" i="13"/>
  <c r="AO28" i="13"/>
  <c r="AW28" i="13"/>
  <c r="BE28" i="13"/>
  <c r="BK28" i="13"/>
  <c r="BQ28" i="13"/>
  <c r="BV28" i="13"/>
  <c r="CA28" i="13"/>
  <c r="CG28" i="13"/>
  <c r="CL28" i="13"/>
  <c r="CQ28" i="13"/>
  <c r="CW28" i="13"/>
  <c r="AA28" i="13"/>
  <c r="BG28" i="13"/>
  <c r="CC28" i="13"/>
  <c r="CX28" i="13"/>
  <c r="S28" i="13"/>
  <c r="AY28" i="13"/>
  <c r="BW28" i="13"/>
  <c r="CS28" i="13"/>
  <c r="AI28" i="13"/>
  <c r="BM28" i="13"/>
  <c r="CH28" i="13"/>
  <c r="AQ28" i="13"/>
  <c r="BR28" i="13"/>
  <c r="CM28" i="13"/>
  <c r="J24" i="13"/>
  <c r="P24" i="13"/>
  <c r="T24" i="13"/>
  <c r="X24" i="13"/>
  <c r="AB24" i="13"/>
  <c r="AF24" i="13"/>
  <c r="AJ24" i="13"/>
  <c r="AN24" i="13"/>
  <c r="AR24" i="13"/>
  <c r="AV24" i="13"/>
  <c r="AZ24" i="13"/>
  <c r="BD24" i="13"/>
  <c r="BH24" i="13"/>
  <c r="BL24" i="13"/>
  <c r="BP24" i="13"/>
  <c r="BT24" i="13"/>
  <c r="BX24" i="13"/>
  <c r="CB24" i="13"/>
  <c r="CF24" i="13"/>
  <c r="CJ24" i="13"/>
  <c r="CN24" i="13"/>
  <c r="CR24" i="13"/>
  <c r="CV24" i="13"/>
  <c r="N24" i="13"/>
  <c r="R24" i="13"/>
  <c r="V24" i="13"/>
  <c r="Z24" i="13"/>
  <c r="AD24" i="13"/>
  <c r="AH24" i="13"/>
  <c r="AL24" i="13"/>
  <c r="AP24" i="13"/>
  <c r="AT24" i="13"/>
  <c r="AX24" i="13"/>
  <c r="BB24" i="13"/>
  <c r="BF24" i="13"/>
  <c r="BJ24" i="13"/>
  <c r="BN24" i="13"/>
  <c r="BR24" i="13"/>
  <c r="BV24" i="13"/>
  <c r="BZ24" i="13"/>
  <c r="CD24" i="13"/>
  <c r="CH24" i="13"/>
  <c r="CL24" i="13"/>
  <c r="CP24" i="13"/>
  <c r="CT24" i="13"/>
  <c r="CX24" i="13"/>
  <c r="O24" i="13"/>
  <c r="W24" i="13"/>
  <c r="AE24" i="13"/>
  <c r="AM24" i="13"/>
  <c r="AU24" i="13"/>
  <c r="BC24" i="13"/>
  <c r="BK24" i="13"/>
  <c r="BS24" i="13"/>
  <c r="CA24" i="13"/>
  <c r="CI24" i="13"/>
  <c r="CQ24" i="13"/>
  <c r="Q24" i="13"/>
  <c r="Y24" i="13"/>
  <c r="AG24" i="13"/>
  <c r="AO24" i="13"/>
  <c r="AW24" i="13"/>
  <c r="BE24" i="13"/>
  <c r="BM24" i="13"/>
  <c r="BU24" i="13"/>
  <c r="CC24" i="13"/>
  <c r="CK24" i="13"/>
  <c r="CS24" i="13"/>
  <c r="S24" i="13"/>
  <c r="AA24" i="13"/>
  <c r="AI24" i="13"/>
  <c r="AQ24" i="13"/>
  <c r="AY24" i="13"/>
  <c r="BG24" i="13"/>
  <c r="BO24" i="13"/>
  <c r="BW24" i="13"/>
  <c r="CE24" i="13"/>
  <c r="CM24" i="13"/>
  <c r="CU24" i="13"/>
  <c r="AK24" i="13"/>
  <c r="BQ24" i="13"/>
  <c r="CW24" i="13"/>
  <c r="M24" i="13"/>
  <c r="AS24" i="13"/>
  <c r="BY24" i="13"/>
  <c r="U24" i="13"/>
  <c r="BA24" i="13"/>
  <c r="CG24" i="13"/>
  <c r="BI24" i="13"/>
  <c r="CO24" i="13"/>
  <c r="AC24" i="13"/>
  <c r="O20" i="13"/>
  <c r="S20" i="13"/>
  <c r="W20" i="13"/>
  <c r="AA20" i="13"/>
  <c r="M20" i="13"/>
  <c r="Q20" i="13"/>
  <c r="U20" i="13"/>
  <c r="Y20" i="13"/>
  <c r="AC20" i="13"/>
  <c r="AG20" i="13"/>
  <c r="AK20" i="13"/>
  <c r="AO20" i="13"/>
  <c r="AS20" i="13"/>
  <c r="AW20" i="13"/>
  <c r="BA20" i="13"/>
  <c r="BE20" i="13"/>
  <c r="BI20" i="13"/>
  <c r="BM20" i="13"/>
  <c r="BQ20" i="13"/>
  <c r="BU20" i="13"/>
  <c r="BY20" i="13"/>
  <c r="CC20" i="13"/>
  <c r="CG20" i="13"/>
  <c r="CK20" i="13"/>
  <c r="CO20" i="13"/>
  <c r="CS20" i="13"/>
  <c r="CW20" i="13"/>
  <c r="T20" i="13"/>
  <c r="AB20" i="13"/>
  <c r="AH20" i="13"/>
  <c r="AM20" i="13"/>
  <c r="AR20" i="13"/>
  <c r="AX20" i="13"/>
  <c r="BC20" i="13"/>
  <c r="BH20" i="13"/>
  <c r="BN20" i="13"/>
  <c r="BS20" i="13"/>
  <c r="BX20" i="13"/>
  <c r="CD20" i="13"/>
  <c r="CI20" i="13"/>
  <c r="CN20" i="13"/>
  <c r="CT20" i="13"/>
  <c r="J20" i="13"/>
  <c r="R20" i="13"/>
  <c r="AD20" i="13"/>
  <c r="AJ20" i="13"/>
  <c r="AQ20" i="13"/>
  <c r="AY20" i="13"/>
  <c r="BF20" i="13"/>
  <c r="BL20" i="13"/>
  <c r="BT20" i="13"/>
  <c r="CA20" i="13"/>
  <c r="CH20" i="13"/>
  <c r="CP20" i="13"/>
  <c r="CV20" i="13"/>
  <c r="V20" i="13"/>
  <c r="AE20" i="13"/>
  <c r="AL20" i="13"/>
  <c r="AT20" i="13"/>
  <c r="AZ20" i="13"/>
  <c r="BG20" i="13"/>
  <c r="BO20" i="13"/>
  <c r="BV20" i="13"/>
  <c r="CB20" i="13"/>
  <c r="CJ20" i="13"/>
  <c r="CQ20" i="13"/>
  <c r="CX20" i="13"/>
  <c r="N20" i="13"/>
  <c r="X20" i="13"/>
  <c r="AF20" i="13"/>
  <c r="AN20" i="13"/>
  <c r="AU20" i="13"/>
  <c r="BB20" i="13"/>
  <c r="BJ20" i="13"/>
  <c r="BP20" i="13"/>
  <c r="BW20" i="13"/>
  <c r="CE20" i="13"/>
  <c r="CL20" i="13"/>
  <c r="CR20" i="13"/>
  <c r="Z20" i="13"/>
  <c r="BD20" i="13"/>
  <c r="CF20" i="13"/>
  <c r="AI20" i="13"/>
  <c r="BK20" i="13"/>
  <c r="CM20" i="13"/>
  <c r="AP20" i="13"/>
  <c r="BR20" i="13"/>
  <c r="CU20" i="13"/>
  <c r="P20" i="13"/>
  <c r="AV20" i="13"/>
  <c r="BZ20" i="13"/>
  <c r="J34" i="13"/>
  <c r="P34" i="13"/>
  <c r="T34" i="13"/>
  <c r="N34" i="13"/>
  <c r="R34" i="13"/>
  <c r="V34" i="13"/>
  <c r="Z34" i="13"/>
  <c r="AD34" i="13"/>
  <c r="AH34" i="13"/>
  <c r="AL34" i="13"/>
  <c r="AP34" i="13"/>
  <c r="AT34" i="13"/>
  <c r="AX34" i="13"/>
  <c r="BB34" i="13"/>
  <c r="BF34" i="13"/>
  <c r="BJ34" i="13"/>
  <c r="BN34" i="13"/>
  <c r="BR34" i="13"/>
  <c r="BV34" i="13"/>
  <c r="BZ34" i="13"/>
  <c r="CD34" i="13"/>
  <c r="CH34" i="13"/>
  <c r="CL34" i="13"/>
  <c r="CP34" i="13"/>
  <c r="CT34" i="13"/>
  <c r="CX34" i="13"/>
  <c r="M34" i="13"/>
  <c r="U34" i="13"/>
  <c r="AA34" i="13"/>
  <c r="AF34" i="13"/>
  <c r="AK34" i="13"/>
  <c r="AQ34" i="13"/>
  <c r="AV34" i="13"/>
  <c r="BA34" i="13"/>
  <c r="BG34" i="13"/>
  <c r="BL34" i="13"/>
  <c r="BQ34" i="13"/>
  <c r="BW34" i="13"/>
  <c r="CB34" i="13"/>
  <c r="CG34" i="13"/>
  <c r="CM34" i="13"/>
  <c r="CR34" i="13"/>
  <c r="CW34" i="13"/>
  <c r="O34" i="13"/>
  <c r="W34" i="13"/>
  <c r="AB34" i="13"/>
  <c r="AG34" i="13"/>
  <c r="AR34" i="13"/>
  <c r="AW34" i="13"/>
  <c r="BC34" i="13"/>
  <c r="BH34" i="13"/>
  <c r="BM34" i="13"/>
  <c r="BX34" i="13"/>
  <c r="CC34" i="13"/>
  <c r="CI34" i="13"/>
  <c r="CN34" i="13"/>
  <c r="AE34" i="13"/>
  <c r="AO34" i="13"/>
  <c r="AZ34" i="13"/>
  <c r="BK34" i="13"/>
  <c r="CA34" i="13"/>
  <c r="CF34" i="13"/>
  <c r="CV34" i="13"/>
  <c r="AM34" i="13"/>
  <c r="BS34" i="13"/>
  <c r="CS34" i="13"/>
  <c r="Y34" i="13"/>
  <c r="AU34" i="13"/>
  <c r="BP34" i="13"/>
  <c r="CQ34" i="13"/>
  <c r="Q34" i="13"/>
  <c r="X34" i="13"/>
  <c r="AC34" i="13"/>
  <c r="AI34" i="13"/>
  <c r="AN34" i="13"/>
  <c r="AS34" i="13"/>
  <c r="AY34" i="13"/>
  <c r="BD34" i="13"/>
  <c r="BI34" i="13"/>
  <c r="BO34" i="13"/>
  <c r="BT34" i="13"/>
  <c r="BY34" i="13"/>
  <c r="CE34" i="13"/>
  <c r="CJ34" i="13"/>
  <c r="CO34" i="13"/>
  <c r="CU34" i="13"/>
  <c r="S34" i="13"/>
  <c r="AJ34" i="13"/>
  <c r="BE34" i="13"/>
  <c r="BU34" i="13"/>
  <c r="CK34" i="13"/>
  <c r="J22" i="13"/>
  <c r="O22" i="13"/>
  <c r="S22" i="13"/>
  <c r="W22" i="13"/>
  <c r="AA22" i="13"/>
  <c r="AE22" i="13"/>
  <c r="AI22" i="13"/>
  <c r="AM22" i="13"/>
  <c r="AQ22" i="13"/>
  <c r="AU22" i="13"/>
  <c r="AY22" i="13"/>
  <c r="BC22" i="13"/>
  <c r="BG22" i="13"/>
  <c r="BK22" i="13"/>
  <c r="BO22" i="13"/>
  <c r="BS22" i="13"/>
  <c r="BW22" i="13"/>
  <c r="CA22" i="13"/>
  <c r="CE22" i="13"/>
  <c r="CI22" i="13"/>
  <c r="CM22" i="13"/>
  <c r="CQ22" i="13"/>
  <c r="CU22" i="13"/>
  <c r="M22" i="13"/>
  <c r="R22" i="13"/>
  <c r="X22" i="13"/>
  <c r="AC22" i="13"/>
  <c r="AH22" i="13"/>
  <c r="AN22" i="13"/>
  <c r="AS22" i="13"/>
  <c r="AX22" i="13"/>
  <c r="BD22" i="13"/>
  <c r="BI22" i="13"/>
  <c r="BN22" i="13"/>
  <c r="BT22" i="13"/>
  <c r="BY22" i="13"/>
  <c r="CD22" i="13"/>
  <c r="CJ22" i="13"/>
  <c r="CO22" i="13"/>
  <c r="CT22" i="13"/>
  <c r="N22" i="13"/>
  <c r="T22" i="13"/>
  <c r="Y22" i="13"/>
  <c r="AD22" i="13"/>
  <c r="AJ22" i="13"/>
  <c r="AO22" i="13"/>
  <c r="AT22" i="13"/>
  <c r="AZ22" i="13"/>
  <c r="BE22" i="13"/>
  <c r="BJ22" i="13"/>
  <c r="BP22" i="13"/>
  <c r="BU22" i="13"/>
  <c r="BZ22" i="13"/>
  <c r="CF22" i="13"/>
  <c r="CK22" i="13"/>
  <c r="CP22" i="13"/>
  <c r="CV22" i="13"/>
  <c r="P22" i="13"/>
  <c r="U22" i="13"/>
  <c r="Z22" i="13"/>
  <c r="AF22" i="13"/>
  <c r="AK22" i="13"/>
  <c r="AP22" i="13"/>
  <c r="AV22" i="13"/>
  <c r="BA22" i="13"/>
  <c r="BF22" i="13"/>
  <c r="BL22" i="13"/>
  <c r="BQ22" i="13"/>
  <c r="BV22" i="13"/>
  <c r="CB22" i="13"/>
  <c r="CG22" i="13"/>
  <c r="CL22" i="13"/>
  <c r="CR22" i="13"/>
  <c r="CW22" i="13"/>
  <c r="AB22" i="13"/>
  <c r="AW22" i="13"/>
  <c r="BR22" i="13"/>
  <c r="CN22" i="13"/>
  <c r="AG22" i="13"/>
  <c r="BB22" i="13"/>
  <c r="BX22" i="13"/>
  <c r="CS22" i="13"/>
  <c r="Q22" i="13"/>
  <c r="AL22" i="13"/>
  <c r="BH22" i="13"/>
  <c r="CC22" i="13"/>
  <c r="CX22" i="13"/>
  <c r="AR22" i="13"/>
  <c r="BM22" i="13"/>
  <c r="CH22" i="13"/>
  <c r="V22" i="13"/>
  <c r="J37" i="13"/>
  <c r="P37" i="13"/>
  <c r="T37" i="13"/>
  <c r="X37" i="13"/>
  <c r="M37" i="13"/>
  <c r="R37" i="13"/>
  <c r="W37" i="13"/>
  <c r="AB37" i="13"/>
  <c r="AF37" i="13"/>
  <c r="AJ37" i="13"/>
  <c r="AN37" i="13"/>
  <c r="AR37" i="13"/>
  <c r="AV37" i="13"/>
  <c r="AZ37" i="13"/>
  <c r="BD37" i="13"/>
  <c r="BH37" i="13"/>
  <c r="BL37" i="13"/>
  <c r="BP37" i="13"/>
  <c r="BT37" i="13"/>
  <c r="BX37" i="13"/>
  <c r="CB37" i="13"/>
  <c r="CF37" i="13"/>
  <c r="CJ37" i="13"/>
  <c r="CN37" i="13"/>
  <c r="CR37" i="13"/>
  <c r="CV37" i="13"/>
  <c r="N37" i="13"/>
  <c r="Y37" i="13"/>
  <c r="AC37" i="13"/>
  <c r="AG37" i="13"/>
  <c r="AO37" i="13"/>
  <c r="AS37" i="13"/>
  <c r="AW37" i="13"/>
  <c r="BA37" i="13"/>
  <c r="BE37" i="13"/>
  <c r="BM37" i="13"/>
  <c r="BQ37" i="13"/>
  <c r="BU37" i="13"/>
  <c r="CC37" i="13"/>
  <c r="CG37" i="13"/>
  <c r="CK37" i="13"/>
  <c r="CO37" i="13"/>
  <c r="CW37" i="13"/>
  <c r="Q37" i="13"/>
  <c r="AA37" i="13"/>
  <c r="AI37" i="13"/>
  <c r="AQ37" i="13"/>
  <c r="BC37" i="13"/>
  <c r="BO37" i="13"/>
  <c r="BW37" i="13"/>
  <c r="CI37" i="13"/>
  <c r="CQ37" i="13"/>
  <c r="S37" i="13"/>
  <c r="AK37" i="13"/>
  <c r="BI37" i="13"/>
  <c r="BY37" i="13"/>
  <c r="CS37" i="13"/>
  <c r="AE37" i="13"/>
  <c r="AU37" i="13"/>
  <c r="BK37" i="13"/>
  <c r="CA37" i="13"/>
  <c r="CM37" i="13"/>
  <c r="O37" i="13"/>
  <c r="U37" i="13"/>
  <c r="Z37" i="13"/>
  <c r="AD37" i="13"/>
  <c r="AH37" i="13"/>
  <c r="AL37" i="13"/>
  <c r="AP37" i="13"/>
  <c r="AT37" i="13"/>
  <c r="AX37" i="13"/>
  <c r="BB37" i="13"/>
  <c r="BF37" i="13"/>
  <c r="BJ37" i="13"/>
  <c r="BN37" i="13"/>
  <c r="BR37" i="13"/>
  <c r="BV37" i="13"/>
  <c r="BZ37" i="13"/>
  <c r="CD37" i="13"/>
  <c r="CH37" i="13"/>
  <c r="CL37" i="13"/>
  <c r="CP37" i="13"/>
  <c r="CT37" i="13"/>
  <c r="CX37" i="13"/>
  <c r="V37" i="13"/>
  <c r="AM37" i="13"/>
  <c r="AY37" i="13"/>
  <c r="BG37" i="13"/>
  <c r="BS37" i="13"/>
  <c r="CE37" i="13"/>
  <c r="CU37" i="13"/>
  <c r="J25" i="13"/>
  <c r="N25" i="13"/>
  <c r="R25" i="13"/>
  <c r="V25" i="13"/>
  <c r="Z25" i="13"/>
  <c r="AD25" i="13"/>
  <c r="AH25" i="13"/>
  <c r="AL25" i="13"/>
  <c r="AP25" i="13"/>
  <c r="AT25" i="13"/>
  <c r="AX25" i="13"/>
  <c r="BB25" i="13"/>
  <c r="BF25" i="13"/>
  <c r="BJ25" i="13"/>
  <c r="P25" i="13"/>
  <c r="T25" i="13"/>
  <c r="X25" i="13"/>
  <c r="AB25" i="13"/>
  <c r="AF25" i="13"/>
  <c r="AJ25" i="13"/>
  <c r="AN25" i="13"/>
  <c r="AR25" i="13"/>
  <c r="AV25" i="13"/>
  <c r="AZ25" i="13"/>
  <c r="BD25" i="13"/>
  <c r="BH25" i="13"/>
  <c r="BL25" i="13"/>
  <c r="BP25" i="13"/>
  <c r="BT25" i="13"/>
  <c r="BX25" i="13"/>
  <c r="CB25" i="13"/>
  <c r="CF25" i="13"/>
  <c r="CJ25" i="13"/>
  <c r="CN25" i="13"/>
  <c r="CR25" i="13"/>
  <c r="CV25" i="13"/>
  <c r="M25" i="13"/>
  <c r="U25" i="13"/>
  <c r="AC25" i="13"/>
  <c r="AK25" i="13"/>
  <c r="AS25" i="13"/>
  <c r="BA25" i="13"/>
  <c r="BI25" i="13"/>
  <c r="BO25" i="13"/>
  <c r="BU25" i="13"/>
  <c r="BZ25" i="13"/>
  <c r="CE25" i="13"/>
  <c r="CK25" i="13"/>
  <c r="CP25" i="13"/>
  <c r="CU25" i="13"/>
  <c r="O25" i="13"/>
  <c r="W25" i="13"/>
  <c r="AE25" i="13"/>
  <c r="AM25" i="13"/>
  <c r="AU25" i="13"/>
  <c r="BC25" i="13"/>
  <c r="BK25" i="13"/>
  <c r="BQ25" i="13"/>
  <c r="BV25" i="13"/>
  <c r="CA25" i="13"/>
  <c r="CG25" i="13"/>
  <c r="Q25" i="13"/>
  <c r="Y25" i="13"/>
  <c r="AG25" i="13"/>
  <c r="AO25" i="13"/>
  <c r="AW25" i="13"/>
  <c r="BE25" i="13"/>
  <c r="BM25" i="13"/>
  <c r="BR25" i="13"/>
  <c r="BW25" i="13"/>
  <c r="CC25" i="13"/>
  <c r="CH25" i="13"/>
  <c r="CM25" i="13"/>
  <c r="CS25" i="13"/>
  <c r="CX25" i="13"/>
  <c r="AQ25" i="13"/>
  <c r="BS25" i="13"/>
  <c r="CL25" i="13"/>
  <c r="CW25" i="13"/>
  <c r="S25" i="13"/>
  <c r="AY25" i="13"/>
  <c r="BY25" i="13"/>
  <c r="CO25" i="13"/>
  <c r="AA25" i="13"/>
  <c r="BG25" i="13"/>
  <c r="CD25" i="13"/>
  <c r="CQ25" i="13"/>
  <c r="CI25" i="13"/>
  <c r="CT25" i="13"/>
  <c r="AI25" i="13"/>
  <c r="BN25" i="13"/>
  <c r="J35" i="13"/>
  <c r="P35" i="13"/>
  <c r="T35" i="13"/>
  <c r="X35" i="13"/>
  <c r="AB35" i="13"/>
  <c r="AF35" i="13"/>
  <c r="AJ35" i="13"/>
  <c r="AN35" i="13"/>
  <c r="AR35" i="13"/>
  <c r="AV35" i="13"/>
  <c r="AZ35" i="13"/>
  <c r="BD35" i="13"/>
  <c r="BH35" i="13"/>
  <c r="BL35" i="13"/>
  <c r="BP35" i="13"/>
  <c r="BT35" i="13"/>
  <c r="BX35" i="13"/>
  <c r="CB35" i="13"/>
  <c r="CF35" i="13"/>
  <c r="CJ35" i="13"/>
  <c r="CN35" i="13"/>
  <c r="CR35" i="13"/>
  <c r="CV35" i="13"/>
  <c r="Q35" i="13"/>
  <c r="V35" i="13"/>
  <c r="AA35" i="13"/>
  <c r="AG35" i="13"/>
  <c r="AL35" i="13"/>
  <c r="AQ35" i="13"/>
  <c r="AW35" i="13"/>
  <c r="BB35" i="13"/>
  <c r="BG35" i="13"/>
  <c r="BM35" i="13"/>
  <c r="BR35" i="13"/>
  <c r="BW35" i="13"/>
  <c r="CC35" i="13"/>
  <c r="CH35" i="13"/>
  <c r="CM35" i="13"/>
  <c r="CS35" i="13"/>
  <c r="CX35" i="13"/>
  <c r="M35" i="13"/>
  <c r="R35" i="13"/>
  <c r="W35" i="13"/>
  <c r="AH35" i="13"/>
  <c r="AM35" i="13"/>
  <c r="AS35" i="13"/>
  <c r="AX35" i="13"/>
  <c r="BC35" i="13"/>
  <c r="BN35" i="13"/>
  <c r="BS35" i="13"/>
  <c r="BY35" i="13"/>
  <c r="CI35" i="13"/>
  <c r="CO35" i="13"/>
  <c r="CT35" i="13"/>
  <c r="U35" i="13"/>
  <c r="AK35" i="13"/>
  <c r="AP35" i="13"/>
  <c r="BA35" i="13"/>
  <c r="BQ35" i="13"/>
  <c r="BV35" i="13"/>
  <c r="CL35" i="13"/>
  <c r="CW35" i="13"/>
  <c r="AC35" i="13"/>
  <c r="BI35" i="13"/>
  <c r="CD35" i="13"/>
  <c r="Z35" i="13"/>
  <c r="BF35" i="13"/>
  <c r="CG35" i="13"/>
  <c r="N35" i="13"/>
  <c r="S35" i="13"/>
  <c r="Y35" i="13"/>
  <c r="AD35" i="13"/>
  <c r="AI35" i="13"/>
  <c r="AO35" i="13"/>
  <c r="AT35" i="13"/>
  <c r="AY35" i="13"/>
  <c r="BE35" i="13"/>
  <c r="BJ35" i="13"/>
  <c r="BO35" i="13"/>
  <c r="BU35" i="13"/>
  <c r="BZ35" i="13"/>
  <c r="CE35" i="13"/>
  <c r="CK35" i="13"/>
  <c r="CP35" i="13"/>
  <c r="CU35" i="13"/>
  <c r="O35" i="13"/>
  <c r="AE35" i="13"/>
  <c r="AU35" i="13"/>
  <c r="BK35" i="13"/>
  <c r="CA35" i="13"/>
  <c r="CQ35" i="13"/>
  <c r="J31" i="13"/>
  <c r="N31" i="13"/>
  <c r="R31" i="13"/>
  <c r="V31" i="13"/>
  <c r="Z31" i="13"/>
  <c r="AD31" i="13"/>
  <c r="AH31" i="13"/>
  <c r="AL31" i="13"/>
  <c r="AP31" i="13"/>
  <c r="AT31" i="13"/>
  <c r="AX31" i="13"/>
  <c r="BB31" i="13"/>
  <c r="BF31" i="13"/>
  <c r="BJ31" i="13"/>
  <c r="BN31" i="13"/>
  <c r="BR31" i="13"/>
  <c r="BV31" i="13"/>
  <c r="BZ31" i="13"/>
  <c r="CD31" i="13"/>
  <c r="CH31" i="13"/>
  <c r="CL31" i="13"/>
  <c r="O31" i="13"/>
  <c r="T31" i="13"/>
  <c r="Y31" i="13"/>
  <c r="AE31" i="13"/>
  <c r="AJ31" i="13"/>
  <c r="AO31" i="13"/>
  <c r="AU31" i="13"/>
  <c r="AZ31" i="13"/>
  <c r="BE31" i="13"/>
  <c r="BK31" i="13"/>
  <c r="BP31" i="13"/>
  <c r="BU31" i="13"/>
  <c r="CA31" i="13"/>
  <c r="CF31" i="13"/>
  <c r="CK31" i="13"/>
  <c r="CP31" i="13"/>
  <c r="CT31" i="13"/>
  <c r="CX31" i="13"/>
  <c r="P31" i="13"/>
  <c r="U31" i="13"/>
  <c r="AA31" i="13"/>
  <c r="AF31" i="13"/>
  <c r="AK31" i="13"/>
  <c r="AQ31" i="13"/>
  <c r="AV31" i="13"/>
  <c r="Q31" i="13"/>
  <c r="W31" i="13"/>
  <c r="AB31" i="13"/>
  <c r="AG31" i="13"/>
  <c r="AM31" i="13"/>
  <c r="AR31" i="13"/>
  <c r="AW31" i="13"/>
  <c r="BC31" i="13"/>
  <c r="BH31" i="13"/>
  <c r="BM31" i="13"/>
  <c r="BS31" i="13"/>
  <c r="BX31" i="13"/>
  <c r="CC31" i="13"/>
  <c r="CI31" i="13"/>
  <c r="CN31" i="13"/>
  <c r="CR31" i="13"/>
  <c r="CV31" i="13"/>
  <c r="X31" i="13"/>
  <c r="AS31" i="13"/>
  <c r="BG31" i="13"/>
  <c r="BQ31" i="13"/>
  <c r="CB31" i="13"/>
  <c r="CM31" i="13"/>
  <c r="CU31" i="13"/>
  <c r="AN31" i="13"/>
  <c r="BD31" i="13"/>
  <c r="BO31" i="13"/>
  <c r="CJ31" i="13"/>
  <c r="AC31" i="13"/>
  <c r="AY31" i="13"/>
  <c r="BI31" i="13"/>
  <c r="BT31" i="13"/>
  <c r="CE31" i="13"/>
  <c r="CO31" i="13"/>
  <c r="CW31" i="13"/>
  <c r="CS31" i="13"/>
  <c r="M31" i="13"/>
  <c r="AI31" i="13"/>
  <c r="BA31" i="13"/>
  <c r="BL31" i="13"/>
  <c r="BW31" i="13"/>
  <c r="CG31" i="13"/>
  <c r="CQ31" i="13"/>
  <c r="S31" i="13"/>
  <c r="BY31" i="13"/>
  <c r="J27" i="13"/>
  <c r="P27" i="13"/>
  <c r="T27" i="13"/>
  <c r="X27" i="13"/>
  <c r="AB27" i="13"/>
  <c r="AF27" i="13"/>
  <c r="AJ27" i="13"/>
  <c r="AN27" i="13"/>
  <c r="AR27" i="13"/>
  <c r="AV27" i="13"/>
  <c r="AZ27" i="13"/>
  <c r="BD27" i="13"/>
  <c r="BH27" i="13"/>
  <c r="BL27" i="13"/>
  <c r="BP27" i="13"/>
  <c r="BT27" i="13"/>
  <c r="BX27" i="13"/>
  <c r="CB27" i="13"/>
  <c r="CF27" i="13"/>
  <c r="CJ27" i="13"/>
  <c r="CN27" i="13"/>
  <c r="CR27" i="13"/>
  <c r="CV27" i="13"/>
  <c r="O27" i="13"/>
  <c r="U27" i="13"/>
  <c r="Z27" i="13"/>
  <c r="AE27" i="13"/>
  <c r="AK27" i="13"/>
  <c r="AP27" i="13"/>
  <c r="AU27" i="13"/>
  <c r="BA27" i="13"/>
  <c r="BF27" i="13"/>
  <c r="BK27" i="13"/>
  <c r="BQ27" i="13"/>
  <c r="BV27" i="13"/>
  <c r="CA27" i="13"/>
  <c r="CG27" i="13"/>
  <c r="CL27" i="13"/>
  <c r="CQ27" i="13"/>
  <c r="CW27" i="13"/>
  <c r="M27" i="13"/>
  <c r="R27" i="13"/>
  <c r="W27" i="13"/>
  <c r="AC27" i="13"/>
  <c r="AH27" i="13"/>
  <c r="AM27" i="13"/>
  <c r="AS27" i="13"/>
  <c r="AX27" i="13"/>
  <c r="BC27" i="13"/>
  <c r="BI27" i="13"/>
  <c r="BN27" i="13"/>
  <c r="BS27" i="13"/>
  <c r="BY27" i="13"/>
  <c r="CD27" i="13"/>
  <c r="CI27" i="13"/>
  <c r="CO27" i="13"/>
  <c r="CT27" i="13"/>
  <c r="Q27" i="13"/>
  <c r="AA27" i="13"/>
  <c r="AL27" i="13"/>
  <c r="AW27" i="13"/>
  <c r="BG27" i="13"/>
  <c r="BR27" i="13"/>
  <c r="CC27" i="13"/>
  <c r="CM27" i="13"/>
  <c r="CX27" i="13"/>
  <c r="S27" i="13"/>
  <c r="AD27" i="13"/>
  <c r="AO27" i="13"/>
  <c r="AY27" i="13"/>
  <c r="BJ27" i="13"/>
  <c r="BU27" i="13"/>
  <c r="CE27" i="13"/>
  <c r="CP27" i="13"/>
  <c r="V27" i="13"/>
  <c r="AG27" i="13"/>
  <c r="AQ27" i="13"/>
  <c r="BB27" i="13"/>
  <c r="BM27" i="13"/>
  <c r="BW27" i="13"/>
  <c r="CH27" i="13"/>
  <c r="CS27" i="13"/>
  <c r="AI27" i="13"/>
  <c r="BZ27" i="13"/>
  <c r="Y27" i="13"/>
  <c r="BO27" i="13"/>
  <c r="AT27" i="13"/>
  <c r="CK27" i="13"/>
  <c r="N27" i="13"/>
  <c r="BE27" i="13"/>
  <c r="CU27" i="13"/>
  <c r="J23" i="13"/>
  <c r="M23" i="13"/>
  <c r="Q23" i="13"/>
  <c r="U23" i="13"/>
  <c r="Y23" i="13"/>
  <c r="AC23" i="13"/>
  <c r="N23" i="13"/>
  <c r="S23" i="13"/>
  <c r="X23" i="13"/>
  <c r="AD23" i="13"/>
  <c r="AH23" i="13"/>
  <c r="AL23" i="13"/>
  <c r="AP23" i="13"/>
  <c r="AT23" i="13"/>
  <c r="AX23" i="13"/>
  <c r="BB23" i="13"/>
  <c r="BF23" i="13"/>
  <c r="BJ23" i="13"/>
  <c r="BN23" i="13"/>
  <c r="BR23" i="13"/>
  <c r="BV23" i="13"/>
  <c r="BZ23" i="13"/>
  <c r="CD23" i="13"/>
  <c r="CH23" i="13"/>
  <c r="CL23" i="13"/>
  <c r="CP23" i="13"/>
  <c r="CT23" i="13"/>
  <c r="CX23" i="13"/>
  <c r="O23" i="13"/>
  <c r="T23" i="13"/>
  <c r="P23" i="13"/>
  <c r="V23" i="13"/>
  <c r="AA23" i="13"/>
  <c r="AF23" i="13"/>
  <c r="AJ23" i="13"/>
  <c r="AN23" i="13"/>
  <c r="AR23" i="13"/>
  <c r="AV23" i="13"/>
  <c r="AZ23" i="13"/>
  <c r="BD23" i="13"/>
  <c r="BH23" i="13"/>
  <c r="BL23" i="13"/>
  <c r="BP23" i="13"/>
  <c r="BT23" i="13"/>
  <c r="BX23" i="13"/>
  <c r="CB23" i="13"/>
  <c r="CF23" i="13"/>
  <c r="CJ23" i="13"/>
  <c r="CN23" i="13"/>
  <c r="CR23" i="13"/>
  <c r="CV23" i="13"/>
  <c r="W23" i="13"/>
  <c r="AG23" i="13"/>
  <c r="AO23" i="13"/>
  <c r="AW23" i="13"/>
  <c r="BE23" i="13"/>
  <c r="BM23" i="13"/>
  <c r="BU23" i="13"/>
  <c r="CC23" i="13"/>
  <c r="CK23" i="13"/>
  <c r="CS23" i="13"/>
  <c r="Z23" i="13"/>
  <c r="AI23" i="13"/>
  <c r="AQ23" i="13"/>
  <c r="AY23" i="13"/>
  <c r="BG23" i="13"/>
  <c r="BO23" i="13"/>
  <c r="BW23" i="13"/>
  <c r="CE23" i="13"/>
  <c r="CM23" i="13"/>
  <c r="CU23" i="13"/>
  <c r="AB23" i="13"/>
  <c r="AK23" i="13"/>
  <c r="AS23" i="13"/>
  <c r="BA23" i="13"/>
  <c r="BI23" i="13"/>
  <c r="BQ23" i="13"/>
  <c r="BY23" i="13"/>
  <c r="CG23" i="13"/>
  <c r="CO23" i="13"/>
  <c r="CW23" i="13"/>
  <c r="AE23" i="13"/>
  <c r="BK23" i="13"/>
  <c r="CQ23" i="13"/>
  <c r="AM23" i="13"/>
  <c r="BS23" i="13"/>
  <c r="AU23" i="13"/>
  <c r="CA23" i="13"/>
  <c r="R23" i="13"/>
  <c r="BC23" i="13"/>
  <c r="CI23" i="13"/>
  <c r="M19" i="13"/>
  <c r="Q19" i="13"/>
  <c r="U19" i="13"/>
  <c r="Y19" i="13"/>
  <c r="AC19" i="13"/>
  <c r="AG19" i="13"/>
  <c r="AK19" i="13"/>
  <c r="AO19" i="13"/>
  <c r="AS19" i="13"/>
  <c r="AW19" i="13"/>
  <c r="BA19" i="13"/>
  <c r="BE19" i="13"/>
  <c r="BI19" i="13"/>
  <c r="BM19" i="13"/>
  <c r="BQ19" i="13"/>
  <c r="BU19" i="13"/>
  <c r="BY19" i="13"/>
  <c r="CC19" i="13"/>
  <c r="CG19" i="13"/>
  <c r="CK19" i="13"/>
  <c r="CO19" i="13"/>
  <c r="CS19" i="13"/>
  <c r="CW19" i="13"/>
  <c r="J19" i="13"/>
  <c r="O19" i="13"/>
  <c r="S19" i="13"/>
  <c r="W19" i="13"/>
  <c r="AA19" i="13"/>
  <c r="AE19" i="13"/>
  <c r="AI19" i="13"/>
  <c r="AM19" i="13"/>
  <c r="AQ19" i="13"/>
  <c r="AU19" i="13"/>
  <c r="AY19" i="13"/>
  <c r="BC19" i="13"/>
  <c r="BG19" i="13"/>
  <c r="BK19" i="13"/>
  <c r="BO19" i="13"/>
  <c r="BS19" i="13"/>
  <c r="BW19" i="13"/>
  <c r="CA19" i="13"/>
  <c r="CE19" i="13"/>
  <c r="CI19" i="13"/>
  <c r="CM19" i="13"/>
  <c r="CQ19" i="13"/>
  <c r="CU19" i="13"/>
  <c r="N19" i="13"/>
  <c r="V19" i="13"/>
  <c r="AD19" i="13"/>
  <c r="AL19" i="13"/>
  <c r="AT19" i="13"/>
  <c r="BB19" i="13"/>
  <c r="BJ19" i="13"/>
  <c r="BR19" i="13"/>
  <c r="BZ19" i="13"/>
  <c r="CH19" i="13"/>
  <c r="CP19" i="13"/>
  <c r="CX19" i="13"/>
  <c r="X19" i="13"/>
  <c r="AH19" i="13"/>
  <c r="AR19" i="13"/>
  <c r="BD19" i="13"/>
  <c r="BN19" i="13"/>
  <c r="BX19" i="13"/>
  <c r="CJ19" i="13"/>
  <c r="CT19" i="13"/>
  <c r="P19" i="13"/>
  <c r="Z19" i="13"/>
  <c r="AJ19" i="13"/>
  <c r="AV19" i="13"/>
  <c r="BF19" i="13"/>
  <c r="BP19" i="13"/>
  <c r="CB19" i="13"/>
  <c r="CL19" i="13"/>
  <c r="CV19" i="13"/>
  <c r="R19" i="13"/>
  <c r="AB19" i="13"/>
  <c r="AN19" i="13"/>
  <c r="AX19" i="13"/>
  <c r="BH19" i="13"/>
  <c r="BT19" i="13"/>
  <c r="CD19" i="13"/>
  <c r="CN19" i="13"/>
  <c r="AF19" i="13"/>
  <c r="BV19" i="13"/>
  <c r="AP19" i="13"/>
  <c r="CF19" i="13"/>
  <c r="AZ19" i="13"/>
  <c r="CR19" i="13"/>
  <c r="T19" i="13"/>
  <c r="BL19" i="13"/>
  <c r="J38" i="13"/>
  <c r="N38" i="13"/>
  <c r="R38" i="13"/>
  <c r="V38" i="13"/>
  <c r="Z38" i="13"/>
  <c r="AD38" i="13"/>
  <c r="AH38" i="13"/>
  <c r="AL38" i="13"/>
  <c r="AP38" i="13"/>
  <c r="AT38" i="13"/>
  <c r="AX38" i="13"/>
  <c r="BB38" i="13"/>
  <c r="BF38" i="13"/>
  <c r="BJ38" i="13"/>
  <c r="BN38" i="13"/>
  <c r="BR38" i="13"/>
  <c r="BV38" i="13"/>
  <c r="BZ38" i="13"/>
  <c r="CD38" i="13"/>
  <c r="CH38" i="13"/>
  <c r="CL38" i="13"/>
  <c r="CP38" i="13"/>
  <c r="CT38" i="13"/>
  <c r="CX38" i="13"/>
  <c r="O38" i="13"/>
  <c r="S38" i="13"/>
  <c r="AA38" i="13"/>
  <c r="AE38" i="13"/>
  <c r="AI38" i="13"/>
  <c r="AQ38" i="13"/>
  <c r="AU38" i="13"/>
  <c r="AY38" i="13"/>
  <c r="BC38" i="13"/>
  <c r="BK38" i="13"/>
  <c r="BO38" i="13"/>
  <c r="BS38" i="13"/>
  <c r="CA38" i="13"/>
  <c r="CE38" i="13"/>
  <c r="CI38" i="13"/>
  <c r="CQ38" i="13"/>
  <c r="CU38" i="13"/>
  <c r="CV38" i="13"/>
  <c r="M38" i="13"/>
  <c r="U38" i="13"/>
  <c r="AC38" i="13"/>
  <c r="AK38" i="13"/>
  <c r="AO38" i="13"/>
  <c r="BA38" i="13"/>
  <c r="BI38" i="13"/>
  <c r="BQ38" i="13"/>
  <c r="BY38" i="13"/>
  <c r="CK38" i="13"/>
  <c r="CW38" i="13"/>
  <c r="W38" i="13"/>
  <c r="AM38" i="13"/>
  <c r="BG38" i="13"/>
  <c r="BW38" i="13"/>
  <c r="CM38" i="13"/>
  <c r="Y38" i="13"/>
  <c r="AS38" i="13"/>
  <c r="BM38" i="13"/>
  <c r="CC38" i="13"/>
  <c r="CO38" i="13"/>
  <c r="P38" i="13"/>
  <c r="T38" i="13"/>
  <c r="X38" i="13"/>
  <c r="AB38" i="13"/>
  <c r="AF38" i="13"/>
  <c r="AJ38" i="13"/>
  <c r="AN38" i="13"/>
  <c r="AR38" i="13"/>
  <c r="AV38" i="13"/>
  <c r="AZ38" i="13"/>
  <c r="BD38" i="13"/>
  <c r="BH38" i="13"/>
  <c r="BL38" i="13"/>
  <c r="BP38" i="13"/>
  <c r="BT38" i="13"/>
  <c r="BX38" i="13"/>
  <c r="CB38" i="13"/>
  <c r="CF38" i="13"/>
  <c r="CJ38" i="13"/>
  <c r="CN38" i="13"/>
  <c r="CR38" i="13"/>
  <c r="Q38" i="13"/>
  <c r="AG38" i="13"/>
  <c r="AW38" i="13"/>
  <c r="BE38" i="13"/>
  <c r="BU38" i="13"/>
  <c r="CG38" i="13"/>
  <c r="CS38" i="13"/>
  <c r="F22" i="49"/>
  <c r="G22" i="49" s="1"/>
  <c r="E22" i="49"/>
  <c r="D23" i="49"/>
  <c r="C24" i="49" s="1"/>
  <c r="BM37" i="16"/>
  <c r="CD21" i="14"/>
  <c r="BH21" i="14"/>
  <c r="CD35" i="16"/>
  <c r="CK30" i="16"/>
  <c r="DM12" i="7"/>
  <c r="CJ35" i="16"/>
  <c r="AT35" i="16"/>
  <c r="CL30" i="16"/>
  <c r="BL35" i="16"/>
  <c r="CR23" i="16"/>
  <c r="CV35" i="16"/>
  <c r="BF35" i="16"/>
  <c r="G31" i="13"/>
  <c r="BR35" i="16"/>
  <c r="CP22" i="14"/>
  <c r="CP35" i="16"/>
  <c r="AZ35" i="16"/>
  <c r="D9" i="19"/>
  <c r="G9" i="19" s="1"/>
  <c r="BB34" i="14"/>
  <c r="E34" i="14"/>
  <c r="AU28" i="14"/>
  <c r="E28" i="14"/>
  <c r="P23" i="14"/>
  <c r="E23" i="14"/>
  <c r="BR21" i="14"/>
  <c r="F20" i="14"/>
  <c r="E20" i="14"/>
  <c r="AI24" i="14"/>
  <c r="E24" i="14"/>
  <c r="F12" i="14"/>
  <c r="E12" i="14"/>
  <c r="D9" i="14"/>
  <c r="E9" i="14"/>
  <c r="H33" i="14"/>
  <c r="E33" i="14"/>
  <c r="BG27" i="14"/>
  <c r="E27" i="14"/>
  <c r="O19" i="14"/>
  <c r="E19" i="14"/>
  <c r="E16" i="14"/>
  <c r="D10" i="14"/>
  <c r="E10" i="14"/>
  <c r="H29" i="14"/>
  <c r="E29" i="14"/>
  <c r="E17" i="14"/>
  <c r="D38" i="14"/>
  <c r="E38" i="14"/>
  <c r="R32" i="14"/>
  <c r="E32" i="14"/>
  <c r="P26" i="14"/>
  <c r="E26" i="14"/>
  <c r="N18" i="14"/>
  <c r="E18" i="14"/>
  <c r="E15" i="14"/>
  <c r="AD37" i="14"/>
  <c r="E37" i="14"/>
  <c r="M25" i="14"/>
  <c r="E25" i="14"/>
  <c r="D22" i="14"/>
  <c r="E22" i="14"/>
  <c r="M21" i="14"/>
  <c r="E21" i="14"/>
  <c r="P36" i="14"/>
  <c r="E36" i="14"/>
  <c r="BM24" i="14"/>
  <c r="CN21" i="14"/>
  <c r="CT20" i="14"/>
  <c r="CR37" i="16"/>
  <c r="CO37" i="16"/>
  <c r="BE37" i="16"/>
  <c r="CX32" i="16"/>
  <c r="BY30" i="16"/>
  <c r="CK37" i="16"/>
  <c r="AP37" i="16"/>
  <c r="AU32" i="16"/>
  <c r="BG30" i="16"/>
  <c r="BK37" i="16"/>
  <c r="CE37" i="16"/>
  <c r="AM37" i="16"/>
  <c r="BC30" i="16"/>
  <c r="BR37" i="16"/>
  <c r="AS30" i="16"/>
  <c r="AJ34" i="16"/>
  <c r="E34" i="16"/>
  <c r="M29" i="16"/>
  <c r="E29" i="16"/>
  <c r="Z33" i="16"/>
  <c r="E33" i="16"/>
  <c r="AN32" i="16"/>
  <c r="S28" i="16"/>
  <c r="E28" i="16"/>
  <c r="D19" i="16"/>
  <c r="E19" i="16"/>
  <c r="E15" i="16"/>
  <c r="D9" i="16"/>
  <c r="E9" i="16"/>
  <c r="CE31" i="16"/>
  <c r="E31" i="16"/>
  <c r="AK26" i="16"/>
  <c r="E26" i="16"/>
  <c r="CS18" i="16"/>
  <c r="E18" i="16"/>
  <c r="F12" i="16"/>
  <c r="H12" i="16" s="1"/>
  <c r="E12" i="16"/>
  <c r="D32" i="16"/>
  <c r="E32" i="16"/>
  <c r="BA23" i="16"/>
  <c r="E23" i="16"/>
  <c r="D37" i="16"/>
  <c r="E37" i="16"/>
  <c r="BX35" i="16"/>
  <c r="BU32" i="16"/>
  <c r="AB21" i="16"/>
  <c r="E21" i="16"/>
  <c r="E17" i="16"/>
  <c r="CO36" i="16"/>
  <c r="E36" i="16"/>
  <c r="H35" i="16"/>
  <c r="E35" i="16"/>
  <c r="BG32" i="16"/>
  <c r="M30" i="16"/>
  <c r="E30" i="16"/>
  <c r="F24" i="16"/>
  <c r="E24" i="16"/>
  <c r="N20" i="16"/>
  <c r="E20" i="16"/>
  <c r="E16" i="16"/>
  <c r="D10" i="16"/>
  <c r="E10" i="16"/>
  <c r="BK37" i="14"/>
  <c r="CB36" i="14"/>
  <c r="CL33" i="14"/>
  <c r="BK24" i="14"/>
  <c r="CK22" i="14"/>
  <c r="BE22" i="14"/>
  <c r="CX21" i="14"/>
  <c r="CL21" i="14"/>
  <c r="CC21" i="14"/>
  <c r="BQ21" i="14"/>
  <c r="BG21" i="14"/>
  <c r="AU21" i="14"/>
  <c r="AI21" i="14"/>
  <c r="CU20" i="14"/>
  <c r="N20" i="14"/>
  <c r="BI19" i="14"/>
  <c r="CJ18" i="14"/>
  <c r="AJ21" i="14"/>
  <c r="BR19" i="14"/>
  <c r="BE37" i="14"/>
  <c r="CA22" i="14"/>
  <c r="AM22" i="14"/>
  <c r="CU21" i="14"/>
  <c r="CK21" i="14"/>
  <c r="BY21" i="14"/>
  <c r="BP21" i="14"/>
  <c r="BD21" i="14"/>
  <c r="AS21" i="14"/>
  <c r="AA21" i="14"/>
  <c r="AV19" i="14"/>
  <c r="CA18" i="14"/>
  <c r="BB37" i="14"/>
  <c r="CU23" i="14"/>
  <c r="BX22" i="14"/>
  <c r="AI22" i="14"/>
  <c r="CT21" i="14"/>
  <c r="CJ21" i="14"/>
  <c r="BX21" i="14"/>
  <c r="BN21" i="14"/>
  <c r="BB21" i="14"/>
  <c r="AR21" i="14"/>
  <c r="X21" i="14"/>
  <c r="CG20" i="14"/>
  <c r="CN19" i="14"/>
  <c r="AN19" i="14"/>
  <c r="BM18" i="14"/>
  <c r="CC37" i="14"/>
  <c r="AJ37" i="14"/>
  <c r="CL34" i="14"/>
  <c r="BW22" i="14"/>
  <c r="AH22" i="14"/>
  <c r="CR21" i="14"/>
  <c r="CF21" i="14"/>
  <c r="BW21" i="14"/>
  <c r="BK21" i="14"/>
  <c r="BA21" i="14"/>
  <c r="AN21" i="14"/>
  <c r="V21" i="14"/>
  <c r="BF20" i="14"/>
  <c r="CD19" i="14"/>
  <c r="AL19" i="14"/>
  <c r="BD18" i="14"/>
  <c r="CL37" i="14"/>
  <c r="AA37" i="14"/>
  <c r="CJ24" i="14"/>
  <c r="CS22" i="14"/>
  <c r="BL22" i="14"/>
  <c r="F22" i="14"/>
  <c r="CQ21" i="14"/>
  <c r="CE21" i="14"/>
  <c r="BV21" i="14"/>
  <c r="BJ21" i="14"/>
  <c r="AZ21" i="14"/>
  <c r="AL21" i="14"/>
  <c r="Q21" i="14"/>
  <c r="BE20" i="14"/>
  <c r="BS19" i="14"/>
  <c r="AA19" i="14"/>
  <c r="AI18" i="14"/>
  <c r="CI33" i="14"/>
  <c r="AS29" i="14"/>
  <c r="CO24" i="14"/>
  <c r="CC23" i="14"/>
  <c r="CI18" i="14"/>
  <c r="AB18" i="14"/>
  <c r="CU35" i="16"/>
  <c r="CO35" i="16"/>
  <c r="CI35" i="16"/>
  <c r="CC35" i="16"/>
  <c r="BW35" i="16"/>
  <c r="BQ35" i="16"/>
  <c r="BK35" i="16"/>
  <c r="BE35" i="16"/>
  <c r="AY35" i="16"/>
  <c r="AS35" i="16"/>
  <c r="AM35" i="16"/>
  <c r="AF35" i="16"/>
  <c r="Y35" i="16"/>
  <c r="Q35" i="16"/>
  <c r="BQ32" i="16"/>
  <c r="CX30" i="16"/>
  <c r="BP30" i="16"/>
  <c r="AK30" i="16"/>
  <c r="CB23" i="16"/>
  <c r="AE20" i="16"/>
  <c r="AX18" i="16"/>
  <c r="CG25" i="14"/>
  <c r="AZ23" i="14"/>
  <c r="CT35" i="16"/>
  <c r="CN35" i="16"/>
  <c r="CH35" i="16"/>
  <c r="CB35" i="16"/>
  <c r="BV35" i="16"/>
  <c r="BP35" i="16"/>
  <c r="BJ35" i="16"/>
  <c r="BD35" i="16"/>
  <c r="AX35" i="16"/>
  <c r="AR35" i="16"/>
  <c r="AL35" i="16"/>
  <c r="AE35" i="16"/>
  <c r="X35" i="16"/>
  <c r="O35" i="16"/>
  <c r="BW33" i="16"/>
  <c r="CT30" i="16"/>
  <c r="BO30" i="16"/>
  <c r="AE30" i="16"/>
  <c r="BT26" i="16"/>
  <c r="D36" i="17"/>
  <c r="D9" i="17"/>
  <c r="CS35" i="16"/>
  <c r="CM35" i="16"/>
  <c r="CG35" i="16"/>
  <c r="CA35" i="16"/>
  <c r="BU35" i="16"/>
  <c r="BO35" i="16"/>
  <c r="BI35" i="16"/>
  <c r="BC35" i="16"/>
  <c r="AW35" i="16"/>
  <c r="AQ35" i="16"/>
  <c r="AD35" i="16"/>
  <c r="W35" i="16"/>
  <c r="N35" i="16"/>
  <c r="AK25" i="14"/>
  <c r="CX35" i="16"/>
  <c r="CR35" i="16"/>
  <c r="CL35" i="16"/>
  <c r="CF35" i="16"/>
  <c r="BZ35" i="16"/>
  <c r="BT35" i="16"/>
  <c r="BN35" i="16"/>
  <c r="BH35" i="16"/>
  <c r="BB35" i="16"/>
  <c r="AV35" i="16"/>
  <c r="AP35" i="16"/>
  <c r="AJ35" i="16"/>
  <c r="AC35" i="16"/>
  <c r="U35" i="16"/>
  <c r="M35" i="16"/>
  <c r="AG35" i="16"/>
  <c r="Z35" i="16"/>
  <c r="S35" i="16"/>
  <c r="D33" i="17"/>
  <c r="BI25" i="14"/>
  <c r="AK35" i="16"/>
  <c r="P27" i="14"/>
  <c r="AK18" i="14"/>
  <c r="AI37" i="16"/>
  <c r="CW35" i="16"/>
  <c r="CQ35" i="16"/>
  <c r="CK35" i="16"/>
  <c r="CE35" i="16"/>
  <c r="BY35" i="16"/>
  <c r="BS35" i="16"/>
  <c r="BM35" i="16"/>
  <c r="BG35" i="16"/>
  <c r="BA35" i="16"/>
  <c r="AU35" i="16"/>
  <c r="AO35" i="16"/>
  <c r="AI35" i="16"/>
  <c r="AA35" i="16"/>
  <c r="T35" i="16"/>
  <c r="F35" i="16"/>
  <c r="CB30" i="16"/>
  <c r="AU30" i="16"/>
  <c r="D10" i="17"/>
  <c r="DP36" i="7"/>
  <c r="DP30" i="7"/>
  <c r="DP24" i="7"/>
  <c r="DP12" i="7"/>
  <c r="M36" i="16"/>
  <c r="BW36" i="16"/>
  <c r="CN36" i="16"/>
  <c r="BJ36" i="16"/>
  <c r="BV36" i="16"/>
  <c r="CJ33" i="16"/>
  <c r="CD26" i="16"/>
  <c r="AB22" i="16"/>
  <c r="BR22" i="16"/>
  <c r="F18" i="16"/>
  <c r="AE18" i="16"/>
  <c r="BM18" i="16"/>
  <c r="CF18" i="16"/>
  <c r="AK18" i="16"/>
  <c r="BR18" i="16"/>
  <c r="CP18" i="16"/>
  <c r="O18" i="16"/>
  <c r="BA18" i="16"/>
  <c r="CA18" i="16"/>
  <c r="CU18" i="16"/>
  <c r="P18" i="16"/>
  <c r="BC18" i="16"/>
  <c r="CE18" i="16"/>
  <c r="CW18" i="16"/>
  <c r="N30" i="14"/>
  <c r="BZ30" i="14"/>
  <c r="CV30" i="14"/>
  <c r="BS28" i="14"/>
  <c r="AP33" i="14"/>
  <c r="BT33" i="14"/>
  <c r="R33" i="14"/>
  <c r="BQ33" i="14"/>
  <c r="CR33" i="14"/>
  <c r="AD33" i="14"/>
  <c r="BR33" i="14"/>
  <c r="CU33" i="14"/>
  <c r="BD28" i="14"/>
  <c r="D33" i="16"/>
  <c r="V33" i="16"/>
  <c r="AS33" i="16"/>
  <c r="BK33" i="16"/>
  <c r="CH33" i="16"/>
  <c r="AF33" i="16"/>
  <c r="AX33" i="16"/>
  <c r="BU33" i="16"/>
  <c r="CM33" i="16"/>
  <c r="M33" i="16"/>
  <c r="AK33" i="16"/>
  <c r="BF33" i="16"/>
  <c r="BX33" i="16"/>
  <c r="CU33" i="16"/>
  <c r="U33" i="16"/>
  <c r="AM33" i="16"/>
  <c r="BJ33" i="16"/>
  <c r="CB33" i="16"/>
  <c r="R35" i="14"/>
  <c r="CT35" i="14"/>
  <c r="BB35" i="14"/>
  <c r="BJ35" i="14"/>
  <c r="CC33" i="14"/>
  <c r="AX28" i="14"/>
  <c r="BO33" i="16"/>
  <c r="AY26" i="16"/>
  <c r="BT18" i="16"/>
  <c r="CF37" i="14"/>
  <c r="BB33" i="14"/>
  <c r="D29" i="14"/>
  <c r="CM29" i="14"/>
  <c r="AV29" i="14"/>
  <c r="CC29" i="14"/>
  <c r="AZ33" i="16"/>
  <c r="BQ18" i="16"/>
  <c r="D28" i="14"/>
  <c r="AO28" i="14"/>
  <c r="BQ28" i="14"/>
  <c r="CQ28" i="14"/>
  <c r="AA28" i="14"/>
  <c r="BG28" i="14"/>
  <c r="CH28" i="14"/>
  <c r="AG28" i="14"/>
  <c r="BP28" i="14"/>
  <c r="CN28" i="14"/>
  <c r="AY33" i="14"/>
  <c r="AT30" i="14"/>
  <c r="CE28" i="14"/>
  <c r="Z28" i="14"/>
  <c r="AW33" i="16"/>
  <c r="N26" i="16"/>
  <c r="AB26" i="16"/>
  <c r="BL26" i="16"/>
  <c r="CQ26" i="16"/>
  <c r="AP26" i="16"/>
  <c r="BU26" i="16"/>
  <c r="D26" i="16"/>
  <c r="AZ26" i="16"/>
  <c r="CG26" i="16"/>
  <c r="X26" i="16"/>
  <c r="BH26" i="16"/>
  <c r="CP26" i="16"/>
  <c r="D24" i="17"/>
  <c r="N37" i="14"/>
  <c r="U37" i="14"/>
  <c r="AV37" i="14"/>
  <c r="BW37" i="14"/>
  <c r="CX37" i="14"/>
  <c r="H37" i="14"/>
  <c r="AM37" i="14"/>
  <c r="BN37" i="14"/>
  <c r="CO37" i="14"/>
  <c r="R37" i="14"/>
  <c r="AS37" i="14"/>
  <c r="BT37" i="14"/>
  <c r="CU37" i="14"/>
  <c r="AT33" i="14"/>
  <c r="AN30" i="14"/>
  <c r="CB28" i="14"/>
  <c r="N28" i="14"/>
  <c r="BK28" i="15"/>
  <c r="D28" i="15"/>
  <c r="CI36" i="16"/>
  <c r="CO33" i="16"/>
  <c r="AH33" i="16"/>
  <c r="N27" i="16"/>
  <c r="BV27" i="16"/>
  <c r="P25" i="16"/>
  <c r="CK25" i="16"/>
  <c r="N23" i="16"/>
  <c r="AF23" i="16"/>
  <c r="BW23" i="16"/>
  <c r="AM23" i="16"/>
  <c r="CD23" i="16"/>
  <c r="O23" i="16"/>
  <c r="BF23" i="16"/>
  <c r="CW23" i="16"/>
  <c r="Q23" i="16"/>
  <c r="BH23" i="16"/>
  <c r="AI18" i="16"/>
  <c r="AH24" i="14"/>
  <c r="CV22" i="14"/>
  <c r="CH22" i="14"/>
  <c r="BP22" i="14"/>
  <c r="AZ22" i="14"/>
  <c r="U22" i="14"/>
  <c r="CV21" i="14"/>
  <c r="CO21" i="14"/>
  <c r="CH21" i="14"/>
  <c r="BZ21" i="14"/>
  <c r="BS21" i="14"/>
  <c r="BL21" i="14"/>
  <c r="BE21" i="14"/>
  <c r="AX21" i="14"/>
  <c r="AO21" i="14"/>
  <c r="AB21" i="14"/>
  <c r="O21" i="14"/>
  <c r="BU20" i="14"/>
  <c r="AF20" i="14"/>
  <c r="CE19" i="14"/>
  <c r="AW19" i="14"/>
  <c r="D19" i="14"/>
  <c r="BE18" i="14"/>
  <c r="D16" i="14"/>
  <c r="CX37" i="16"/>
  <c r="BX37" i="16"/>
  <c r="AV37" i="16"/>
  <c r="P37" i="16"/>
  <c r="CX29" i="16"/>
  <c r="S21" i="16"/>
  <c r="CT22" i="14"/>
  <c r="CE22" i="14"/>
  <c r="BM22" i="14"/>
  <c r="AX22" i="14"/>
  <c r="N22" i="14"/>
  <c r="BT20" i="14"/>
  <c r="AD20" i="14"/>
  <c r="BH24" i="14"/>
  <c r="CI22" i="14"/>
  <c r="BU22" i="14"/>
  <c r="BA22" i="14"/>
  <c r="AA22" i="14"/>
  <c r="CW21" i="14"/>
  <c r="CP21" i="14"/>
  <c r="CI21" i="14"/>
  <c r="CB21" i="14"/>
  <c r="BT21" i="14"/>
  <c r="BM21" i="14"/>
  <c r="BF21" i="14"/>
  <c r="AY21" i="14"/>
  <c r="AP21" i="14"/>
  <c r="AG21" i="14"/>
  <c r="P21" i="14"/>
  <c r="CF20" i="14"/>
  <c r="AT20" i="14"/>
  <c r="CM19" i="14"/>
  <c r="BH19" i="14"/>
  <c r="X19" i="14"/>
  <c r="BZ37" i="16"/>
  <c r="AZ37" i="16"/>
  <c r="V37" i="16"/>
  <c r="CC32" i="16"/>
  <c r="P32" i="16"/>
  <c r="BX24" i="16"/>
  <c r="CJ21" i="16"/>
  <c r="DP37" i="7"/>
  <c r="DP31" i="7"/>
  <c r="DP25" i="7"/>
  <c r="DP19" i="7"/>
  <c r="DP27" i="7"/>
  <c r="DP39" i="7"/>
  <c r="DP33" i="7"/>
  <c r="DP21" i="7"/>
  <c r="DP38" i="7"/>
  <c r="DP32" i="7"/>
  <c r="DP26" i="7"/>
  <c r="DP20" i="7"/>
  <c r="DP15" i="7"/>
  <c r="DP14" i="7"/>
  <c r="DP13" i="7"/>
  <c r="Q34" i="14"/>
  <c r="P34" i="14"/>
  <c r="BO34" i="14"/>
  <c r="CR34" i="14"/>
  <c r="AF34" i="14"/>
  <c r="BP34" i="14"/>
  <c r="CS34" i="14"/>
  <c r="AL34" i="14"/>
  <c r="BV34" i="14"/>
  <c r="CX34" i="14"/>
  <c r="AT34" i="14"/>
  <c r="BX34" i="14"/>
  <c r="BA34" i="14"/>
  <c r="CD34" i="14"/>
  <c r="D31" i="14"/>
  <c r="BE31" i="14"/>
  <c r="BW31" i="14"/>
  <c r="CS31" i="14"/>
  <c r="CX31" i="14"/>
  <c r="CT23" i="14"/>
  <c r="CJ23" i="14"/>
  <c r="CB23" i="14"/>
  <c r="BL23" i="14"/>
  <c r="AX23" i="14"/>
  <c r="AA23" i="14"/>
  <c r="BR24" i="16"/>
  <c r="BD22" i="16"/>
  <c r="DP34" i="7"/>
  <c r="DP28" i="7"/>
  <c r="DP22" i="7"/>
  <c r="CD30" i="14"/>
  <c r="R30" i="14"/>
  <c r="BW29" i="14"/>
  <c r="AQ29" i="14"/>
  <c r="CT28" i="14"/>
  <c r="CC28" i="14"/>
  <c r="BJ28" i="14"/>
  <c r="AS28" i="14"/>
  <c r="O28" i="14"/>
  <c r="CR26" i="14"/>
  <c r="AM24" i="14"/>
  <c r="CS23" i="14"/>
  <c r="CI23" i="14"/>
  <c r="BX23" i="14"/>
  <c r="BK23" i="14"/>
  <c r="AW23" i="14"/>
  <c r="V23" i="14"/>
  <c r="AH21" i="14"/>
  <c r="W21" i="14"/>
  <c r="H21" i="14"/>
  <c r="CO20" i="14"/>
  <c r="CD20" i="14"/>
  <c r="BP20" i="14"/>
  <c r="BD20" i="14"/>
  <c r="AP20" i="14"/>
  <c r="AB20" i="14"/>
  <c r="CV19" i="14"/>
  <c r="CL19" i="14"/>
  <c r="BZ19" i="14"/>
  <c r="BP19" i="14"/>
  <c r="BD19" i="14"/>
  <c r="AU19" i="14"/>
  <c r="AI19" i="14"/>
  <c r="W19" i="14"/>
  <c r="CS18" i="14"/>
  <c r="BW18" i="14"/>
  <c r="AW18" i="14"/>
  <c r="AA18" i="14"/>
  <c r="CG36" i="16"/>
  <c r="BI36" i="16"/>
  <c r="CS30" i="16"/>
  <c r="CI30" i="16"/>
  <c r="BW30" i="16"/>
  <c r="BN30" i="16"/>
  <c r="BB30" i="16"/>
  <c r="AR30" i="16"/>
  <c r="AD30" i="16"/>
  <c r="CX26" i="16"/>
  <c r="CO26" i="16"/>
  <c r="CC26" i="16"/>
  <c r="BS26" i="16"/>
  <c r="BG26" i="16"/>
  <c r="AW26" i="16"/>
  <c r="AJ26" i="16"/>
  <c r="W26" i="16"/>
  <c r="BF24" i="16"/>
  <c r="AX22" i="16"/>
  <c r="CC21" i="16"/>
  <c r="CR20" i="16"/>
  <c r="BO29" i="14"/>
  <c r="AF29" i="14"/>
  <c r="CP23" i="14"/>
  <c r="CH23" i="14"/>
  <c r="BW23" i="14"/>
  <c r="BJ23" i="14"/>
  <c r="AN23" i="14"/>
  <c r="O23" i="14"/>
  <c r="CN20" i="14"/>
  <c r="CB20" i="14"/>
  <c r="BN20" i="14"/>
  <c r="BC20" i="14"/>
  <c r="AN20" i="14"/>
  <c r="AA20" i="14"/>
  <c r="CT19" i="14"/>
  <c r="CK19" i="14"/>
  <c r="BY19" i="14"/>
  <c r="BO19" i="14"/>
  <c r="BC19" i="14"/>
  <c r="AT19" i="14"/>
  <c r="AH19" i="14"/>
  <c r="V19" i="14"/>
  <c r="CQ18" i="14"/>
  <c r="BR18" i="14"/>
  <c r="AT18" i="14"/>
  <c r="W18" i="14"/>
  <c r="CT36" i="16"/>
  <c r="CD36" i="16"/>
  <c r="AQ36" i="16"/>
  <c r="CR30" i="16"/>
  <c r="CF30" i="16"/>
  <c r="BV30" i="16"/>
  <c r="BJ30" i="16"/>
  <c r="BA30" i="16"/>
  <c r="AO30" i="16"/>
  <c r="Z30" i="16"/>
  <c r="BQ29" i="16"/>
  <c r="CW26" i="16"/>
  <c r="CK26" i="16"/>
  <c r="CA26" i="16"/>
  <c r="BO26" i="16"/>
  <c r="BF26" i="16"/>
  <c r="AT26" i="16"/>
  <c r="AI26" i="16"/>
  <c r="V26" i="16"/>
  <c r="AZ24" i="16"/>
  <c r="CP23" i="16"/>
  <c r="BT23" i="16"/>
  <c r="AY23" i="16"/>
  <c r="AC23" i="16"/>
  <c r="CX22" i="16"/>
  <c r="AM22" i="16"/>
  <c r="BR21" i="16"/>
  <c r="BV20" i="16"/>
  <c r="BE19" i="16"/>
  <c r="CM18" i="16"/>
  <c r="BY18" i="16"/>
  <c r="BK18" i="16"/>
  <c r="AT18" i="16"/>
  <c r="Z18" i="16"/>
  <c r="CM23" i="14"/>
  <c r="BR23" i="14"/>
  <c r="AB23" i="14"/>
  <c r="BV30" i="14"/>
  <c r="CS29" i="14"/>
  <c r="BL29" i="14"/>
  <c r="Z29" i="14"/>
  <c r="CO28" i="14"/>
  <c r="BV28" i="14"/>
  <c r="BE28" i="14"/>
  <c r="AI28" i="14"/>
  <c r="F28" i="14"/>
  <c r="CO23" i="14"/>
  <c r="CG23" i="14"/>
  <c r="BV23" i="14"/>
  <c r="BF23" i="14"/>
  <c r="AM23" i="14"/>
  <c r="N23" i="14"/>
  <c r="AT21" i="14"/>
  <c r="AM21" i="14"/>
  <c r="AD21" i="14"/>
  <c r="R21" i="14"/>
  <c r="CX20" i="14"/>
  <c r="CM20" i="14"/>
  <c r="BX20" i="14"/>
  <c r="BL20" i="14"/>
  <c r="AX20" i="14"/>
  <c r="AM20" i="14"/>
  <c r="S20" i="14"/>
  <c r="CS19" i="14"/>
  <c r="CG19" i="14"/>
  <c r="BX19" i="14"/>
  <c r="BL19" i="14"/>
  <c r="BB19" i="14"/>
  <c r="AP19" i="14"/>
  <c r="AE19" i="14"/>
  <c r="P19" i="14"/>
  <c r="CK18" i="14"/>
  <c r="BO18" i="14"/>
  <c r="AS18" i="14"/>
  <c r="D18" i="14"/>
  <c r="F21" i="15"/>
  <c r="CS36" i="16"/>
  <c r="CC36" i="16"/>
  <c r="AA36" i="16"/>
  <c r="CQ30" i="16"/>
  <c r="CE30" i="16"/>
  <c r="BU30" i="16"/>
  <c r="BI30" i="16"/>
  <c r="AY30" i="16"/>
  <c r="AM30" i="16"/>
  <c r="Y30" i="16"/>
  <c r="CV26" i="16"/>
  <c r="CJ26" i="16"/>
  <c r="BZ26" i="16"/>
  <c r="BN26" i="16"/>
  <c r="BE26" i="16"/>
  <c r="AS26" i="16"/>
  <c r="AE26" i="16"/>
  <c r="P26" i="16"/>
  <c r="CP24" i="16"/>
  <c r="AN24" i="16"/>
  <c r="CK23" i="16"/>
  <c r="BP23" i="16"/>
  <c r="AT23" i="16"/>
  <c r="X23" i="16"/>
  <c r="CJ22" i="16"/>
  <c r="Z22" i="16"/>
  <c r="BE21" i="16"/>
  <c r="BO20" i="16"/>
  <c r="CL18" i="16"/>
  <c r="BX18" i="16"/>
  <c r="BI18" i="16"/>
  <c r="AS18" i="16"/>
  <c r="Y18" i="16"/>
  <c r="D29" i="17"/>
  <c r="AZ30" i="14"/>
  <c r="CR29" i="14"/>
  <c r="BH29" i="14"/>
  <c r="P29" i="14"/>
  <c r="CV23" i="14"/>
  <c r="CN23" i="14"/>
  <c r="CD23" i="14"/>
  <c r="BU23" i="14"/>
  <c r="BC23" i="14"/>
  <c r="AL23" i="14"/>
  <c r="D23" i="14"/>
  <c r="CV20" i="14"/>
  <c r="CL20" i="14"/>
  <c r="BW20" i="14"/>
  <c r="BK20" i="14"/>
  <c r="AW20" i="14"/>
  <c r="AK20" i="14"/>
  <c r="O20" i="14"/>
  <c r="CR19" i="14"/>
  <c r="CF19" i="14"/>
  <c r="BV19" i="14"/>
  <c r="BJ19" i="14"/>
  <c r="BA19" i="14"/>
  <c r="AO19" i="14"/>
  <c r="AD19" i="14"/>
  <c r="H19" i="14"/>
  <c r="F16" i="14"/>
  <c r="H16" i="14" s="1"/>
  <c r="CM30" i="16"/>
  <c r="CC30" i="16"/>
  <c r="BQ30" i="16"/>
  <c r="BH30" i="16"/>
  <c r="AV30" i="16"/>
  <c r="AL30" i="16"/>
  <c r="W30" i="16"/>
  <c r="CR26" i="16"/>
  <c r="CI26" i="16"/>
  <c r="BW26" i="16"/>
  <c r="BM26" i="16"/>
  <c r="BA26" i="16"/>
  <c r="AQ26" i="16"/>
  <c r="AD26" i="16"/>
  <c r="M26" i="16"/>
  <c r="CJ24" i="16"/>
  <c r="AH24" i="16"/>
  <c r="CI23" i="16"/>
  <c r="BM23" i="16"/>
  <c r="AR23" i="16"/>
  <c r="V23" i="16"/>
  <c r="CC22" i="16"/>
  <c r="R22" i="16"/>
  <c r="AX21" i="16"/>
  <c r="AS20" i="16"/>
  <c r="BF18" i="16"/>
  <c r="AN18" i="16"/>
  <c r="S18" i="16"/>
  <c r="D17" i="17"/>
  <c r="CS29" i="16"/>
  <c r="BN29" i="16"/>
  <c r="BQ27" i="16"/>
  <c r="AL27" i="16"/>
  <c r="CJ25" i="16"/>
  <c r="BK25" i="16"/>
  <c r="AM25" i="16"/>
  <c r="CW24" i="16"/>
  <c r="CE24" i="16"/>
  <c r="BM24" i="16"/>
  <c r="AU24" i="16"/>
  <c r="AB24" i="16"/>
  <c r="CV23" i="16"/>
  <c r="CO23" i="16"/>
  <c r="CH23" i="16"/>
  <c r="BZ23" i="16"/>
  <c r="BS23" i="16"/>
  <c r="BL23" i="16"/>
  <c r="BE23" i="16"/>
  <c r="AX23" i="16"/>
  <c r="AP23" i="16"/>
  <c r="AI23" i="16"/>
  <c r="AB23" i="16"/>
  <c r="U23" i="16"/>
  <c r="H23" i="16"/>
  <c r="CO20" i="16"/>
  <c r="BH20" i="16"/>
  <c r="AC20" i="16"/>
  <c r="BS25" i="16"/>
  <c r="AS25" i="16"/>
  <c r="AK32" i="16"/>
  <c r="R30" i="16"/>
  <c r="CL29" i="16"/>
  <c r="BG29" i="16"/>
  <c r="CR27" i="16"/>
  <c r="BJ27" i="16"/>
  <c r="AE27" i="16"/>
  <c r="CI25" i="16"/>
  <c r="BJ25" i="16"/>
  <c r="AL25" i="16"/>
  <c r="CV24" i="16"/>
  <c r="CD24" i="16"/>
  <c r="BL24" i="16"/>
  <c r="AT24" i="16"/>
  <c r="V24" i="16"/>
  <c r="CU23" i="16"/>
  <c r="CN23" i="16"/>
  <c r="CF23" i="16"/>
  <c r="BY23" i="16"/>
  <c r="BR23" i="16"/>
  <c r="BK23" i="16"/>
  <c r="BD23" i="16"/>
  <c r="AV23" i="16"/>
  <c r="AO23" i="16"/>
  <c r="AH23" i="16"/>
  <c r="AA23" i="16"/>
  <c r="T23" i="16"/>
  <c r="F23" i="16"/>
  <c r="AN21" i="16"/>
  <c r="CK20" i="16"/>
  <c r="BA20" i="16"/>
  <c r="X20" i="16"/>
  <c r="CR18" i="16"/>
  <c r="CK18" i="16"/>
  <c r="CD18" i="16"/>
  <c r="BW18" i="16"/>
  <c r="BO18" i="16"/>
  <c r="BH18" i="16"/>
  <c r="AZ18" i="16"/>
  <c r="AR18" i="16"/>
  <c r="AG18" i="16"/>
  <c r="W18" i="16"/>
  <c r="N18" i="16"/>
  <c r="AO27" i="16"/>
  <c r="Y32" i="16"/>
  <c r="Q30" i="16"/>
  <c r="CJ29" i="16"/>
  <c r="AT29" i="16"/>
  <c r="CM27" i="16"/>
  <c r="BH27" i="16"/>
  <c r="Z27" i="16"/>
  <c r="U26" i="16"/>
  <c r="CV25" i="16"/>
  <c r="CB25" i="16"/>
  <c r="BF25" i="16"/>
  <c r="Z25" i="16"/>
  <c r="CQ24" i="16"/>
  <c r="BY24" i="16"/>
  <c r="BG24" i="16"/>
  <c r="AO24" i="16"/>
  <c r="P24" i="16"/>
  <c r="CT23" i="16"/>
  <c r="CL23" i="16"/>
  <c r="CE23" i="16"/>
  <c r="BX23" i="16"/>
  <c r="BQ23" i="16"/>
  <c r="BJ23" i="16"/>
  <c r="BB23" i="16"/>
  <c r="AU23" i="16"/>
  <c r="AN23" i="16"/>
  <c r="AG23" i="16"/>
  <c r="Z23" i="16"/>
  <c r="R23" i="16"/>
  <c r="D23" i="16"/>
  <c r="Z21" i="16"/>
  <c r="CC20" i="16"/>
  <c r="AX20" i="16"/>
  <c r="Q20" i="16"/>
  <c r="CX18" i="16"/>
  <c r="CQ18" i="16"/>
  <c r="CJ18" i="16"/>
  <c r="CC18" i="16"/>
  <c r="BU18" i="16"/>
  <c r="BN18" i="16"/>
  <c r="BG18" i="16"/>
  <c r="AY18" i="16"/>
  <c r="AQ18" i="16"/>
  <c r="AF18" i="16"/>
  <c r="V18" i="16"/>
  <c r="D18" i="16"/>
  <c r="CC29" i="16"/>
  <c r="AG29" i="16"/>
  <c r="CF27" i="16"/>
  <c r="BA27" i="16"/>
  <c r="S27" i="16"/>
  <c r="CU25" i="16"/>
  <c r="BY25" i="16"/>
  <c r="BE25" i="16"/>
  <c r="V25" i="16"/>
  <c r="BX29" i="16"/>
  <c r="S29" i="16"/>
  <c r="CC27" i="16"/>
  <c r="AV27" i="16"/>
  <c r="Q27" i="16"/>
  <c r="O26" i="16"/>
  <c r="CN25" i="16"/>
  <c r="BV25" i="16"/>
  <c r="AT25" i="16"/>
  <c r="D25" i="16"/>
  <c r="CK24" i="16"/>
  <c r="BS24" i="16"/>
  <c r="BA24" i="16"/>
  <c r="AI24" i="16"/>
  <c r="CX23" i="16"/>
  <c r="CQ23" i="16"/>
  <c r="CJ23" i="16"/>
  <c r="CC23" i="16"/>
  <c r="BV23" i="16"/>
  <c r="BN23" i="16"/>
  <c r="BG23" i="16"/>
  <c r="AZ23" i="16"/>
  <c r="AS23" i="16"/>
  <c r="AL23" i="16"/>
  <c r="AD23" i="16"/>
  <c r="W23" i="16"/>
  <c r="P23" i="16"/>
  <c r="BT20" i="16"/>
  <c r="AL20" i="16"/>
  <c r="CD19" i="16"/>
  <c r="CV18" i="16"/>
  <c r="CO18" i="16"/>
  <c r="CG18" i="16"/>
  <c r="BZ18" i="16"/>
  <c r="BS18" i="16"/>
  <c r="BL18" i="16"/>
  <c r="BE18" i="16"/>
  <c r="AU18" i="16"/>
  <c r="AM18" i="16"/>
  <c r="AB18" i="16"/>
  <c r="Q18" i="16"/>
  <c r="U31" i="14"/>
  <c r="AT31" i="14"/>
  <c r="BN31" i="14"/>
  <c r="CB31" i="14"/>
  <c r="CP31" i="14"/>
  <c r="W31" i="14"/>
  <c r="AV31" i="14"/>
  <c r="BO31" i="14"/>
  <c r="CC31" i="14"/>
  <c r="CR31" i="14"/>
  <c r="H25" i="14"/>
  <c r="O25" i="14"/>
  <c r="AA25" i="14"/>
  <c r="AM25" i="14"/>
  <c r="AY25" i="14"/>
  <c r="BK25" i="14"/>
  <c r="BW25" i="14"/>
  <c r="CI25" i="14"/>
  <c r="CU25" i="14"/>
  <c r="S25" i="14"/>
  <c r="AE25" i="14"/>
  <c r="AQ25" i="14"/>
  <c r="BC25" i="14"/>
  <c r="BO25" i="14"/>
  <c r="CA25" i="14"/>
  <c r="CM25" i="14"/>
  <c r="T25" i="14"/>
  <c r="AF25" i="14"/>
  <c r="AR25" i="14"/>
  <c r="BD25" i="14"/>
  <c r="BP25" i="14"/>
  <c r="CB25" i="14"/>
  <c r="CN25" i="14"/>
  <c r="CL31" i="14"/>
  <c r="CT25" i="14"/>
  <c r="AX25" i="14"/>
  <c r="Z25" i="14"/>
  <c r="CK34" i="14"/>
  <c r="BH34" i="14"/>
  <c r="X34" i="14"/>
  <c r="AG33" i="14"/>
  <c r="BF33" i="14"/>
  <c r="CD33" i="14"/>
  <c r="CX33" i="14"/>
  <c r="AM33" i="14"/>
  <c r="BN33" i="14"/>
  <c r="CF33" i="14"/>
  <c r="CJ31" i="14"/>
  <c r="BP31" i="14"/>
  <c r="AJ31" i="14"/>
  <c r="CF29" i="14"/>
  <c r="BJ29" i="14"/>
  <c r="AG29" i="14"/>
  <c r="CS25" i="14"/>
  <c r="BU25" i="14"/>
  <c r="AW25" i="14"/>
  <c r="Y25" i="14"/>
  <c r="CK24" i="14"/>
  <c r="CU18" i="14"/>
  <c r="CB18" i="14"/>
  <c r="BF18" i="14"/>
  <c r="AL18" i="14"/>
  <c r="BV31" i="14"/>
  <c r="AW31" i="14"/>
  <c r="CC25" i="14"/>
  <c r="AG25" i="14"/>
  <c r="BU31" i="14"/>
  <c r="AK31" i="14"/>
  <c r="BV25" i="14"/>
  <c r="CI31" i="14"/>
  <c r="BH31" i="14"/>
  <c r="AH31" i="14"/>
  <c r="M29" i="14"/>
  <c r="S29" i="14"/>
  <c r="AL29" i="14"/>
  <c r="BB29" i="14"/>
  <c r="BQ29" i="14"/>
  <c r="CH29" i="14"/>
  <c r="X29" i="14"/>
  <c r="AN29" i="14"/>
  <c r="BC29" i="14"/>
  <c r="BV29" i="14"/>
  <c r="CJ29" i="14"/>
  <c r="CO25" i="14"/>
  <c r="BQ25" i="14"/>
  <c r="AS25" i="14"/>
  <c r="U25" i="14"/>
  <c r="BE25" i="14"/>
  <c r="BR32" i="14"/>
  <c r="CU32" i="14"/>
  <c r="CD31" i="14"/>
  <c r="BF31" i="14"/>
  <c r="X31" i="14"/>
  <c r="CT29" i="14"/>
  <c r="BX29" i="14"/>
  <c r="AZ29" i="14"/>
  <c r="AE29" i="14"/>
  <c r="AZ27" i="14"/>
  <c r="BN27" i="14"/>
  <c r="CJ27" i="14"/>
  <c r="CH25" i="14"/>
  <c r="BJ25" i="14"/>
  <c r="AL25" i="14"/>
  <c r="N25" i="14"/>
  <c r="M24" i="14"/>
  <c r="U24" i="14"/>
  <c r="AU24" i="14"/>
  <c r="BW24" i="14"/>
  <c r="CU24" i="14"/>
  <c r="V24" i="14"/>
  <c r="AV24" i="14"/>
  <c r="BX24" i="14"/>
  <c r="CW24" i="14"/>
  <c r="X24" i="14"/>
  <c r="AZ24" i="14"/>
  <c r="BZ24" i="14"/>
  <c r="CX24" i="14"/>
  <c r="P18" i="14"/>
  <c r="T18" i="14"/>
  <c r="AC18" i="14"/>
  <c r="AM18" i="14"/>
  <c r="AX18" i="14"/>
  <c r="BI18" i="14"/>
  <c r="BS18" i="14"/>
  <c r="CC18" i="14"/>
  <c r="CN18" i="14"/>
  <c r="CV18" i="14"/>
  <c r="U18" i="14"/>
  <c r="AE18" i="14"/>
  <c r="AO18" i="14"/>
  <c r="AZ18" i="14"/>
  <c r="BK18" i="14"/>
  <c r="BU18" i="14"/>
  <c r="CD18" i="14"/>
  <c r="CO18" i="14"/>
  <c r="CW18" i="14"/>
  <c r="V18" i="14"/>
  <c r="AF18" i="14"/>
  <c r="AR18" i="14"/>
  <c r="BA18" i="14"/>
  <c r="BL18" i="14"/>
  <c r="BV18" i="14"/>
  <c r="CG18" i="14"/>
  <c r="CP18" i="14"/>
  <c r="F17" i="14"/>
  <c r="H17" i="14" s="1"/>
  <c r="CW28" i="14"/>
  <c r="CK28" i="14"/>
  <c r="BY28" i="14"/>
  <c r="BM28" i="14"/>
  <c r="BA28" i="14"/>
  <c r="AM28" i="14"/>
  <c r="W28" i="14"/>
  <c r="CO22" i="14"/>
  <c r="CD22" i="14"/>
  <c r="BS22" i="14"/>
  <c r="BI22" i="14"/>
  <c r="AU22" i="14"/>
  <c r="Z22" i="14"/>
  <c r="AC21" i="14"/>
  <c r="U21" i="14"/>
  <c r="F21" i="14"/>
  <c r="CS20" i="14"/>
  <c r="CI20" i="14"/>
  <c r="CA20" i="14"/>
  <c r="BR20" i="14"/>
  <c r="BJ20" i="14"/>
  <c r="BB20" i="14"/>
  <c r="AR20" i="14"/>
  <c r="AJ20" i="14"/>
  <c r="Y20" i="14"/>
  <c r="CX19" i="14"/>
  <c r="CQ19" i="14"/>
  <c r="CJ19" i="14"/>
  <c r="CB19" i="14"/>
  <c r="BU19" i="14"/>
  <c r="BN19" i="14"/>
  <c r="BG19" i="14"/>
  <c r="AZ19" i="14"/>
  <c r="AR19" i="14"/>
  <c r="AK19" i="14"/>
  <c r="AC19" i="14"/>
  <c r="S19" i="14"/>
  <c r="CU28" i="14"/>
  <c r="CI28" i="14"/>
  <c r="BW28" i="14"/>
  <c r="BK28" i="14"/>
  <c r="AY28" i="14"/>
  <c r="AL28" i="14"/>
  <c r="U28" i="14"/>
  <c r="AR23" i="14"/>
  <c r="Z23" i="14"/>
  <c r="CW22" i="14"/>
  <c r="CM22" i="14"/>
  <c r="CB22" i="14"/>
  <c r="BQ22" i="14"/>
  <c r="BF22" i="14"/>
  <c r="AN22" i="14"/>
  <c r="V22" i="14"/>
  <c r="CP20" i="14"/>
  <c r="CH20" i="14"/>
  <c r="BZ20" i="14"/>
  <c r="BQ20" i="14"/>
  <c r="BI20" i="14"/>
  <c r="AY20" i="14"/>
  <c r="AQ20" i="14"/>
  <c r="AG20" i="14"/>
  <c r="V20" i="14"/>
  <c r="CW19" i="14"/>
  <c r="CP19" i="14"/>
  <c r="CH19" i="14"/>
  <c r="CA19" i="14"/>
  <c r="BT19" i="14"/>
  <c r="BM19" i="14"/>
  <c r="BF19" i="14"/>
  <c r="AX19" i="14"/>
  <c r="AQ19" i="14"/>
  <c r="AJ19" i="14"/>
  <c r="AB19" i="14"/>
  <c r="Q19" i="14"/>
  <c r="D19" i="13"/>
  <c r="I19" i="13"/>
  <c r="CS37" i="14"/>
  <c r="CJ37" i="14"/>
  <c r="CA37" i="14"/>
  <c r="BR37" i="14"/>
  <c r="BI37" i="14"/>
  <c r="AZ37" i="14"/>
  <c r="AQ37" i="14"/>
  <c r="AH37" i="14"/>
  <c r="Y37" i="14"/>
  <c r="P37" i="14"/>
  <c r="CT36" i="14"/>
  <c r="D33" i="14"/>
  <c r="AA33" i="14"/>
  <c r="AS33" i="14"/>
  <c r="BH33" i="14"/>
  <c r="E11" i="13"/>
  <c r="CR37" i="14"/>
  <c r="CI37" i="14"/>
  <c r="BZ37" i="14"/>
  <c r="BQ37" i="14"/>
  <c r="BH37" i="14"/>
  <c r="AY37" i="14"/>
  <c r="AP37" i="14"/>
  <c r="AG37" i="14"/>
  <c r="X37" i="14"/>
  <c r="O37" i="14"/>
  <c r="CN36" i="14"/>
  <c r="AE34" i="14"/>
  <c r="X33" i="14"/>
  <c r="F28" i="13"/>
  <c r="F22" i="13"/>
  <c r="F16" i="13"/>
  <c r="F34" i="13"/>
  <c r="CP37" i="14"/>
  <c r="CG37" i="14"/>
  <c r="BX37" i="14"/>
  <c r="BO37" i="14"/>
  <c r="BF37" i="14"/>
  <c r="AW37" i="14"/>
  <c r="AN37" i="14"/>
  <c r="AE37" i="14"/>
  <c r="V37" i="14"/>
  <c r="M37" i="14"/>
  <c r="CH36" i="14"/>
  <c r="AU34" i="14"/>
  <c r="Y34" i="14"/>
  <c r="V33" i="14"/>
  <c r="D37" i="13"/>
  <c r="D9" i="13"/>
  <c r="D38" i="13"/>
  <c r="G14" i="13"/>
  <c r="D26" i="13"/>
  <c r="I37" i="13"/>
  <c r="CV37" i="14"/>
  <c r="CM37" i="14"/>
  <c r="CD37" i="14"/>
  <c r="BU37" i="14"/>
  <c r="BL37" i="14"/>
  <c r="BC37" i="14"/>
  <c r="AT37" i="14"/>
  <c r="AK37" i="14"/>
  <c r="AB37" i="14"/>
  <c r="S37" i="14"/>
  <c r="D37" i="14"/>
  <c r="BV36" i="14"/>
  <c r="CE34" i="14"/>
  <c r="BI34" i="14"/>
  <c r="AN34" i="14"/>
  <c r="CP33" i="14"/>
  <c r="BW33" i="14"/>
  <c r="BE33" i="14"/>
  <c r="AJ33" i="14"/>
  <c r="O33" i="14"/>
  <c r="BK32" i="14"/>
  <c r="Z32" i="14"/>
  <c r="BD32" i="14"/>
  <c r="M31" i="14"/>
  <c r="Q31" i="14"/>
  <c r="AE31" i="14"/>
  <c r="AQ31" i="14"/>
  <c r="BC31" i="14"/>
  <c r="BL31" i="14"/>
  <c r="BT31" i="14"/>
  <c r="CA31" i="14"/>
  <c r="CH31" i="14"/>
  <c r="CO31" i="14"/>
  <c r="CV31" i="14"/>
  <c r="N31" i="14"/>
  <c r="AB31" i="14"/>
  <c r="AN31" i="14"/>
  <c r="AZ31" i="14"/>
  <c r="BI31" i="14"/>
  <c r="BQ31" i="14"/>
  <c r="BX31" i="14"/>
  <c r="CF31" i="14"/>
  <c r="CM31" i="14"/>
  <c r="CT31" i="14"/>
  <c r="P31" i="14"/>
  <c r="AD31" i="14"/>
  <c r="AP31" i="14"/>
  <c r="BB31" i="14"/>
  <c r="BK31" i="14"/>
  <c r="BR31" i="14"/>
  <c r="BZ31" i="14"/>
  <c r="CG31" i="14"/>
  <c r="CN31" i="14"/>
  <c r="CU31" i="14"/>
  <c r="AR28" i="14"/>
  <c r="AF28" i="14"/>
  <c r="T28" i="14"/>
  <c r="CX27" i="14"/>
  <c r="AS27" i="14"/>
  <c r="BO26" i="14"/>
  <c r="CW25" i="14"/>
  <c r="CQ25" i="14"/>
  <c r="CK25" i="14"/>
  <c r="CE25" i="14"/>
  <c r="BY25" i="14"/>
  <c r="BS25" i="14"/>
  <c r="BM25" i="14"/>
  <c r="BG25" i="14"/>
  <c r="BA25" i="14"/>
  <c r="AU25" i="14"/>
  <c r="AO25" i="14"/>
  <c r="AI25" i="14"/>
  <c r="AC25" i="14"/>
  <c r="W25" i="14"/>
  <c r="Q25" i="14"/>
  <c r="F25" i="14"/>
  <c r="CR24" i="14"/>
  <c r="CE24" i="14"/>
  <c r="BR24" i="14"/>
  <c r="BE24" i="14"/>
  <c r="AP24" i="14"/>
  <c r="AC24" i="14"/>
  <c r="P24" i="14"/>
  <c r="BP23" i="14"/>
  <c r="BE23" i="14"/>
  <c r="AT23" i="14"/>
  <c r="AH23" i="14"/>
  <c r="U23" i="14"/>
  <c r="AS22" i="14"/>
  <c r="AF22" i="14"/>
  <c r="Q22" i="14"/>
  <c r="D21" i="14"/>
  <c r="BL36" i="16"/>
  <c r="AY36" i="16"/>
  <c r="AG36" i="16"/>
  <c r="S36" i="16"/>
  <c r="AH35" i="16"/>
  <c r="AB35" i="16"/>
  <c r="V35" i="16"/>
  <c r="P35" i="16"/>
  <c r="D35" i="16"/>
  <c r="CR29" i="16"/>
  <c r="CF29" i="16"/>
  <c r="BW29" i="16"/>
  <c r="BK29" i="16"/>
  <c r="BA29" i="16"/>
  <c r="AN29" i="16"/>
  <c r="Y29" i="16"/>
  <c r="H29" i="16"/>
  <c r="CC37" i="15"/>
  <c r="P32" i="15"/>
  <c r="U29" i="14"/>
  <c r="AC28" i="14"/>
  <c r="Q28" i="14"/>
  <c r="CQ27" i="14"/>
  <c r="W27" i="14"/>
  <c r="AZ26" i="14"/>
  <c r="CV25" i="14"/>
  <c r="CP25" i="14"/>
  <c r="CJ25" i="14"/>
  <c r="CD25" i="14"/>
  <c r="BX25" i="14"/>
  <c r="BR25" i="14"/>
  <c r="BL25" i="14"/>
  <c r="BF25" i="14"/>
  <c r="AZ25" i="14"/>
  <c r="AT25" i="14"/>
  <c r="AN25" i="14"/>
  <c r="AH25" i="14"/>
  <c r="AB25" i="14"/>
  <c r="V25" i="14"/>
  <c r="P25" i="14"/>
  <c r="D25" i="14"/>
  <c r="CP24" i="14"/>
  <c r="CC24" i="14"/>
  <c r="BN24" i="14"/>
  <c r="BA24" i="14"/>
  <c r="AN24" i="14"/>
  <c r="AA24" i="14"/>
  <c r="H24" i="14"/>
  <c r="BO23" i="14"/>
  <c r="BD23" i="14"/>
  <c r="AS23" i="14"/>
  <c r="AG23" i="14"/>
  <c r="AR22" i="14"/>
  <c r="AC22" i="14"/>
  <c r="P22" i="14"/>
  <c r="AH20" i="14"/>
  <c r="Z20" i="14"/>
  <c r="R20" i="14"/>
  <c r="M18" i="14"/>
  <c r="D18" i="15"/>
  <c r="X37" i="16"/>
  <c r="BK36" i="16"/>
  <c r="AW36" i="16"/>
  <c r="AE36" i="16"/>
  <c r="P36" i="16"/>
  <c r="CQ29" i="16"/>
  <c r="CE29" i="16"/>
  <c r="BU29" i="16"/>
  <c r="BI29" i="16"/>
  <c r="AZ29" i="16"/>
  <c r="AK29" i="16"/>
  <c r="X29" i="16"/>
  <c r="F29" i="16"/>
  <c r="U25" i="16"/>
  <c r="CU24" i="16"/>
  <c r="CO24" i="16"/>
  <c r="CI24" i="16"/>
  <c r="CC24" i="16"/>
  <c r="BW24" i="16"/>
  <c r="BQ24" i="16"/>
  <c r="BK24" i="16"/>
  <c r="BE24" i="16"/>
  <c r="AY24" i="16"/>
  <c r="AS24" i="16"/>
  <c r="AM24" i="16"/>
  <c r="AG24" i="16"/>
  <c r="AA24" i="16"/>
  <c r="U24" i="16"/>
  <c r="O24" i="16"/>
  <c r="BY22" i="16"/>
  <c r="AT22" i="16"/>
  <c r="P22" i="16"/>
  <c r="BZ21" i="16"/>
  <c r="AT21" i="16"/>
  <c r="P21" i="16"/>
  <c r="CH20" i="16"/>
  <c r="BM20" i="16"/>
  <c r="AQ20" i="16"/>
  <c r="U20" i="16"/>
  <c r="BF19" i="16"/>
  <c r="AL18" i="16"/>
  <c r="AC18" i="16"/>
  <c r="U18" i="16"/>
  <c r="D26" i="17"/>
  <c r="D16" i="17"/>
  <c r="AS37" i="15"/>
  <c r="AX31" i="15"/>
  <c r="AE26" i="14"/>
  <c r="F24" i="14"/>
  <c r="AR36" i="16"/>
  <c r="AB36" i="16"/>
  <c r="D36" i="16"/>
  <c r="CL34" i="16"/>
  <c r="CQ32" i="16"/>
  <c r="BI32" i="16"/>
  <c r="AD32" i="16"/>
  <c r="CM29" i="16"/>
  <c r="CD29" i="16"/>
  <c r="BR29" i="16"/>
  <c r="BH29" i="16"/>
  <c r="AU29" i="16"/>
  <c r="AH29" i="16"/>
  <c r="W29" i="16"/>
  <c r="D29" i="16"/>
  <c r="CT24" i="16"/>
  <c r="CN24" i="16"/>
  <c r="CH24" i="16"/>
  <c r="CB24" i="16"/>
  <c r="BV24" i="16"/>
  <c r="BP24" i="16"/>
  <c r="BJ24" i="16"/>
  <c r="BD24" i="16"/>
  <c r="AX24" i="16"/>
  <c r="AR24" i="16"/>
  <c r="AL24" i="16"/>
  <c r="AF24" i="16"/>
  <c r="Z24" i="16"/>
  <c r="T24" i="16"/>
  <c r="N24" i="16"/>
  <c r="CJ36" i="15"/>
  <c r="CI29" i="15"/>
  <c r="X26" i="14"/>
  <c r="F28" i="15"/>
  <c r="CS24" i="16"/>
  <c r="CM24" i="16"/>
  <c r="CG24" i="16"/>
  <c r="CA24" i="16"/>
  <c r="BU24" i="16"/>
  <c r="BO24" i="16"/>
  <c r="BI24" i="16"/>
  <c r="BC24" i="16"/>
  <c r="AW24" i="16"/>
  <c r="AQ24" i="16"/>
  <c r="AK24" i="16"/>
  <c r="AE24" i="16"/>
  <c r="Y24" i="16"/>
  <c r="S24" i="16"/>
  <c r="M24" i="16"/>
  <c r="CT22" i="16"/>
  <c r="BP22" i="16"/>
  <c r="AI22" i="16"/>
  <c r="CT21" i="16"/>
  <c r="BP21" i="16"/>
  <c r="AJ21" i="16"/>
  <c r="CW20" i="16"/>
  <c r="CA20" i="16"/>
  <c r="BE20" i="16"/>
  <c r="AJ20" i="16"/>
  <c r="D19" i="17"/>
  <c r="AH36" i="15"/>
  <c r="BW28" i="15"/>
  <c r="U20" i="14"/>
  <c r="H20" i="14"/>
  <c r="Q18" i="14"/>
  <c r="F32" i="15"/>
  <c r="F37" i="16"/>
  <c r="BU36" i="16"/>
  <c r="BC36" i="16"/>
  <c r="AM36" i="16"/>
  <c r="U36" i="16"/>
  <c r="R35" i="16"/>
  <c r="S33" i="16"/>
  <c r="CE32" i="16"/>
  <c r="AZ32" i="16"/>
  <c r="R32" i="16"/>
  <c r="AF30" i="16"/>
  <c r="S30" i="16"/>
  <c r="CU29" i="16"/>
  <c r="CK29" i="16"/>
  <c r="BY29" i="16"/>
  <c r="BO29" i="16"/>
  <c r="BC29" i="16"/>
  <c r="AS29" i="16"/>
  <c r="AE29" i="16"/>
  <c r="R29" i="16"/>
  <c r="BV28" i="16"/>
  <c r="AM26" i="16"/>
  <c r="AC26" i="16"/>
  <c r="Q26" i="16"/>
  <c r="AA25" i="16"/>
  <c r="CX24" i="16"/>
  <c r="CR24" i="16"/>
  <c r="CL24" i="16"/>
  <c r="CF24" i="16"/>
  <c r="BZ24" i="16"/>
  <c r="BT24" i="16"/>
  <c r="BN24" i="16"/>
  <c r="BH24" i="16"/>
  <c r="BB24" i="16"/>
  <c r="AV24" i="16"/>
  <c r="AP24" i="16"/>
  <c r="AJ24" i="16"/>
  <c r="AD24" i="16"/>
  <c r="X24" i="16"/>
  <c r="R24" i="16"/>
  <c r="H24" i="16"/>
  <c r="CL22" i="16"/>
  <c r="BH22" i="16"/>
  <c r="CN21" i="16"/>
  <c r="BI21" i="16"/>
  <c r="AZ34" i="15"/>
  <c r="BV26" i="14"/>
  <c r="CX25" i="14"/>
  <c r="CR25" i="14"/>
  <c r="CL25" i="14"/>
  <c r="CF25" i="14"/>
  <c r="BZ25" i="14"/>
  <c r="BT25" i="14"/>
  <c r="BN25" i="14"/>
  <c r="BH25" i="14"/>
  <c r="BB25" i="14"/>
  <c r="AV25" i="14"/>
  <c r="AP25" i="14"/>
  <c r="AJ25" i="14"/>
  <c r="AD25" i="14"/>
  <c r="X25" i="14"/>
  <c r="R25" i="14"/>
  <c r="CF24" i="14"/>
  <c r="BS24" i="14"/>
  <c r="BF24" i="14"/>
  <c r="AS24" i="14"/>
  <c r="AD24" i="14"/>
  <c r="Q24" i="14"/>
  <c r="T20" i="14"/>
  <c r="D20" i="14"/>
  <c r="O18" i="14"/>
  <c r="D15" i="15"/>
  <c r="F15" i="15" s="1"/>
  <c r="BR36" i="16"/>
  <c r="AZ36" i="16"/>
  <c r="AL36" i="16"/>
  <c r="T36" i="16"/>
  <c r="BB29" i="16"/>
  <c r="AO29" i="16"/>
  <c r="AD29" i="16"/>
  <c r="P29" i="16"/>
  <c r="AC24" i="16"/>
  <c r="W24" i="16"/>
  <c r="Q24" i="16"/>
  <c r="D24" i="16"/>
  <c r="BR32" i="15"/>
  <c r="D32" i="13"/>
  <c r="D14" i="13"/>
  <c r="E26" i="13"/>
  <c r="G30" i="13"/>
  <c r="I36" i="13"/>
  <c r="I18" i="13"/>
  <c r="D31" i="13"/>
  <c r="E21" i="13"/>
  <c r="G25" i="13"/>
  <c r="I31" i="13"/>
  <c r="E20" i="13"/>
  <c r="G24" i="13"/>
  <c r="I30" i="13"/>
  <c r="E27" i="13"/>
  <c r="D25" i="13"/>
  <c r="E33" i="13"/>
  <c r="E15" i="13"/>
  <c r="G37" i="13"/>
  <c r="G19" i="13"/>
  <c r="I25" i="13"/>
  <c r="D20" i="13"/>
  <c r="E32" i="13"/>
  <c r="G36" i="13"/>
  <c r="G18" i="13"/>
  <c r="I24" i="13"/>
  <c r="D34" i="13"/>
  <c r="I34" i="13"/>
  <c r="G34" i="13"/>
  <c r="E34" i="13"/>
  <c r="D28" i="13"/>
  <c r="I28" i="13"/>
  <c r="G28" i="13"/>
  <c r="E28" i="13"/>
  <c r="D22" i="13"/>
  <c r="I22" i="13"/>
  <c r="G22" i="13"/>
  <c r="E22" i="13"/>
  <c r="D16" i="13"/>
  <c r="G16" i="13"/>
  <c r="E16" i="13"/>
  <c r="D33" i="13"/>
  <c r="D27" i="13"/>
  <c r="D21" i="13"/>
  <c r="D15" i="13"/>
  <c r="F35" i="13"/>
  <c r="F29" i="13"/>
  <c r="F23" i="13"/>
  <c r="F17" i="13"/>
  <c r="F33" i="13"/>
  <c r="F15" i="13"/>
  <c r="G17" i="13"/>
  <c r="I35" i="13"/>
  <c r="D36" i="13"/>
  <c r="D30" i="13"/>
  <c r="D24" i="13"/>
  <c r="D18" i="13"/>
  <c r="E37" i="13"/>
  <c r="E31" i="13"/>
  <c r="E25" i="13"/>
  <c r="E19" i="13"/>
  <c r="F32" i="13"/>
  <c r="F26" i="13"/>
  <c r="F20" i="13"/>
  <c r="F21" i="13"/>
  <c r="G29" i="13"/>
  <c r="I23" i="13"/>
  <c r="D35" i="13"/>
  <c r="D29" i="13"/>
  <c r="D23" i="13"/>
  <c r="D17" i="13"/>
  <c r="E36" i="13"/>
  <c r="E30" i="13"/>
  <c r="E24" i="13"/>
  <c r="E18" i="13"/>
  <c r="F37" i="13"/>
  <c r="F31" i="13"/>
  <c r="F25" i="13"/>
  <c r="F19" i="13"/>
  <c r="G33" i="13"/>
  <c r="G27" i="13"/>
  <c r="G21" i="13"/>
  <c r="G15" i="13"/>
  <c r="I33" i="13"/>
  <c r="I27" i="13"/>
  <c r="I21" i="13"/>
  <c r="E9" i="13"/>
  <c r="F27" i="13"/>
  <c r="G35" i="13"/>
  <c r="G23" i="13"/>
  <c r="I29" i="13"/>
  <c r="E35" i="13"/>
  <c r="E29" i="13"/>
  <c r="E23" i="13"/>
  <c r="E17" i="13"/>
  <c r="F36" i="13"/>
  <c r="F30" i="13"/>
  <c r="F24" i="13"/>
  <c r="F18" i="13"/>
  <c r="G9" i="13"/>
  <c r="G32" i="13"/>
  <c r="G26" i="13"/>
  <c r="G20" i="13"/>
  <c r="I32" i="13"/>
  <c r="I26" i="13"/>
  <c r="I20" i="13"/>
  <c r="F35" i="14"/>
  <c r="H35" i="14"/>
  <c r="S35" i="14"/>
  <c r="Y35" i="14"/>
  <c r="AE35" i="14"/>
  <c r="AK35" i="14"/>
  <c r="AQ35" i="14"/>
  <c r="AW35" i="14"/>
  <c r="BC35" i="14"/>
  <c r="BI35" i="14"/>
  <c r="BO35" i="14"/>
  <c r="BU35" i="14"/>
  <c r="CA35" i="14"/>
  <c r="CG35" i="14"/>
  <c r="CM35" i="14"/>
  <c r="CS35" i="14"/>
  <c r="M35" i="14"/>
  <c r="U35" i="14"/>
  <c r="AB35" i="14"/>
  <c r="AI35" i="14"/>
  <c r="AP35" i="14"/>
  <c r="AX35" i="14"/>
  <c r="BE35" i="14"/>
  <c r="BL35" i="14"/>
  <c r="BS35" i="14"/>
  <c r="BZ35" i="14"/>
  <c r="CH35" i="14"/>
  <c r="CO35" i="14"/>
  <c r="CV35" i="14"/>
  <c r="N35" i="14"/>
  <c r="V35" i="14"/>
  <c r="AC35" i="14"/>
  <c r="AJ35" i="14"/>
  <c r="AR35" i="14"/>
  <c r="AY35" i="14"/>
  <c r="BF35" i="14"/>
  <c r="BM35" i="14"/>
  <c r="BT35" i="14"/>
  <c r="CB35" i="14"/>
  <c r="CI35" i="14"/>
  <c r="CP35" i="14"/>
  <c r="CW35" i="14"/>
  <c r="O35" i="14"/>
  <c r="W35" i="14"/>
  <c r="AD35" i="14"/>
  <c r="AL35" i="14"/>
  <c r="AS35" i="14"/>
  <c r="AZ35" i="14"/>
  <c r="BG35" i="14"/>
  <c r="BN35" i="14"/>
  <c r="BV35" i="14"/>
  <c r="CC35" i="14"/>
  <c r="CJ35" i="14"/>
  <c r="CQ35" i="14"/>
  <c r="CX35" i="14"/>
  <c r="P35" i="14"/>
  <c r="X35" i="14"/>
  <c r="AF35" i="14"/>
  <c r="AM35" i="14"/>
  <c r="AT35" i="14"/>
  <c r="BA35" i="14"/>
  <c r="BH35" i="14"/>
  <c r="BP35" i="14"/>
  <c r="BW35" i="14"/>
  <c r="CD35" i="14"/>
  <c r="CK35" i="14"/>
  <c r="CR35" i="14"/>
  <c r="D35" i="14"/>
  <c r="T35" i="14"/>
  <c r="AA35" i="14"/>
  <c r="AH35" i="14"/>
  <c r="AO35" i="14"/>
  <c r="AV35" i="14"/>
  <c r="BD35" i="14"/>
  <c r="BK35" i="14"/>
  <c r="BR35" i="14"/>
  <c r="BY35" i="14"/>
  <c r="CF35" i="14"/>
  <c r="CN35" i="14"/>
  <c r="CU35" i="14"/>
  <c r="CL35" i="14"/>
  <c r="AU35" i="14"/>
  <c r="F32" i="14"/>
  <c r="N32" i="14"/>
  <c r="U32" i="14"/>
  <c r="AB32" i="14"/>
  <c r="AI32" i="14"/>
  <c r="AO32" i="14"/>
  <c r="AU32" i="14"/>
  <c r="BA32" i="14"/>
  <c r="BG32" i="14"/>
  <c r="BM32" i="14"/>
  <c r="BS32" i="14"/>
  <c r="BY32" i="14"/>
  <c r="CE32" i="14"/>
  <c r="CK32" i="14"/>
  <c r="CQ32" i="14"/>
  <c r="CW32" i="14"/>
  <c r="H32" i="14"/>
  <c r="T32" i="14"/>
  <c r="AD32" i="14"/>
  <c r="AK32" i="14"/>
  <c r="AR32" i="14"/>
  <c r="AY32" i="14"/>
  <c r="BF32" i="14"/>
  <c r="BN32" i="14"/>
  <c r="BU32" i="14"/>
  <c r="CB32" i="14"/>
  <c r="CI32" i="14"/>
  <c r="CP32" i="14"/>
  <c r="CX32" i="14"/>
  <c r="M32" i="14"/>
  <c r="V32" i="14"/>
  <c r="AE32" i="14"/>
  <c r="AL32" i="14"/>
  <c r="AS32" i="14"/>
  <c r="AZ32" i="14"/>
  <c r="BH32" i="14"/>
  <c r="BO32" i="14"/>
  <c r="BV32" i="14"/>
  <c r="CC32" i="14"/>
  <c r="CJ32" i="14"/>
  <c r="CR32" i="14"/>
  <c r="O32" i="14"/>
  <c r="X32" i="14"/>
  <c r="AF32" i="14"/>
  <c r="AM32" i="14"/>
  <c r="AT32" i="14"/>
  <c r="BB32" i="14"/>
  <c r="BI32" i="14"/>
  <c r="BP32" i="14"/>
  <c r="BW32" i="14"/>
  <c r="CD32" i="14"/>
  <c r="CL32" i="14"/>
  <c r="CS32" i="14"/>
  <c r="P32" i="14"/>
  <c r="Y32" i="14"/>
  <c r="AG32" i="14"/>
  <c r="AN32" i="14"/>
  <c r="AV32" i="14"/>
  <c r="BC32" i="14"/>
  <c r="BJ32" i="14"/>
  <c r="BQ32" i="14"/>
  <c r="BX32" i="14"/>
  <c r="CF32" i="14"/>
  <c r="CM32" i="14"/>
  <c r="CT32" i="14"/>
  <c r="D32" i="14"/>
  <c r="S32" i="14"/>
  <c r="AA32" i="14"/>
  <c r="AJ32" i="14"/>
  <c r="AQ32" i="14"/>
  <c r="AX32" i="14"/>
  <c r="BE32" i="14"/>
  <c r="BL32" i="14"/>
  <c r="BT32" i="14"/>
  <c r="CA32" i="14"/>
  <c r="CH32" i="14"/>
  <c r="CO32" i="14"/>
  <c r="CV32" i="14"/>
  <c r="CE35" i="14"/>
  <c r="AN35" i="14"/>
  <c r="CN32" i="14"/>
  <c r="AW32" i="14"/>
  <c r="BX35" i="14"/>
  <c r="AG35" i="14"/>
  <c r="CG32" i="14"/>
  <c r="AP32" i="14"/>
  <c r="BQ35" i="14"/>
  <c r="Z35" i="14"/>
  <c r="BZ32" i="14"/>
  <c r="AH32" i="14"/>
  <c r="M34" i="14"/>
  <c r="N34" i="14"/>
  <c r="U34" i="14"/>
  <c r="AA34" i="14"/>
  <c r="AG34" i="14"/>
  <c r="AM34" i="14"/>
  <c r="AS34" i="14"/>
  <c r="AY34" i="14"/>
  <c r="BE34" i="14"/>
  <c r="BK34" i="14"/>
  <c r="BQ34" i="14"/>
  <c r="BW34" i="14"/>
  <c r="CC34" i="14"/>
  <c r="CI34" i="14"/>
  <c r="CO34" i="14"/>
  <c r="CU34" i="14"/>
  <c r="CQ34" i="14"/>
  <c r="CJ34" i="14"/>
  <c r="CB34" i="14"/>
  <c r="BU34" i="14"/>
  <c r="BN34" i="14"/>
  <c r="BG34" i="14"/>
  <c r="AZ34" i="14"/>
  <c r="AR34" i="14"/>
  <c r="AK34" i="14"/>
  <c r="AD34" i="14"/>
  <c r="W34" i="14"/>
  <c r="O34" i="14"/>
  <c r="H30" i="14"/>
  <c r="P30" i="14"/>
  <c r="Z30" i="14"/>
  <c r="AL30" i="14"/>
  <c r="AU30" i="14"/>
  <c r="BG30" i="14"/>
  <c r="BQ30" i="14"/>
  <c r="CB30" i="14"/>
  <c r="CJ30" i="14"/>
  <c r="CT30" i="14"/>
  <c r="Q30" i="14"/>
  <c r="AB30" i="14"/>
  <c r="AM30" i="14"/>
  <c r="AX30" i="14"/>
  <c r="BH30" i="14"/>
  <c r="BS30" i="14"/>
  <c r="CC30" i="14"/>
  <c r="CL30" i="14"/>
  <c r="CU30" i="14"/>
  <c r="D30" i="14"/>
  <c r="U30" i="14"/>
  <c r="AF30" i="14"/>
  <c r="AP30" i="14"/>
  <c r="BA30" i="14"/>
  <c r="BL30" i="14"/>
  <c r="BW30" i="14"/>
  <c r="CF30" i="14"/>
  <c r="CO30" i="14"/>
  <c r="CX30" i="14"/>
  <c r="F30" i="14"/>
  <c r="W30" i="14"/>
  <c r="AG30" i="14"/>
  <c r="AS30" i="14"/>
  <c r="BB30" i="14"/>
  <c r="BN30" i="14"/>
  <c r="BX30" i="14"/>
  <c r="CH30" i="14"/>
  <c r="CP30" i="14"/>
  <c r="F27" i="14"/>
  <c r="Q27" i="14"/>
  <c r="AF27" i="14"/>
  <c r="AT27" i="14"/>
  <c r="BH27" i="14"/>
  <c r="BW27" i="14"/>
  <c r="CK27" i="14"/>
  <c r="T27" i="14"/>
  <c r="AH27" i="14"/>
  <c r="AV27" i="14"/>
  <c r="BK27" i="14"/>
  <c r="BY27" i="14"/>
  <c r="CN27" i="14"/>
  <c r="D27" i="14"/>
  <c r="X27" i="14"/>
  <c r="AM27" i="14"/>
  <c r="BA27" i="14"/>
  <c r="BP27" i="14"/>
  <c r="CD27" i="14"/>
  <c r="CR27" i="14"/>
  <c r="H27" i="14"/>
  <c r="AA27" i="14"/>
  <c r="AO27" i="14"/>
  <c r="BD27" i="14"/>
  <c r="BR27" i="14"/>
  <c r="CF27" i="14"/>
  <c r="CU27" i="14"/>
  <c r="BH26" i="14"/>
  <c r="CW34" i="14"/>
  <c r="CP34" i="14"/>
  <c r="CH34" i="14"/>
  <c r="CA34" i="14"/>
  <c r="BT34" i="14"/>
  <c r="BM34" i="14"/>
  <c r="BF34" i="14"/>
  <c r="AX34" i="14"/>
  <c r="AQ34" i="14"/>
  <c r="AJ34" i="14"/>
  <c r="AC34" i="14"/>
  <c r="V34" i="14"/>
  <c r="H34" i="14"/>
  <c r="CR30" i="14"/>
  <c r="BP30" i="14"/>
  <c r="AI30" i="14"/>
  <c r="H26" i="14"/>
  <c r="D26" i="14"/>
  <c r="Y26" i="14"/>
  <c r="AM26" i="14"/>
  <c r="BB26" i="14"/>
  <c r="BP26" i="14"/>
  <c r="CD26" i="14"/>
  <c r="CS26" i="14"/>
  <c r="M26" i="14"/>
  <c r="AA26" i="14"/>
  <c r="AP26" i="14"/>
  <c r="BD26" i="14"/>
  <c r="BR26" i="14"/>
  <c r="CG26" i="14"/>
  <c r="CU26" i="14"/>
  <c r="R26" i="14"/>
  <c r="AF26" i="14"/>
  <c r="AT26" i="14"/>
  <c r="BI26" i="14"/>
  <c r="BW26" i="14"/>
  <c r="CL26" i="14"/>
  <c r="T26" i="14"/>
  <c r="AH26" i="14"/>
  <c r="AW26" i="14"/>
  <c r="BK26" i="14"/>
  <c r="BZ26" i="14"/>
  <c r="CN26" i="14"/>
  <c r="CV34" i="14"/>
  <c r="CN34" i="14"/>
  <c r="CG34" i="14"/>
  <c r="BZ34" i="14"/>
  <c r="BS34" i="14"/>
  <c r="BL34" i="14"/>
  <c r="BD34" i="14"/>
  <c r="AW34" i="14"/>
  <c r="AP34" i="14"/>
  <c r="AI34" i="14"/>
  <c r="AB34" i="14"/>
  <c r="T34" i="14"/>
  <c r="F34" i="14"/>
  <c r="M33" i="14"/>
  <c r="P33" i="14"/>
  <c r="AB33" i="14"/>
  <c r="AN33" i="14"/>
  <c r="AZ33" i="14"/>
  <c r="BL33" i="14"/>
  <c r="BX33" i="14"/>
  <c r="CJ33" i="14"/>
  <c r="CV33" i="14"/>
  <c r="CN30" i="14"/>
  <c r="BJ30" i="14"/>
  <c r="AD30" i="14"/>
  <c r="CC27" i="14"/>
  <c r="AL27" i="14"/>
  <c r="CJ26" i="14"/>
  <c r="AS26" i="14"/>
  <c r="CT34" i="14"/>
  <c r="CM34" i="14"/>
  <c r="CF34" i="14"/>
  <c r="BY34" i="14"/>
  <c r="BR34" i="14"/>
  <c r="BJ34" i="14"/>
  <c r="BC34" i="14"/>
  <c r="AV34" i="14"/>
  <c r="AO34" i="14"/>
  <c r="AH34" i="14"/>
  <c r="Z34" i="14"/>
  <c r="R34" i="14"/>
  <c r="D34" i="14"/>
  <c r="CO33" i="14"/>
  <c r="BZ33" i="14"/>
  <c r="BK33" i="14"/>
  <c r="AV33" i="14"/>
  <c r="AH33" i="14"/>
  <c r="U33" i="14"/>
  <c r="CI30" i="14"/>
  <c r="BE30" i="14"/>
  <c r="X30" i="14"/>
  <c r="BV27" i="14"/>
  <c r="AD27" i="14"/>
  <c r="CC26" i="14"/>
  <c r="AL26" i="14"/>
  <c r="CS28" i="14"/>
  <c r="CM28" i="14"/>
  <c r="CG28" i="14"/>
  <c r="CA28" i="14"/>
  <c r="BU28" i="14"/>
  <c r="BO28" i="14"/>
  <c r="BI28" i="14"/>
  <c r="BC28" i="14"/>
  <c r="AW28" i="14"/>
  <c r="AQ28" i="14"/>
  <c r="AK28" i="14"/>
  <c r="AE28" i="14"/>
  <c r="Y28" i="14"/>
  <c r="S28" i="14"/>
  <c r="M28" i="14"/>
  <c r="CV24" i="14"/>
  <c r="CL24" i="14"/>
  <c r="CD24" i="14"/>
  <c r="BT24" i="14"/>
  <c r="BL24" i="14"/>
  <c r="BB24" i="14"/>
  <c r="AT24" i="14"/>
  <c r="AJ24" i="14"/>
  <c r="AB24" i="14"/>
  <c r="R24" i="14"/>
  <c r="D24" i="14"/>
  <c r="CU22" i="14"/>
  <c r="CN22" i="14"/>
  <c r="CG22" i="14"/>
  <c r="BY22" i="14"/>
  <c r="BR22" i="14"/>
  <c r="BK22" i="14"/>
  <c r="BD22" i="14"/>
  <c r="AT22" i="14"/>
  <c r="AL22" i="14"/>
  <c r="AB22" i="14"/>
  <c r="T22" i="14"/>
  <c r="Q33" i="15"/>
  <c r="W33" i="15"/>
  <c r="AC33" i="15"/>
  <c r="AI33" i="15"/>
  <c r="AO33" i="15"/>
  <c r="AU33" i="15"/>
  <c r="BA33" i="15"/>
  <c r="BG33" i="15"/>
  <c r="BM33" i="15"/>
  <c r="BS33" i="15"/>
  <c r="BY33" i="15"/>
  <c r="CE33" i="15"/>
  <c r="CK33" i="15"/>
  <c r="CQ33" i="15"/>
  <c r="CW33" i="15"/>
  <c r="R33" i="15"/>
  <c r="X33" i="15"/>
  <c r="AD33" i="15"/>
  <c r="AJ33" i="15"/>
  <c r="AP33" i="15"/>
  <c r="AV33" i="15"/>
  <c r="BB33" i="15"/>
  <c r="BH33" i="15"/>
  <c r="BN33" i="15"/>
  <c r="BT33" i="15"/>
  <c r="BZ33" i="15"/>
  <c r="CF33" i="15"/>
  <c r="CL33" i="15"/>
  <c r="CR33" i="15"/>
  <c r="CX33" i="15"/>
  <c r="M33" i="15"/>
  <c r="S33" i="15"/>
  <c r="Y33" i="15"/>
  <c r="AE33" i="15"/>
  <c r="AK33" i="15"/>
  <c r="AQ33" i="15"/>
  <c r="AW33" i="15"/>
  <c r="BC33" i="15"/>
  <c r="BI33" i="15"/>
  <c r="BO33" i="15"/>
  <c r="BU33" i="15"/>
  <c r="CA33" i="15"/>
  <c r="CG33" i="15"/>
  <c r="CM33" i="15"/>
  <c r="CS33" i="15"/>
  <c r="O33" i="15"/>
  <c r="U33" i="15"/>
  <c r="AA33" i="15"/>
  <c r="AG33" i="15"/>
  <c r="AM33" i="15"/>
  <c r="AS33" i="15"/>
  <c r="AY33" i="15"/>
  <c r="BE33" i="15"/>
  <c r="BK33" i="15"/>
  <c r="BQ33" i="15"/>
  <c r="BW33" i="15"/>
  <c r="CC33" i="15"/>
  <c r="CI33" i="15"/>
  <c r="CO33" i="15"/>
  <c r="CU33" i="15"/>
  <c r="T33" i="15"/>
  <c r="AL33" i="15"/>
  <c r="BD33" i="15"/>
  <c r="BV33" i="15"/>
  <c r="CN33" i="15"/>
  <c r="V33" i="15"/>
  <c r="AN33" i="15"/>
  <c r="BF33" i="15"/>
  <c r="BX33" i="15"/>
  <c r="CP33" i="15"/>
  <c r="Z33" i="15"/>
  <c r="AR33" i="15"/>
  <c r="BJ33" i="15"/>
  <c r="CB33" i="15"/>
  <c r="CT33" i="15"/>
  <c r="N33" i="15"/>
  <c r="AF33" i="15"/>
  <c r="AX33" i="15"/>
  <c r="BP33" i="15"/>
  <c r="CH33" i="15"/>
  <c r="BL33" i="15"/>
  <c r="P33" i="15"/>
  <c r="BR33" i="15"/>
  <c r="AB33" i="15"/>
  <c r="CD33" i="15"/>
  <c r="AT33" i="15"/>
  <c r="CV33" i="15"/>
  <c r="AZ33" i="15"/>
  <c r="D12" i="15"/>
  <c r="F12" i="15" s="1"/>
  <c r="BL34" i="16"/>
  <c r="BJ28" i="16"/>
  <c r="CJ33" i="15"/>
  <c r="CW31" i="14"/>
  <c r="CQ31" i="14"/>
  <c r="CK31" i="14"/>
  <c r="CE31" i="14"/>
  <c r="BY31" i="14"/>
  <c r="BS31" i="14"/>
  <c r="BM31" i="14"/>
  <c r="BG31" i="14"/>
  <c r="BA31" i="14"/>
  <c r="AU31" i="14"/>
  <c r="AO31" i="14"/>
  <c r="AI31" i="14"/>
  <c r="AC31" i="14"/>
  <c r="V31" i="14"/>
  <c r="O31" i="14"/>
  <c r="CO29" i="14"/>
  <c r="CD29" i="14"/>
  <c r="BT29" i="14"/>
  <c r="BI29" i="14"/>
  <c r="AX29" i="14"/>
  <c r="AM29" i="14"/>
  <c r="AB29" i="14"/>
  <c r="R29" i="14"/>
  <c r="CX28" i="14"/>
  <c r="CR28" i="14"/>
  <c r="CL28" i="14"/>
  <c r="CF28" i="14"/>
  <c r="BZ28" i="14"/>
  <c r="BT28" i="14"/>
  <c r="BN28" i="14"/>
  <c r="BH28" i="14"/>
  <c r="BB28" i="14"/>
  <c r="AV28" i="14"/>
  <c r="AP28" i="14"/>
  <c r="AJ28" i="14"/>
  <c r="AD28" i="14"/>
  <c r="X28" i="14"/>
  <c r="R28" i="14"/>
  <c r="H28" i="14"/>
  <c r="H22" i="14"/>
  <c r="R22" i="14"/>
  <c r="X22" i="14"/>
  <c r="AD22" i="14"/>
  <c r="AJ22" i="14"/>
  <c r="AP22" i="14"/>
  <c r="AV22" i="14"/>
  <c r="BB22" i="14"/>
  <c r="BH22" i="14"/>
  <c r="BN22" i="14"/>
  <c r="BT22" i="14"/>
  <c r="BZ22" i="14"/>
  <c r="CF22" i="14"/>
  <c r="CL22" i="14"/>
  <c r="CR22" i="14"/>
  <c r="CX22" i="14"/>
  <c r="M22" i="14"/>
  <c r="S22" i="14"/>
  <c r="Y22" i="14"/>
  <c r="AE22" i="14"/>
  <c r="AK22" i="14"/>
  <c r="AQ22" i="14"/>
  <c r="AW22" i="14"/>
  <c r="BC22" i="14"/>
  <c r="D13" i="14"/>
  <c r="F13" i="14"/>
  <c r="AZ31" i="16"/>
  <c r="BJ31" i="16"/>
  <c r="BV31" i="16"/>
  <c r="AE31" i="16"/>
  <c r="CQ31" i="16"/>
  <c r="AN31" i="16"/>
  <c r="AZ28" i="16"/>
  <c r="AH33" i="15"/>
  <c r="AA34" i="16"/>
  <c r="BA34" i="16"/>
  <c r="CC34" i="16"/>
  <c r="AB34" i="16"/>
  <c r="BB34" i="16"/>
  <c r="CD34" i="16"/>
  <c r="AI34" i="16"/>
  <c r="BK34" i="16"/>
  <c r="CK34" i="16"/>
  <c r="D34" i="16"/>
  <c r="AS34" i="16"/>
  <c r="BS34" i="16"/>
  <c r="CU34" i="16"/>
  <c r="R34" i="16"/>
  <c r="AT34" i="16"/>
  <c r="BT34" i="16"/>
  <c r="CV34" i="16"/>
  <c r="AN28" i="16"/>
  <c r="F17" i="16"/>
  <c r="H17" i="16" s="1"/>
  <c r="AY31" i="14"/>
  <c r="AS31" i="14"/>
  <c r="AM31" i="14"/>
  <c r="AG31" i="14"/>
  <c r="AA31" i="14"/>
  <c r="T31" i="14"/>
  <c r="H31" i="14"/>
  <c r="CV29" i="14"/>
  <c r="CL29" i="14"/>
  <c r="CA29" i="14"/>
  <c r="BP29" i="14"/>
  <c r="BE29" i="14"/>
  <c r="AT29" i="14"/>
  <c r="AJ29" i="14"/>
  <c r="Y29" i="14"/>
  <c r="N29" i="14"/>
  <c r="CV28" i="14"/>
  <c r="CP28" i="14"/>
  <c r="CJ28" i="14"/>
  <c r="CD28" i="14"/>
  <c r="BX28" i="14"/>
  <c r="BR28" i="14"/>
  <c r="BL28" i="14"/>
  <c r="BF28" i="14"/>
  <c r="AZ28" i="14"/>
  <c r="AT28" i="14"/>
  <c r="AN28" i="14"/>
  <c r="AH28" i="14"/>
  <c r="AB28" i="14"/>
  <c r="V28" i="14"/>
  <c r="P28" i="14"/>
  <c r="CQ24" i="14"/>
  <c r="CI24" i="14"/>
  <c r="BY24" i="14"/>
  <c r="BQ24" i="14"/>
  <c r="BG24" i="14"/>
  <c r="AY24" i="14"/>
  <c r="AO24" i="14"/>
  <c r="AG24" i="14"/>
  <c r="W24" i="14"/>
  <c r="O24" i="14"/>
  <c r="F23" i="14"/>
  <c r="T23" i="14"/>
  <c r="AF23" i="14"/>
  <c r="AQ23" i="14"/>
  <c r="AY23" i="14"/>
  <c r="BI23" i="14"/>
  <c r="BQ23" i="14"/>
  <c r="CA23" i="14"/>
  <c r="CQ22" i="14"/>
  <c r="CJ22" i="14"/>
  <c r="CC22" i="14"/>
  <c r="BV22" i="14"/>
  <c r="BO22" i="14"/>
  <c r="BG22" i="14"/>
  <c r="AY22" i="14"/>
  <c r="AO22" i="14"/>
  <c r="AG22" i="14"/>
  <c r="W22" i="14"/>
  <c r="O22" i="14"/>
  <c r="P27" i="15"/>
  <c r="O27" i="15"/>
  <c r="V27" i="15"/>
  <c r="AB27" i="15"/>
  <c r="AH27" i="15"/>
  <c r="AN27" i="15"/>
  <c r="AT27" i="15"/>
  <c r="AZ27" i="15"/>
  <c r="BF27" i="15"/>
  <c r="BL27" i="15"/>
  <c r="BR27" i="15"/>
  <c r="BX27" i="15"/>
  <c r="CD27" i="15"/>
  <c r="CJ27" i="15"/>
  <c r="CP27" i="15"/>
  <c r="CV27" i="15"/>
  <c r="Q27" i="15"/>
  <c r="W27" i="15"/>
  <c r="AC27" i="15"/>
  <c r="AI27" i="15"/>
  <c r="AO27" i="15"/>
  <c r="AU27" i="15"/>
  <c r="BA27" i="15"/>
  <c r="BG27" i="15"/>
  <c r="BM27" i="15"/>
  <c r="BS27" i="15"/>
  <c r="BY27" i="15"/>
  <c r="CE27" i="15"/>
  <c r="CK27" i="15"/>
  <c r="CQ27" i="15"/>
  <c r="CW27" i="15"/>
  <c r="R27" i="15"/>
  <c r="X27" i="15"/>
  <c r="AD27" i="15"/>
  <c r="AJ27" i="15"/>
  <c r="AP27" i="15"/>
  <c r="AV27" i="15"/>
  <c r="BB27" i="15"/>
  <c r="BH27" i="15"/>
  <c r="BN27" i="15"/>
  <c r="BT27" i="15"/>
  <c r="BZ27" i="15"/>
  <c r="CF27" i="15"/>
  <c r="CL27" i="15"/>
  <c r="CR27" i="15"/>
  <c r="CX27" i="15"/>
  <c r="S27" i="15"/>
  <c r="Y27" i="15"/>
  <c r="AE27" i="15"/>
  <c r="AK27" i="15"/>
  <c r="AQ27" i="15"/>
  <c r="AW27" i="15"/>
  <c r="BC27" i="15"/>
  <c r="BI27" i="15"/>
  <c r="BO27" i="15"/>
  <c r="BU27" i="15"/>
  <c r="CA27" i="15"/>
  <c r="CG27" i="15"/>
  <c r="CM27" i="15"/>
  <c r="CS27" i="15"/>
  <c r="T27" i="15"/>
  <c r="AL27" i="15"/>
  <c r="BD27" i="15"/>
  <c r="BV27" i="15"/>
  <c r="CN27" i="15"/>
  <c r="U27" i="15"/>
  <c r="AM27" i="15"/>
  <c r="BE27" i="15"/>
  <c r="BW27" i="15"/>
  <c r="CO27" i="15"/>
  <c r="Z27" i="15"/>
  <c r="AR27" i="15"/>
  <c r="BJ27" i="15"/>
  <c r="CB27" i="15"/>
  <c r="CT27" i="15"/>
  <c r="M27" i="15"/>
  <c r="AF27" i="15"/>
  <c r="AX27" i="15"/>
  <c r="BP27" i="15"/>
  <c r="CH27" i="15"/>
  <c r="AA27" i="15"/>
  <c r="CC27" i="15"/>
  <c r="AG27" i="15"/>
  <c r="CI27" i="15"/>
  <c r="AS27" i="15"/>
  <c r="CU27" i="15"/>
  <c r="BK27" i="15"/>
  <c r="D27" i="15"/>
  <c r="AY27" i="15"/>
  <c r="BQ27" i="15"/>
  <c r="O19" i="15"/>
  <c r="U19" i="15"/>
  <c r="AA19" i="15"/>
  <c r="AG19" i="15"/>
  <c r="AM19" i="15"/>
  <c r="AS19" i="15"/>
  <c r="AY19" i="15"/>
  <c r="BE19" i="15"/>
  <c r="BK19" i="15"/>
  <c r="BQ19" i="15"/>
  <c r="BW19" i="15"/>
  <c r="CC19" i="15"/>
  <c r="CI19" i="15"/>
  <c r="CO19" i="15"/>
  <c r="CU19" i="15"/>
  <c r="M19" i="15"/>
  <c r="S19" i="15"/>
  <c r="Y19" i="15"/>
  <c r="AE19" i="15"/>
  <c r="AK19" i="15"/>
  <c r="AQ19" i="15"/>
  <c r="AW19" i="15"/>
  <c r="BC19" i="15"/>
  <c r="BI19" i="15"/>
  <c r="BO19" i="15"/>
  <c r="BU19" i="15"/>
  <c r="CA19" i="15"/>
  <c r="CG19" i="15"/>
  <c r="CM19" i="15"/>
  <c r="CS19" i="15"/>
  <c r="N19" i="15"/>
  <c r="W19" i="15"/>
  <c r="AF19" i="15"/>
  <c r="AO19" i="15"/>
  <c r="AX19" i="15"/>
  <c r="BG19" i="15"/>
  <c r="BP19" i="15"/>
  <c r="BY19" i="15"/>
  <c r="CH19" i="15"/>
  <c r="CQ19" i="15"/>
  <c r="P19" i="15"/>
  <c r="X19" i="15"/>
  <c r="AH19" i="15"/>
  <c r="AP19" i="15"/>
  <c r="AZ19" i="15"/>
  <c r="BH19" i="15"/>
  <c r="BR19" i="15"/>
  <c r="BZ19" i="15"/>
  <c r="CJ19" i="15"/>
  <c r="CR19" i="15"/>
  <c r="Q19" i="15"/>
  <c r="Z19" i="15"/>
  <c r="AI19" i="15"/>
  <c r="AR19" i="15"/>
  <c r="BA19" i="15"/>
  <c r="BJ19" i="15"/>
  <c r="BS19" i="15"/>
  <c r="CB19" i="15"/>
  <c r="CK19" i="15"/>
  <c r="CT19" i="15"/>
  <c r="T19" i="15"/>
  <c r="AC19" i="15"/>
  <c r="AL19" i="15"/>
  <c r="AU19" i="15"/>
  <c r="BD19" i="15"/>
  <c r="BM19" i="15"/>
  <c r="BV19" i="15"/>
  <c r="V19" i="15"/>
  <c r="AD19" i="15"/>
  <c r="AN19" i="15"/>
  <c r="AV19" i="15"/>
  <c r="BF19" i="15"/>
  <c r="BN19" i="15"/>
  <c r="BX19" i="15"/>
  <c r="CF19" i="15"/>
  <c r="CP19" i="15"/>
  <c r="CX19" i="15"/>
  <c r="AT19" i="15"/>
  <c r="CL19" i="15"/>
  <c r="BB19" i="15"/>
  <c r="CN19" i="15"/>
  <c r="BL19" i="15"/>
  <c r="CV19" i="15"/>
  <c r="AJ19" i="15"/>
  <c r="CE19" i="15"/>
  <c r="R19" i="15"/>
  <c r="AB19" i="15"/>
  <c r="BT19" i="15"/>
  <c r="CD19" i="15"/>
  <c r="CW19" i="15"/>
  <c r="D19" i="15"/>
  <c r="CQ28" i="16"/>
  <c r="AE28" i="16"/>
  <c r="BJ31" i="14"/>
  <c r="BD31" i="14"/>
  <c r="AX31" i="14"/>
  <c r="AR31" i="14"/>
  <c r="AL31" i="14"/>
  <c r="AF31" i="14"/>
  <c r="Z31" i="14"/>
  <c r="R31" i="14"/>
  <c r="F31" i="14"/>
  <c r="Q35" i="15"/>
  <c r="W35" i="15"/>
  <c r="AC35" i="15"/>
  <c r="AI35" i="15"/>
  <c r="AO35" i="15"/>
  <c r="AU35" i="15"/>
  <c r="BA35" i="15"/>
  <c r="BG35" i="15"/>
  <c r="BM35" i="15"/>
  <c r="BS35" i="15"/>
  <c r="BY35" i="15"/>
  <c r="CE35" i="15"/>
  <c r="CK35" i="15"/>
  <c r="CQ35" i="15"/>
  <c r="CW35" i="15"/>
  <c r="R35" i="15"/>
  <c r="X35" i="15"/>
  <c r="AD35" i="15"/>
  <c r="AJ35" i="15"/>
  <c r="AP35" i="15"/>
  <c r="AV35" i="15"/>
  <c r="BB35" i="15"/>
  <c r="BH35" i="15"/>
  <c r="BN35" i="15"/>
  <c r="BT35" i="15"/>
  <c r="BZ35" i="15"/>
  <c r="CF35" i="15"/>
  <c r="CL35" i="15"/>
  <c r="CR35" i="15"/>
  <c r="CX35" i="15"/>
  <c r="M35" i="15"/>
  <c r="S35" i="15"/>
  <c r="Y35" i="15"/>
  <c r="AE35" i="15"/>
  <c r="AK35" i="15"/>
  <c r="AQ35" i="15"/>
  <c r="AW35" i="15"/>
  <c r="BC35" i="15"/>
  <c r="BI35" i="15"/>
  <c r="BO35" i="15"/>
  <c r="BU35" i="15"/>
  <c r="CA35" i="15"/>
  <c r="CG35" i="15"/>
  <c r="CM35" i="15"/>
  <c r="CS35" i="15"/>
  <c r="O35" i="15"/>
  <c r="U35" i="15"/>
  <c r="AA35" i="15"/>
  <c r="AG35" i="15"/>
  <c r="AM35" i="15"/>
  <c r="AS35" i="15"/>
  <c r="AY35" i="15"/>
  <c r="BE35" i="15"/>
  <c r="BK35" i="15"/>
  <c r="BQ35" i="15"/>
  <c r="BW35" i="15"/>
  <c r="CC35" i="15"/>
  <c r="CI35" i="15"/>
  <c r="CO35" i="15"/>
  <c r="CU35" i="15"/>
  <c r="T35" i="15"/>
  <c r="AL35" i="15"/>
  <c r="BD35" i="15"/>
  <c r="BV35" i="15"/>
  <c r="CN35" i="15"/>
  <c r="V35" i="15"/>
  <c r="AN35" i="15"/>
  <c r="BF35" i="15"/>
  <c r="BX35" i="15"/>
  <c r="CP35" i="15"/>
  <c r="Z35" i="15"/>
  <c r="AR35" i="15"/>
  <c r="BJ35" i="15"/>
  <c r="CB35" i="15"/>
  <c r="CT35" i="15"/>
  <c r="N35" i="15"/>
  <c r="AF35" i="15"/>
  <c r="AX35" i="15"/>
  <c r="BP35" i="15"/>
  <c r="CH35" i="15"/>
  <c r="AT35" i="15"/>
  <c r="CV35" i="15"/>
  <c r="F35" i="15"/>
  <c r="AZ35" i="15"/>
  <c r="BL35" i="15"/>
  <c r="AB35" i="15"/>
  <c r="CD35" i="15"/>
  <c r="AH35" i="15"/>
  <c r="CJ35" i="15"/>
  <c r="P30" i="15"/>
  <c r="V30" i="15"/>
  <c r="AB30" i="15"/>
  <c r="AH30" i="15"/>
  <c r="AN30" i="15"/>
  <c r="AT30" i="15"/>
  <c r="AZ30" i="15"/>
  <c r="BF30" i="15"/>
  <c r="BL30" i="15"/>
  <c r="BR30" i="15"/>
  <c r="BX30" i="15"/>
  <c r="CD30" i="15"/>
  <c r="CJ30" i="15"/>
  <c r="CP30" i="15"/>
  <c r="CV30" i="15"/>
  <c r="R30" i="15"/>
  <c r="X30" i="15"/>
  <c r="AD30" i="15"/>
  <c r="AJ30" i="15"/>
  <c r="AP30" i="15"/>
  <c r="AV30" i="15"/>
  <c r="BB30" i="15"/>
  <c r="BH30" i="15"/>
  <c r="Q30" i="15"/>
  <c r="Z30" i="15"/>
  <c r="AI30" i="15"/>
  <c r="AR30" i="15"/>
  <c r="BA30" i="15"/>
  <c r="BJ30" i="15"/>
  <c r="BQ30" i="15"/>
  <c r="BY30" i="15"/>
  <c r="CF30" i="15"/>
  <c r="CM30" i="15"/>
  <c r="CT30" i="15"/>
  <c r="S30" i="15"/>
  <c r="AA30" i="15"/>
  <c r="AK30" i="15"/>
  <c r="AS30" i="15"/>
  <c r="BC30" i="15"/>
  <c r="BK30" i="15"/>
  <c r="BS30" i="15"/>
  <c r="BZ30" i="15"/>
  <c r="CG30" i="15"/>
  <c r="CN30" i="15"/>
  <c r="CU30" i="15"/>
  <c r="T30" i="15"/>
  <c r="AC30" i="15"/>
  <c r="AL30" i="15"/>
  <c r="AU30" i="15"/>
  <c r="BD30" i="15"/>
  <c r="BM30" i="15"/>
  <c r="BT30" i="15"/>
  <c r="CA30" i="15"/>
  <c r="CH30" i="15"/>
  <c r="CO30" i="15"/>
  <c r="CW30" i="15"/>
  <c r="N30" i="15"/>
  <c r="W30" i="15"/>
  <c r="AF30" i="15"/>
  <c r="AO30" i="15"/>
  <c r="AX30" i="15"/>
  <c r="BG30" i="15"/>
  <c r="BO30" i="15"/>
  <c r="BV30" i="15"/>
  <c r="CC30" i="15"/>
  <c r="CK30" i="15"/>
  <c r="CR30" i="15"/>
  <c r="AE30" i="15"/>
  <c r="BE30" i="15"/>
  <c r="CB30" i="15"/>
  <c r="CX30" i="15"/>
  <c r="AG30" i="15"/>
  <c r="BI30" i="15"/>
  <c r="CE30" i="15"/>
  <c r="M30" i="15"/>
  <c r="AM30" i="15"/>
  <c r="BN30" i="15"/>
  <c r="CI30" i="15"/>
  <c r="U30" i="15"/>
  <c r="AW30" i="15"/>
  <c r="BU30" i="15"/>
  <c r="CQ30" i="15"/>
  <c r="AQ30" i="15"/>
  <c r="AY30" i="15"/>
  <c r="BP30" i="15"/>
  <c r="O30" i="15"/>
  <c r="CL30" i="15"/>
  <c r="Y30" i="15"/>
  <c r="CS30" i="15"/>
  <c r="F38" i="16"/>
  <c r="H38" i="16" s="1"/>
  <c r="D38" i="16"/>
  <c r="CE28" i="16"/>
  <c r="P35" i="15"/>
  <c r="O25" i="15"/>
  <c r="U25" i="15"/>
  <c r="AA25" i="15"/>
  <c r="AG25" i="15"/>
  <c r="AM25" i="15"/>
  <c r="AS25" i="15"/>
  <c r="AY25" i="15"/>
  <c r="BE25" i="15"/>
  <c r="BK25" i="15"/>
  <c r="BQ25" i="15"/>
  <c r="BW25" i="15"/>
  <c r="CC25" i="15"/>
  <c r="CI25" i="15"/>
  <c r="CO25" i="15"/>
  <c r="CU25" i="15"/>
  <c r="P25" i="15"/>
  <c r="V25" i="15"/>
  <c r="AB25" i="15"/>
  <c r="AH25" i="15"/>
  <c r="AN25" i="15"/>
  <c r="AT25" i="15"/>
  <c r="AZ25" i="15"/>
  <c r="BF25" i="15"/>
  <c r="BL25" i="15"/>
  <c r="BR25" i="15"/>
  <c r="BX25" i="15"/>
  <c r="CD25" i="15"/>
  <c r="CJ25" i="15"/>
  <c r="CP25" i="15"/>
  <c r="CV25" i="15"/>
  <c r="Q25" i="15"/>
  <c r="W25" i="15"/>
  <c r="AC25" i="15"/>
  <c r="AI25" i="15"/>
  <c r="AO25" i="15"/>
  <c r="AU25" i="15"/>
  <c r="BA25" i="15"/>
  <c r="BG25" i="15"/>
  <c r="BM25" i="15"/>
  <c r="BS25" i="15"/>
  <c r="BY25" i="15"/>
  <c r="CE25" i="15"/>
  <c r="CK25" i="15"/>
  <c r="CQ25" i="15"/>
  <c r="CW25" i="15"/>
  <c r="N25" i="15"/>
  <c r="T25" i="15"/>
  <c r="Z25" i="15"/>
  <c r="AF25" i="15"/>
  <c r="AL25" i="15"/>
  <c r="AR25" i="15"/>
  <c r="AX25" i="15"/>
  <c r="BD25" i="15"/>
  <c r="BJ25" i="15"/>
  <c r="BP25" i="15"/>
  <c r="BV25" i="15"/>
  <c r="CB25" i="15"/>
  <c r="CH25" i="15"/>
  <c r="CN25" i="15"/>
  <c r="CT25" i="15"/>
  <c r="R25" i="15"/>
  <c r="AJ25" i="15"/>
  <c r="BB25" i="15"/>
  <c r="BT25" i="15"/>
  <c r="CL25" i="15"/>
  <c r="S25" i="15"/>
  <c r="AK25" i="15"/>
  <c r="BC25" i="15"/>
  <c r="BU25" i="15"/>
  <c r="CM25" i="15"/>
  <c r="X25" i="15"/>
  <c r="AP25" i="15"/>
  <c r="BH25" i="15"/>
  <c r="BZ25" i="15"/>
  <c r="CR25" i="15"/>
  <c r="Y25" i="15"/>
  <c r="AQ25" i="15"/>
  <c r="BI25" i="15"/>
  <c r="CA25" i="15"/>
  <c r="CS25" i="15"/>
  <c r="AD25" i="15"/>
  <c r="CF25" i="15"/>
  <c r="AE25" i="15"/>
  <c r="CG25" i="15"/>
  <c r="AV25" i="15"/>
  <c r="CX25" i="15"/>
  <c r="BN25" i="15"/>
  <c r="AW25" i="15"/>
  <c r="M25" i="15"/>
  <c r="BO25" i="15"/>
  <c r="N28" i="16"/>
  <c r="M28" i="16"/>
  <c r="Y28" i="16"/>
  <c r="AH28" i="16"/>
  <c r="AT28" i="16"/>
  <c r="BD28" i="16"/>
  <c r="BP28" i="16"/>
  <c r="BY28" i="16"/>
  <c r="CK28" i="16"/>
  <c r="CU28" i="16"/>
  <c r="P28" i="16"/>
  <c r="Z28" i="16"/>
  <c r="AL28" i="16"/>
  <c r="AU28" i="16"/>
  <c r="BG28" i="16"/>
  <c r="BQ28" i="16"/>
  <c r="CC28" i="16"/>
  <c r="CM28" i="16"/>
  <c r="Q28" i="16"/>
  <c r="AA28" i="16"/>
  <c r="AM28" i="16"/>
  <c r="AW28" i="16"/>
  <c r="BI28" i="16"/>
  <c r="BR28" i="16"/>
  <c r="CD28" i="16"/>
  <c r="CN28" i="16"/>
  <c r="D28" i="16"/>
  <c r="T28" i="16"/>
  <c r="AF28" i="16"/>
  <c r="AO28" i="16"/>
  <c r="BA28" i="16"/>
  <c r="BK28" i="16"/>
  <c r="BW28" i="16"/>
  <c r="CG28" i="16"/>
  <c r="CS28" i="16"/>
  <c r="F28" i="16"/>
  <c r="W28" i="16"/>
  <c r="AG28" i="16"/>
  <c r="AS28" i="16"/>
  <c r="BC28" i="16"/>
  <c r="BO28" i="16"/>
  <c r="BX28" i="16"/>
  <c r="CJ28" i="16"/>
  <c r="CT28" i="16"/>
  <c r="BW30" i="15"/>
  <c r="O22" i="16"/>
  <c r="N22" i="16"/>
  <c r="W22" i="16"/>
  <c r="AF22" i="16"/>
  <c r="AN22" i="16"/>
  <c r="AV22" i="16"/>
  <c r="BE22" i="16"/>
  <c r="BN22" i="16"/>
  <c r="BW22" i="16"/>
  <c r="CE22" i="16"/>
  <c r="CN22" i="16"/>
  <c r="CV22" i="16"/>
  <c r="O21" i="16"/>
  <c r="M21" i="16"/>
  <c r="U21" i="16"/>
  <c r="AE21" i="16"/>
  <c r="AM21" i="16"/>
  <c r="AV21" i="16"/>
  <c r="BD21" i="16"/>
  <c r="BL21" i="16"/>
  <c r="BV21" i="16"/>
  <c r="CD21" i="16"/>
  <c r="CM21" i="16"/>
  <c r="CU21" i="16"/>
  <c r="D20" i="16"/>
  <c r="P20" i="16"/>
  <c r="V20" i="16"/>
  <c r="AB20" i="16"/>
  <c r="AH20" i="16"/>
  <c r="AN20" i="16"/>
  <c r="AT20" i="16"/>
  <c r="AZ20" i="16"/>
  <c r="BF20" i="16"/>
  <c r="BL20" i="16"/>
  <c r="BR20" i="16"/>
  <c r="BX20" i="16"/>
  <c r="CD20" i="16"/>
  <c r="CJ20" i="16"/>
  <c r="CP20" i="16"/>
  <c r="CV20" i="16"/>
  <c r="F11" i="16"/>
  <c r="H11" i="16" s="1"/>
  <c r="D11" i="16"/>
  <c r="D32" i="17"/>
  <c r="CO37" i="15"/>
  <c r="BE37" i="15"/>
  <c r="P37" i="15"/>
  <c r="AZ36" i="15"/>
  <c r="BR34" i="15"/>
  <c r="CJ32" i="15"/>
  <c r="AH32" i="15"/>
  <c r="BR31" i="15"/>
  <c r="CG23" i="15"/>
  <c r="F34" i="15"/>
  <c r="Q34" i="15"/>
  <c r="W34" i="15"/>
  <c r="AC34" i="15"/>
  <c r="AI34" i="15"/>
  <c r="AO34" i="15"/>
  <c r="AU34" i="15"/>
  <c r="BA34" i="15"/>
  <c r="BG34" i="15"/>
  <c r="BM34" i="15"/>
  <c r="BS34" i="15"/>
  <c r="BY34" i="15"/>
  <c r="CE34" i="15"/>
  <c r="CK34" i="15"/>
  <c r="CQ34" i="15"/>
  <c r="CW34" i="15"/>
  <c r="R34" i="15"/>
  <c r="X34" i="15"/>
  <c r="AD34" i="15"/>
  <c r="AJ34" i="15"/>
  <c r="AP34" i="15"/>
  <c r="AV34" i="15"/>
  <c r="BB34" i="15"/>
  <c r="BH34" i="15"/>
  <c r="BN34" i="15"/>
  <c r="BT34" i="15"/>
  <c r="BZ34" i="15"/>
  <c r="CF34" i="15"/>
  <c r="CL34" i="15"/>
  <c r="CR34" i="15"/>
  <c r="CX34" i="15"/>
  <c r="M34" i="15"/>
  <c r="S34" i="15"/>
  <c r="Y34" i="15"/>
  <c r="AE34" i="15"/>
  <c r="AK34" i="15"/>
  <c r="AQ34" i="15"/>
  <c r="AW34" i="15"/>
  <c r="BC34" i="15"/>
  <c r="BI34" i="15"/>
  <c r="BO34" i="15"/>
  <c r="BU34" i="15"/>
  <c r="CA34" i="15"/>
  <c r="CG34" i="15"/>
  <c r="CM34" i="15"/>
  <c r="CS34" i="15"/>
  <c r="O34" i="15"/>
  <c r="U34" i="15"/>
  <c r="AA34" i="15"/>
  <c r="AG34" i="15"/>
  <c r="AM34" i="15"/>
  <c r="AS34" i="15"/>
  <c r="AY34" i="15"/>
  <c r="BE34" i="15"/>
  <c r="BK34" i="15"/>
  <c r="BQ34" i="15"/>
  <c r="BW34" i="15"/>
  <c r="CC34" i="15"/>
  <c r="CI34" i="15"/>
  <c r="CO34" i="15"/>
  <c r="CU34" i="15"/>
  <c r="T34" i="15"/>
  <c r="AL34" i="15"/>
  <c r="BD34" i="15"/>
  <c r="BV34" i="15"/>
  <c r="CN34" i="15"/>
  <c r="V34" i="15"/>
  <c r="AN34" i="15"/>
  <c r="BF34" i="15"/>
  <c r="BX34" i="15"/>
  <c r="CP34" i="15"/>
  <c r="Z34" i="15"/>
  <c r="AR34" i="15"/>
  <c r="BJ34" i="15"/>
  <c r="CB34" i="15"/>
  <c r="CT34" i="15"/>
  <c r="N34" i="15"/>
  <c r="AF34" i="15"/>
  <c r="AX34" i="15"/>
  <c r="BP34" i="15"/>
  <c r="CH34" i="15"/>
  <c r="P29" i="15"/>
  <c r="V29" i="15"/>
  <c r="AB29" i="15"/>
  <c r="AH29" i="15"/>
  <c r="AN29" i="15"/>
  <c r="AT29" i="15"/>
  <c r="AZ29" i="15"/>
  <c r="BF29" i="15"/>
  <c r="BL29" i="15"/>
  <c r="BR29" i="15"/>
  <c r="BX29" i="15"/>
  <c r="CD29" i="15"/>
  <c r="CJ29" i="15"/>
  <c r="CP29" i="15"/>
  <c r="CV29" i="15"/>
  <c r="Q29" i="15"/>
  <c r="W29" i="15"/>
  <c r="AC29" i="15"/>
  <c r="AI29" i="15"/>
  <c r="AO29" i="15"/>
  <c r="AU29" i="15"/>
  <c r="BA29" i="15"/>
  <c r="BG29" i="15"/>
  <c r="BM29" i="15"/>
  <c r="R29" i="15"/>
  <c r="X29" i="15"/>
  <c r="AD29" i="15"/>
  <c r="AJ29" i="15"/>
  <c r="AP29" i="15"/>
  <c r="AV29" i="15"/>
  <c r="BB29" i="15"/>
  <c r="BH29" i="15"/>
  <c r="BN29" i="15"/>
  <c r="BT29" i="15"/>
  <c r="BZ29" i="15"/>
  <c r="CF29" i="15"/>
  <c r="CL29" i="15"/>
  <c r="CR29" i="15"/>
  <c r="CX29" i="15"/>
  <c r="M29" i="15"/>
  <c r="Y29" i="15"/>
  <c r="AK29" i="15"/>
  <c r="AW29" i="15"/>
  <c r="BI29" i="15"/>
  <c r="BS29" i="15"/>
  <c r="CB29" i="15"/>
  <c r="CK29" i="15"/>
  <c r="CT29" i="15"/>
  <c r="N29" i="15"/>
  <c r="Z29" i="15"/>
  <c r="AL29" i="15"/>
  <c r="AX29" i="15"/>
  <c r="BJ29" i="15"/>
  <c r="BU29" i="15"/>
  <c r="CC29" i="15"/>
  <c r="CM29" i="15"/>
  <c r="CU29" i="15"/>
  <c r="O29" i="15"/>
  <c r="AA29" i="15"/>
  <c r="AM29" i="15"/>
  <c r="AY29" i="15"/>
  <c r="BK29" i="15"/>
  <c r="BV29" i="15"/>
  <c r="CE29" i="15"/>
  <c r="CN29" i="15"/>
  <c r="CW29" i="15"/>
  <c r="T29" i="15"/>
  <c r="AF29" i="15"/>
  <c r="AR29" i="15"/>
  <c r="BD29" i="15"/>
  <c r="BP29" i="15"/>
  <c r="BY29" i="15"/>
  <c r="CH29" i="15"/>
  <c r="CQ29" i="15"/>
  <c r="AE29" i="15"/>
  <c r="BO29" i="15"/>
  <c r="CO29" i="15"/>
  <c r="AG29" i="15"/>
  <c r="BQ29" i="15"/>
  <c r="CS29" i="15"/>
  <c r="AQ29" i="15"/>
  <c r="BW29" i="15"/>
  <c r="S29" i="15"/>
  <c r="BC29" i="15"/>
  <c r="CG29" i="15"/>
  <c r="O26" i="15"/>
  <c r="U26" i="15"/>
  <c r="AA26" i="15"/>
  <c r="AG26" i="15"/>
  <c r="AM26" i="15"/>
  <c r="AS26" i="15"/>
  <c r="AY26" i="15"/>
  <c r="BE26" i="15"/>
  <c r="BK26" i="15"/>
  <c r="BQ26" i="15"/>
  <c r="BW26" i="15"/>
  <c r="CC26" i="15"/>
  <c r="CI26" i="15"/>
  <c r="CO26" i="15"/>
  <c r="P26" i="15"/>
  <c r="V26" i="15"/>
  <c r="AB26" i="15"/>
  <c r="AH26" i="15"/>
  <c r="AN26" i="15"/>
  <c r="AT26" i="15"/>
  <c r="AZ26" i="15"/>
  <c r="BF26" i="15"/>
  <c r="BL26" i="15"/>
  <c r="BR26" i="15"/>
  <c r="BX26" i="15"/>
  <c r="CD26" i="15"/>
  <c r="CJ26" i="15"/>
  <c r="CP26" i="15"/>
  <c r="CV26" i="15"/>
  <c r="Q26" i="15"/>
  <c r="W26" i="15"/>
  <c r="AC26" i="15"/>
  <c r="AI26" i="15"/>
  <c r="AO26" i="15"/>
  <c r="AU26" i="15"/>
  <c r="BA26" i="15"/>
  <c r="BG26" i="15"/>
  <c r="N26" i="15"/>
  <c r="T26" i="15"/>
  <c r="Z26" i="15"/>
  <c r="AF26" i="15"/>
  <c r="AL26" i="15"/>
  <c r="AR26" i="15"/>
  <c r="AX26" i="15"/>
  <c r="BD26" i="15"/>
  <c r="BJ26" i="15"/>
  <c r="BP26" i="15"/>
  <c r="BV26" i="15"/>
  <c r="CB26" i="15"/>
  <c r="R26" i="15"/>
  <c r="AJ26" i="15"/>
  <c r="BB26" i="15"/>
  <c r="BO26" i="15"/>
  <c r="CA26" i="15"/>
  <c r="CL26" i="15"/>
  <c r="CT26" i="15"/>
  <c r="S26" i="15"/>
  <c r="AK26" i="15"/>
  <c r="BC26" i="15"/>
  <c r="BS26" i="15"/>
  <c r="CE26" i="15"/>
  <c r="CM26" i="15"/>
  <c r="CU26" i="15"/>
  <c r="X26" i="15"/>
  <c r="AP26" i="15"/>
  <c r="BH26" i="15"/>
  <c r="BT26" i="15"/>
  <c r="CF26" i="15"/>
  <c r="CN26" i="15"/>
  <c r="CW26" i="15"/>
  <c r="Y26" i="15"/>
  <c r="AQ26" i="15"/>
  <c r="BI26" i="15"/>
  <c r="BU26" i="15"/>
  <c r="CG26" i="15"/>
  <c r="CQ26" i="15"/>
  <c r="CX26" i="15"/>
  <c r="AV26" i="15"/>
  <c r="CH26" i="15"/>
  <c r="AW26" i="15"/>
  <c r="CK26" i="15"/>
  <c r="BM26" i="15"/>
  <c r="CR26" i="15"/>
  <c r="AD26" i="15"/>
  <c r="BY26" i="15"/>
  <c r="M26" i="15"/>
  <c r="AE26" i="15"/>
  <c r="BN26" i="15"/>
  <c r="CS26" i="15"/>
  <c r="M22" i="15"/>
  <c r="S22" i="15"/>
  <c r="Y22" i="15"/>
  <c r="AE22" i="15"/>
  <c r="AK22" i="15"/>
  <c r="AQ22" i="15"/>
  <c r="AW22" i="15"/>
  <c r="BC22" i="15"/>
  <c r="BI22" i="15"/>
  <c r="BO22" i="15"/>
  <c r="BU22" i="15"/>
  <c r="CA22" i="15"/>
  <c r="CG22" i="15"/>
  <c r="CM22" i="15"/>
  <c r="CS22" i="15"/>
  <c r="O22" i="15"/>
  <c r="U22" i="15"/>
  <c r="AA22" i="15"/>
  <c r="AG22" i="15"/>
  <c r="AM22" i="15"/>
  <c r="AS22" i="15"/>
  <c r="AY22" i="15"/>
  <c r="BE22" i="15"/>
  <c r="BK22" i="15"/>
  <c r="BQ22" i="15"/>
  <c r="BW22" i="15"/>
  <c r="CC22" i="15"/>
  <c r="CI22" i="15"/>
  <c r="CO22" i="15"/>
  <c r="CU22" i="15"/>
  <c r="T22" i="15"/>
  <c r="AC22" i="15"/>
  <c r="AL22" i="15"/>
  <c r="AU22" i="15"/>
  <c r="BD22" i="15"/>
  <c r="BM22" i="15"/>
  <c r="BV22" i="15"/>
  <c r="CE22" i="15"/>
  <c r="CN22" i="15"/>
  <c r="CW22" i="15"/>
  <c r="V22" i="15"/>
  <c r="AD22" i="15"/>
  <c r="AN22" i="15"/>
  <c r="AV22" i="15"/>
  <c r="BF22" i="15"/>
  <c r="BN22" i="15"/>
  <c r="BX22" i="15"/>
  <c r="CF22" i="15"/>
  <c r="CP22" i="15"/>
  <c r="CX22" i="15"/>
  <c r="N22" i="15"/>
  <c r="W22" i="15"/>
  <c r="AF22" i="15"/>
  <c r="AO22" i="15"/>
  <c r="AX22" i="15"/>
  <c r="BG22" i="15"/>
  <c r="BP22" i="15"/>
  <c r="BY22" i="15"/>
  <c r="CH22" i="15"/>
  <c r="CQ22" i="15"/>
  <c r="R22" i="15"/>
  <c r="AB22" i="15"/>
  <c r="AJ22" i="15"/>
  <c r="AT22" i="15"/>
  <c r="BB22" i="15"/>
  <c r="BL22" i="15"/>
  <c r="BT22" i="15"/>
  <c r="CD22" i="15"/>
  <c r="CL22" i="15"/>
  <c r="CV22" i="15"/>
  <c r="X22" i="15"/>
  <c r="AZ22" i="15"/>
  <c r="BZ22" i="15"/>
  <c r="Z22" i="15"/>
  <c r="BA22" i="15"/>
  <c r="CB22" i="15"/>
  <c r="AH22" i="15"/>
  <c r="BH22" i="15"/>
  <c r="CJ22" i="15"/>
  <c r="AI22" i="15"/>
  <c r="BJ22" i="15"/>
  <c r="CK22" i="15"/>
  <c r="BR22" i="15"/>
  <c r="BS22" i="15"/>
  <c r="P22" i="15"/>
  <c r="CR22" i="15"/>
  <c r="AP22" i="15"/>
  <c r="Q22" i="15"/>
  <c r="AR22" i="15"/>
  <c r="CT22" i="15"/>
  <c r="CP37" i="16"/>
  <c r="CC37" i="16"/>
  <c r="BN37" i="16"/>
  <c r="BA37" i="16"/>
  <c r="AN37" i="16"/>
  <c r="AA37" i="16"/>
  <c r="H37" i="16"/>
  <c r="CP32" i="16"/>
  <c r="CD32" i="16"/>
  <c r="BT32" i="16"/>
  <c r="BH32" i="16"/>
  <c r="AY32" i="16"/>
  <c r="AM32" i="16"/>
  <c r="AC32" i="16"/>
  <c r="Q32" i="16"/>
  <c r="CN27" i="16"/>
  <c r="CE27" i="16"/>
  <c r="BS27" i="16"/>
  <c r="BI27" i="16"/>
  <c r="AW27" i="16"/>
  <c r="AM27" i="16"/>
  <c r="AA27" i="16"/>
  <c r="R27" i="16"/>
  <c r="CU22" i="16"/>
  <c r="CK22" i="16"/>
  <c r="BZ22" i="16"/>
  <c r="BQ22" i="16"/>
  <c r="BG22" i="16"/>
  <c r="AU22" i="16"/>
  <c r="AL22" i="16"/>
  <c r="AA22" i="16"/>
  <c r="Q22" i="16"/>
  <c r="CV21" i="16"/>
  <c r="CL21" i="16"/>
  <c r="CA21" i="16"/>
  <c r="BQ21" i="16"/>
  <c r="BH21" i="16"/>
  <c r="AW21" i="16"/>
  <c r="AL21" i="16"/>
  <c r="AA21" i="16"/>
  <c r="R21" i="16"/>
  <c r="CX20" i="16"/>
  <c r="CQ20" i="16"/>
  <c r="CI20" i="16"/>
  <c r="CB20" i="16"/>
  <c r="BU20" i="16"/>
  <c r="BN20" i="16"/>
  <c r="BG20" i="16"/>
  <c r="AY20" i="16"/>
  <c r="AR20" i="16"/>
  <c r="AK20" i="16"/>
  <c r="AD20" i="16"/>
  <c r="W20" i="16"/>
  <c r="O20" i="16"/>
  <c r="D21" i="17"/>
  <c r="CJ37" i="15"/>
  <c r="CV36" i="15"/>
  <c r="AT36" i="15"/>
  <c r="BL34" i="15"/>
  <c r="CD32" i="15"/>
  <c r="AB32" i="15"/>
  <c r="BL31" i="15"/>
  <c r="CU28" i="15"/>
  <c r="F37" i="15"/>
  <c r="Q37" i="15"/>
  <c r="W37" i="15"/>
  <c r="AC37" i="15"/>
  <c r="AI37" i="15"/>
  <c r="AO37" i="15"/>
  <c r="AU37" i="15"/>
  <c r="BA37" i="15"/>
  <c r="BG37" i="15"/>
  <c r="BM37" i="15"/>
  <c r="BS37" i="15"/>
  <c r="BY37" i="15"/>
  <c r="CE37" i="15"/>
  <c r="CK37" i="15"/>
  <c r="CQ37" i="15"/>
  <c r="CW37" i="15"/>
  <c r="R37" i="15"/>
  <c r="X37" i="15"/>
  <c r="AD37" i="15"/>
  <c r="AJ37" i="15"/>
  <c r="AP37" i="15"/>
  <c r="AV37" i="15"/>
  <c r="BB37" i="15"/>
  <c r="BH37" i="15"/>
  <c r="BN37" i="15"/>
  <c r="BT37" i="15"/>
  <c r="BZ37" i="15"/>
  <c r="CF37" i="15"/>
  <c r="CL37" i="15"/>
  <c r="CR37" i="15"/>
  <c r="CX37" i="15"/>
  <c r="M37" i="15"/>
  <c r="S37" i="15"/>
  <c r="Y37" i="15"/>
  <c r="AE37" i="15"/>
  <c r="AK37" i="15"/>
  <c r="AQ37" i="15"/>
  <c r="AW37" i="15"/>
  <c r="BC37" i="15"/>
  <c r="BI37" i="15"/>
  <c r="BO37" i="15"/>
  <c r="BU37" i="15"/>
  <c r="CA37" i="15"/>
  <c r="CG37" i="15"/>
  <c r="CM37" i="15"/>
  <c r="CS37" i="15"/>
  <c r="O37" i="15"/>
  <c r="U37" i="15"/>
  <c r="AA37" i="15"/>
  <c r="T37" i="15"/>
  <c r="AH37" i="15"/>
  <c r="AT37" i="15"/>
  <c r="BF37" i="15"/>
  <c r="BR37" i="15"/>
  <c r="CD37" i="15"/>
  <c r="CP37" i="15"/>
  <c r="V37" i="15"/>
  <c r="AL37" i="15"/>
  <c r="AX37" i="15"/>
  <c r="BJ37" i="15"/>
  <c r="BV37" i="15"/>
  <c r="CH37" i="15"/>
  <c r="CT37" i="15"/>
  <c r="Z37" i="15"/>
  <c r="AM37" i="15"/>
  <c r="AY37" i="15"/>
  <c r="BK37" i="15"/>
  <c r="BW37" i="15"/>
  <c r="CI37" i="15"/>
  <c r="CU37" i="15"/>
  <c r="N37" i="15"/>
  <c r="AF37" i="15"/>
  <c r="AR37" i="15"/>
  <c r="BD37" i="15"/>
  <c r="BP37" i="15"/>
  <c r="CB37" i="15"/>
  <c r="CN37" i="15"/>
  <c r="M21" i="15"/>
  <c r="S21" i="15"/>
  <c r="Y21" i="15"/>
  <c r="AE21" i="15"/>
  <c r="AK21" i="15"/>
  <c r="AQ21" i="15"/>
  <c r="AW21" i="15"/>
  <c r="BC21" i="15"/>
  <c r="BI21" i="15"/>
  <c r="BO21" i="15"/>
  <c r="BU21" i="15"/>
  <c r="CA21" i="15"/>
  <c r="CG21" i="15"/>
  <c r="CM21" i="15"/>
  <c r="CS21" i="15"/>
  <c r="N21" i="15"/>
  <c r="T21" i="15"/>
  <c r="Z21" i="15"/>
  <c r="AF21" i="15"/>
  <c r="AL21" i="15"/>
  <c r="AR21" i="15"/>
  <c r="AX21" i="15"/>
  <c r="BD21" i="15"/>
  <c r="BJ21" i="15"/>
  <c r="BP21" i="15"/>
  <c r="BV21" i="15"/>
  <c r="CB21" i="15"/>
  <c r="O21" i="15"/>
  <c r="U21" i="15"/>
  <c r="AA21" i="15"/>
  <c r="AG21" i="15"/>
  <c r="AM21" i="15"/>
  <c r="AS21" i="15"/>
  <c r="AY21" i="15"/>
  <c r="BE21" i="15"/>
  <c r="BK21" i="15"/>
  <c r="BQ21" i="15"/>
  <c r="BW21" i="15"/>
  <c r="CC21" i="15"/>
  <c r="CI21" i="15"/>
  <c r="CO21" i="15"/>
  <c r="CU21" i="15"/>
  <c r="R21" i="15"/>
  <c r="X21" i="15"/>
  <c r="V21" i="15"/>
  <c r="AI21" i="15"/>
  <c r="AU21" i="15"/>
  <c r="BG21" i="15"/>
  <c r="BS21" i="15"/>
  <c r="CE21" i="15"/>
  <c r="CN21" i="15"/>
  <c r="CW21" i="15"/>
  <c r="W21" i="15"/>
  <c r="AJ21" i="15"/>
  <c r="AV21" i="15"/>
  <c r="BH21" i="15"/>
  <c r="BT21" i="15"/>
  <c r="CF21" i="15"/>
  <c r="CP21" i="15"/>
  <c r="CX21" i="15"/>
  <c r="AB21" i="15"/>
  <c r="AN21" i="15"/>
  <c r="AZ21" i="15"/>
  <c r="BL21" i="15"/>
  <c r="BX21" i="15"/>
  <c r="CH21" i="15"/>
  <c r="CQ21" i="15"/>
  <c r="Q21" i="15"/>
  <c r="AH21" i="15"/>
  <c r="AT21" i="15"/>
  <c r="BF21" i="15"/>
  <c r="BR21" i="15"/>
  <c r="CD21" i="15"/>
  <c r="CL21" i="15"/>
  <c r="CV21" i="15"/>
  <c r="BA21" i="15"/>
  <c r="CJ21" i="15"/>
  <c r="P21" i="15"/>
  <c r="BB21" i="15"/>
  <c r="CK21" i="15"/>
  <c r="AC21" i="15"/>
  <c r="BM21" i="15"/>
  <c r="CR21" i="15"/>
  <c r="AD21" i="15"/>
  <c r="BN21" i="15"/>
  <c r="CT21" i="15"/>
  <c r="BY21" i="15"/>
  <c r="BZ21" i="15"/>
  <c r="AO21" i="15"/>
  <c r="CW32" i="16"/>
  <c r="CK32" i="16"/>
  <c r="CA32" i="16"/>
  <c r="BO32" i="16"/>
  <c r="BF32" i="16"/>
  <c r="AT32" i="16"/>
  <c r="AJ32" i="16"/>
  <c r="X32" i="16"/>
  <c r="O32" i="16"/>
  <c r="CU27" i="16"/>
  <c r="CL27" i="16"/>
  <c r="BZ27" i="16"/>
  <c r="BP27" i="16"/>
  <c r="BD27" i="16"/>
  <c r="AU27" i="16"/>
  <c r="AI27" i="16"/>
  <c r="Y27" i="16"/>
  <c r="M27" i="16"/>
  <c r="CR22" i="16"/>
  <c r="CH22" i="16"/>
  <c r="BX22" i="16"/>
  <c r="BL22" i="16"/>
  <c r="BB22" i="16"/>
  <c r="AS22" i="16"/>
  <c r="AH22" i="16"/>
  <c r="X22" i="16"/>
  <c r="H22" i="16"/>
  <c r="CS21" i="16"/>
  <c r="CH21" i="16"/>
  <c r="BX21" i="16"/>
  <c r="BO21" i="16"/>
  <c r="BC21" i="16"/>
  <c r="AS21" i="16"/>
  <c r="AH21" i="16"/>
  <c r="Y21" i="16"/>
  <c r="N21" i="16"/>
  <c r="CU20" i="16"/>
  <c r="CN20" i="16"/>
  <c r="CG20" i="16"/>
  <c r="BZ20" i="16"/>
  <c r="BS20" i="16"/>
  <c r="BK20" i="16"/>
  <c r="BD20" i="16"/>
  <c r="AW20" i="16"/>
  <c r="AP20" i="16"/>
  <c r="AI20" i="16"/>
  <c r="AA20" i="16"/>
  <c r="T20" i="16"/>
  <c r="M20" i="16"/>
  <c r="D16" i="16"/>
  <c r="D31" i="17"/>
  <c r="BX37" i="15"/>
  <c r="AN37" i="15"/>
  <c r="CD36" i="15"/>
  <c r="CV34" i="15"/>
  <c r="AT34" i="15"/>
  <c r="CV31" i="15"/>
  <c r="AQ31" i="15"/>
  <c r="CA29" i="15"/>
  <c r="BZ26" i="15"/>
  <c r="Q36" i="15"/>
  <c r="W36" i="15"/>
  <c r="AC36" i="15"/>
  <c r="AI36" i="15"/>
  <c r="AO36" i="15"/>
  <c r="AU36" i="15"/>
  <c r="BA36" i="15"/>
  <c r="BG36" i="15"/>
  <c r="BM36" i="15"/>
  <c r="BS36" i="15"/>
  <c r="BY36" i="15"/>
  <c r="CE36" i="15"/>
  <c r="CK36" i="15"/>
  <c r="CQ36" i="15"/>
  <c r="CW36" i="15"/>
  <c r="R36" i="15"/>
  <c r="X36" i="15"/>
  <c r="AD36" i="15"/>
  <c r="AJ36" i="15"/>
  <c r="AP36" i="15"/>
  <c r="AV36" i="15"/>
  <c r="BB36" i="15"/>
  <c r="BH36" i="15"/>
  <c r="BN36" i="15"/>
  <c r="BT36" i="15"/>
  <c r="BZ36" i="15"/>
  <c r="CF36" i="15"/>
  <c r="CL36" i="15"/>
  <c r="CR36" i="15"/>
  <c r="CX36" i="15"/>
  <c r="M36" i="15"/>
  <c r="S36" i="15"/>
  <c r="Y36" i="15"/>
  <c r="AE36" i="15"/>
  <c r="AK36" i="15"/>
  <c r="AQ36" i="15"/>
  <c r="AW36" i="15"/>
  <c r="BC36" i="15"/>
  <c r="BI36" i="15"/>
  <c r="BO36" i="15"/>
  <c r="BU36" i="15"/>
  <c r="CA36" i="15"/>
  <c r="CG36" i="15"/>
  <c r="CM36" i="15"/>
  <c r="CS36" i="15"/>
  <c r="O36" i="15"/>
  <c r="U36" i="15"/>
  <c r="AA36" i="15"/>
  <c r="AG36" i="15"/>
  <c r="AM36" i="15"/>
  <c r="AS36" i="15"/>
  <c r="AY36" i="15"/>
  <c r="BE36" i="15"/>
  <c r="BK36" i="15"/>
  <c r="BQ36" i="15"/>
  <c r="BW36" i="15"/>
  <c r="CC36" i="15"/>
  <c r="CI36" i="15"/>
  <c r="CO36" i="15"/>
  <c r="CU36" i="15"/>
  <c r="T36" i="15"/>
  <c r="AL36" i="15"/>
  <c r="BD36" i="15"/>
  <c r="BV36" i="15"/>
  <c r="CN36" i="15"/>
  <c r="V36" i="15"/>
  <c r="AN36" i="15"/>
  <c r="BF36" i="15"/>
  <c r="BX36" i="15"/>
  <c r="CP36" i="15"/>
  <c r="Z36" i="15"/>
  <c r="AR36" i="15"/>
  <c r="BJ36" i="15"/>
  <c r="CB36" i="15"/>
  <c r="CT36" i="15"/>
  <c r="N36" i="15"/>
  <c r="AF36" i="15"/>
  <c r="AX36" i="15"/>
  <c r="BP36" i="15"/>
  <c r="CH36" i="15"/>
  <c r="Q32" i="15"/>
  <c r="W32" i="15"/>
  <c r="AC32" i="15"/>
  <c r="AI32" i="15"/>
  <c r="AO32" i="15"/>
  <c r="AU32" i="15"/>
  <c r="BA32" i="15"/>
  <c r="BG32" i="15"/>
  <c r="BM32" i="15"/>
  <c r="BS32" i="15"/>
  <c r="BY32" i="15"/>
  <c r="CE32" i="15"/>
  <c r="CK32" i="15"/>
  <c r="CQ32" i="15"/>
  <c r="CW32" i="15"/>
  <c r="R32" i="15"/>
  <c r="X32" i="15"/>
  <c r="AD32" i="15"/>
  <c r="AJ32" i="15"/>
  <c r="AP32" i="15"/>
  <c r="AV32" i="15"/>
  <c r="BB32" i="15"/>
  <c r="BH32" i="15"/>
  <c r="BN32" i="15"/>
  <c r="BT32" i="15"/>
  <c r="BZ32" i="15"/>
  <c r="CF32" i="15"/>
  <c r="CL32" i="15"/>
  <c r="CR32" i="15"/>
  <c r="CX32" i="15"/>
  <c r="M32" i="15"/>
  <c r="S32" i="15"/>
  <c r="Y32" i="15"/>
  <c r="AE32" i="15"/>
  <c r="AK32" i="15"/>
  <c r="AQ32" i="15"/>
  <c r="AW32" i="15"/>
  <c r="BC32" i="15"/>
  <c r="BI32" i="15"/>
  <c r="BO32" i="15"/>
  <c r="BU32" i="15"/>
  <c r="CA32" i="15"/>
  <c r="CG32" i="15"/>
  <c r="CM32" i="15"/>
  <c r="CS32" i="15"/>
  <c r="O32" i="15"/>
  <c r="U32" i="15"/>
  <c r="AA32" i="15"/>
  <c r="AG32" i="15"/>
  <c r="AM32" i="15"/>
  <c r="AS32" i="15"/>
  <c r="AY32" i="15"/>
  <c r="BE32" i="15"/>
  <c r="BK32" i="15"/>
  <c r="BQ32" i="15"/>
  <c r="BW32" i="15"/>
  <c r="CC32" i="15"/>
  <c r="CI32" i="15"/>
  <c r="CO32" i="15"/>
  <c r="CU32" i="15"/>
  <c r="T32" i="15"/>
  <c r="AL32" i="15"/>
  <c r="BD32" i="15"/>
  <c r="BV32" i="15"/>
  <c r="CN32" i="15"/>
  <c r="V32" i="15"/>
  <c r="AN32" i="15"/>
  <c r="BF32" i="15"/>
  <c r="BX32" i="15"/>
  <c r="CP32" i="15"/>
  <c r="Z32" i="15"/>
  <c r="AR32" i="15"/>
  <c r="BJ32" i="15"/>
  <c r="CB32" i="15"/>
  <c r="CT32" i="15"/>
  <c r="N32" i="15"/>
  <c r="AF32" i="15"/>
  <c r="AX32" i="15"/>
  <c r="BP32" i="15"/>
  <c r="CH32" i="15"/>
  <c r="P28" i="15"/>
  <c r="V28" i="15"/>
  <c r="AB28" i="15"/>
  <c r="AH28" i="15"/>
  <c r="AN28" i="15"/>
  <c r="AT28" i="15"/>
  <c r="AZ28" i="15"/>
  <c r="BF28" i="15"/>
  <c r="BL28" i="15"/>
  <c r="BR28" i="15"/>
  <c r="BX28" i="15"/>
  <c r="CD28" i="15"/>
  <c r="CJ28" i="15"/>
  <c r="CP28" i="15"/>
  <c r="CV28" i="15"/>
  <c r="Q28" i="15"/>
  <c r="W28" i="15"/>
  <c r="AC28" i="15"/>
  <c r="AI28" i="15"/>
  <c r="AO28" i="15"/>
  <c r="AU28" i="15"/>
  <c r="BA28" i="15"/>
  <c r="BG28" i="15"/>
  <c r="BM28" i="15"/>
  <c r="BS28" i="15"/>
  <c r="BY28" i="15"/>
  <c r="CE28" i="15"/>
  <c r="CK28" i="15"/>
  <c r="CQ28" i="15"/>
  <c r="CW28" i="15"/>
  <c r="R28" i="15"/>
  <c r="X28" i="15"/>
  <c r="AD28" i="15"/>
  <c r="AJ28" i="15"/>
  <c r="AP28" i="15"/>
  <c r="AV28" i="15"/>
  <c r="BB28" i="15"/>
  <c r="BH28" i="15"/>
  <c r="BN28" i="15"/>
  <c r="BT28" i="15"/>
  <c r="BZ28" i="15"/>
  <c r="CF28" i="15"/>
  <c r="CL28" i="15"/>
  <c r="CR28" i="15"/>
  <c r="CX28" i="15"/>
  <c r="M28" i="15"/>
  <c r="S28" i="15"/>
  <c r="Y28" i="15"/>
  <c r="AE28" i="15"/>
  <c r="AK28" i="15"/>
  <c r="AQ28" i="15"/>
  <c r="AW28" i="15"/>
  <c r="T28" i="15"/>
  <c r="AL28" i="15"/>
  <c r="BC28" i="15"/>
  <c r="BO28" i="15"/>
  <c r="CA28" i="15"/>
  <c r="CM28" i="15"/>
  <c r="U28" i="15"/>
  <c r="AM28" i="15"/>
  <c r="BD28" i="15"/>
  <c r="BP28" i="15"/>
  <c r="CB28" i="15"/>
  <c r="CN28" i="15"/>
  <c r="Z28" i="15"/>
  <c r="AR28" i="15"/>
  <c r="BE28" i="15"/>
  <c r="BQ28" i="15"/>
  <c r="CC28" i="15"/>
  <c r="CO28" i="15"/>
  <c r="N28" i="15"/>
  <c r="AF28" i="15"/>
  <c r="AX28" i="15"/>
  <c r="BJ28" i="15"/>
  <c r="BV28" i="15"/>
  <c r="CH28" i="15"/>
  <c r="CT28" i="15"/>
  <c r="AS28" i="15"/>
  <c r="CG28" i="15"/>
  <c r="AY28" i="15"/>
  <c r="CI28" i="15"/>
  <c r="BI28" i="15"/>
  <c r="CS28" i="15"/>
  <c r="AA28" i="15"/>
  <c r="BU28" i="15"/>
  <c r="O24" i="15"/>
  <c r="U24" i="15"/>
  <c r="AA24" i="15"/>
  <c r="AG24" i="15"/>
  <c r="AM24" i="15"/>
  <c r="AS24" i="15"/>
  <c r="AY24" i="15"/>
  <c r="BE24" i="15"/>
  <c r="BK24" i="15"/>
  <c r="BQ24" i="15"/>
  <c r="BW24" i="15"/>
  <c r="CC24" i="15"/>
  <c r="CI24" i="15"/>
  <c r="CO24" i="15"/>
  <c r="CU24" i="15"/>
  <c r="P24" i="15"/>
  <c r="V24" i="15"/>
  <c r="AB24" i="15"/>
  <c r="AH24" i="15"/>
  <c r="AN24" i="15"/>
  <c r="AT24" i="15"/>
  <c r="AZ24" i="15"/>
  <c r="BF24" i="15"/>
  <c r="BL24" i="15"/>
  <c r="BR24" i="15"/>
  <c r="BX24" i="15"/>
  <c r="CD24" i="15"/>
  <c r="CJ24" i="15"/>
  <c r="CP24" i="15"/>
  <c r="CV24" i="15"/>
  <c r="Q24" i="15"/>
  <c r="W24" i="15"/>
  <c r="AC24" i="15"/>
  <c r="AI24" i="15"/>
  <c r="AO24" i="15"/>
  <c r="AU24" i="15"/>
  <c r="BA24" i="15"/>
  <c r="BG24" i="15"/>
  <c r="BM24" i="15"/>
  <c r="BS24" i="15"/>
  <c r="BY24" i="15"/>
  <c r="CE24" i="15"/>
  <c r="CK24" i="15"/>
  <c r="CQ24" i="15"/>
  <c r="CW24" i="15"/>
  <c r="N24" i="15"/>
  <c r="T24" i="15"/>
  <c r="Z24" i="15"/>
  <c r="AF24" i="15"/>
  <c r="AL24" i="15"/>
  <c r="AR24" i="15"/>
  <c r="AX24" i="15"/>
  <c r="BD24" i="15"/>
  <c r="BJ24" i="15"/>
  <c r="BP24" i="15"/>
  <c r="BV24" i="15"/>
  <c r="CB24" i="15"/>
  <c r="CH24" i="15"/>
  <c r="CN24" i="15"/>
  <c r="CT24" i="15"/>
  <c r="R24" i="15"/>
  <c r="AJ24" i="15"/>
  <c r="BB24" i="15"/>
  <c r="BT24" i="15"/>
  <c r="CL24" i="15"/>
  <c r="S24" i="15"/>
  <c r="AK24" i="15"/>
  <c r="BC24" i="15"/>
  <c r="BU24" i="15"/>
  <c r="CM24" i="15"/>
  <c r="X24" i="15"/>
  <c r="AP24" i="15"/>
  <c r="BH24" i="15"/>
  <c r="BZ24" i="15"/>
  <c r="CR24" i="15"/>
  <c r="Y24" i="15"/>
  <c r="AQ24" i="15"/>
  <c r="BI24" i="15"/>
  <c r="CA24" i="15"/>
  <c r="CS24" i="15"/>
  <c r="BN24" i="15"/>
  <c r="M24" i="15"/>
  <c r="BO24" i="15"/>
  <c r="AD24" i="15"/>
  <c r="CF24" i="15"/>
  <c r="AV24" i="15"/>
  <c r="CX24" i="15"/>
  <c r="AE24" i="15"/>
  <c r="AW24" i="15"/>
  <c r="CG24" i="15"/>
  <c r="O18" i="15"/>
  <c r="U18" i="15"/>
  <c r="AA18" i="15"/>
  <c r="AG18" i="15"/>
  <c r="AM18" i="15"/>
  <c r="AS18" i="15"/>
  <c r="AY18" i="15"/>
  <c r="BE18" i="15"/>
  <c r="BK18" i="15"/>
  <c r="BQ18" i="15"/>
  <c r="BW18" i="15"/>
  <c r="CC18" i="15"/>
  <c r="CI18" i="15"/>
  <c r="CO18" i="15"/>
  <c r="CU18" i="15"/>
  <c r="M18" i="15"/>
  <c r="S18" i="15"/>
  <c r="Y18" i="15"/>
  <c r="AE18" i="15"/>
  <c r="AK18" i="15"/>
  <c r="AQ18" i="15"/>
  <c r="AW18" i="15"/>
  <c r="BC18" i="15"/>
  <c r="BI18" i="15"/>
  <c r="BO18" i="15"/>
  <c r="BU18" i="15"/>
  <c r="CA18" i="15"/>
  <c r="CG18" i="15"/>
  <c r="CM18" i="15"/>
  <c r="CS18" i="15"/>
  <c r="N18" i="15"/>
  <c r="W18" i="15"/>
  <c r="AF18" i="15"/>
  <c r="AO18" i="15"/>
  <c r="AX18" i="15"/>
  <c r="BG18" i="15"/>
  <c r="BP18" i="15"/>
  <c r="BY18" i="15"/>
  <c r="CH18" i="15"/>
  <c r="CQ18" i="15"/>
  <c r="P18" i="15"/>
  <c r="X18" i="15"/>
  <c r="AH18" i="15"/>
  <c r="AP18" i="15"/>
  <c r="AZ18" i="15"/>
  <c r="BH18" i="15"/>
  <c r="BR18" i="15"/>
  <c r="BZ18" i="15"/>
  <c r="CJ18" i="15"/>
  <c r="CR18" i="15"/>
  <c r="Q18" i="15"/>
  <c r="Z18" i="15"/>
  <c r="AI18" i="15"/>
  <c r="AR18" i="15"/>
  <c r="BA18" i="15"/>
  <c r="BJ18" i="15"/>
  <c r="BS18" i="15"/>
  <c r="CB18" i="15"/>
  <c r="CK18" i="15"/>
  <c r="CT18" i="15"/>
  <c r="T18" i="15"/>
  <c r="AC18" i="15"/>
  <c r="AL18" i="15"/>
  <c r="AU18" i="15"/>
  <c r="BD18" i="15"/>
  <c r="BM18" i="15"/>
  <c r="BV18" i="15"/>
  <c r="CE18" i="15"/>
  <c r="CN18" i="15"/>
  <c r="CW18" i="15"/>
  <c r="V18" i="15"/>
  <c r="AD18" i="15"/>
  <c r="AN18" i="15"/>
  <c r="AV18" i="15"/>
  <c r="BF18" i="15"/>
  <c r="BN18" i="15"/>
  <c r="BX18" i="15"/>
  <c r="CF18" i="15"/>
  <c r="CP18" i="15"/>
  <c r="CX18" i="15"/>
  <c r="AB18" i="15"/>
  <c r="CD18" i="15"/>
  <c r="AJ18" i="15"/>
  <c r="CL18" i="15"/>
  <c r="AT18" i="15"/>
  <c r="CV18" i="15"/>
  <c r="R18" i="15"/>
  <c r="BT18" i="15"/>
  <c r="BB18" i="15"/>
  <c r="F10" i="15"/>
  <c r="CW37" i="16"/>
  <c r="CJ37" i="16"/>
  <c r="BW37" i="16"/>
  <c r="BH37" i="16"/>
  <c r="AU37" i="16"/>
  <c r="AH37" i="16"/>
  <c r="U37" i="16"/>
  <c r="CV36" i="16"/>
  <c r="CM36" i="16"/>
  <c r="CB36" i="16"/>
  <c r="BQ36" i="16"/>
  <c r="BE36" i="16"/>
  <c r="AT36" i="16"/>
  <c r="AK36" i="16"/>
  <c r="Z36" i="16"/>
  <c r="O36" i="16"/>
  <c r="CT33" i="16"/>
  <c r="CG33" i="16"/>
  <c r="BR33" i="16"/>
  <c r="BE33" i="16"/>
  <c r="AR33" i="16"/>
  <c r="AE33" i="16"/>
  <c r="P33" i="16"/>
  <c r="CS32" i="16"/>
  <c r="CJ32" i="16"/>
  <c r="BX32" i="16"/>
  <c r="BN32" i="16"/>
  <c r="BB32" i="16"/>
  <c r="AS32" i="16"/>
  <c r="AG32" i="16"/>
  <c r="W32" i="16"/>
  <c r="F32" i="16"/>
  <c r="AG30" i="16"/>
  <c r="X30" i="16"/>
  <c r="F30" i="16"/>
  <c r="CT27" i="16"/>
  <c r="CK27" i="16"/>
  <c r="BY27" i="16"/>
  <c r="BO27" i="16"/>
  <c r="BC27" i="16"/>
  <c r="AS27" i="16"/>
  <c r="AG27" i="16"/>
  <c r="X27" i="16"/>
  <c r="H27" i="16"/>
  <c r="CU26" i="16"/>
  <c r="CM26" i="16"/>
  <c r="CF26" i="16"/>
  <c r="BY26" i="16"/>
  <c r="BR26" i="16"/>
  <c r="BK26" i="16"/>
  <c r="BC26" i="16"/>
  <c r="AV26" i="16"/>
  <c r="AO26" i="16"/>
  <c r="AH26" i="16"/>
  <c r="AA26" i="16"/>
  <c r="S26" i="16"/>
  <c r="H26" i="16"/>
  <c r="CT25" i="16"/>
  <c r="CD25" i="16"/>
  <c r="BR25" i="16"/>
  <c r="AY25" i="16"/>
  <c r="AH25" i="16"/>
  <c r="O25" i="16"/>
  <c r="CQ22" i="16"/>
  <c r="CF22" i="16"/>
  <c r="BV22" i="16"/>
  <c r="BK22" i="16"/>
  <c r="BA22" i="16"/>
  <c r="AP22" i="16"/>
  <c r="AG22" i="16"/>
  <c r="U22" i="16"/>
  <c r="F22" i="16"/>
  <c r="CR21" i="16"/>
  <c r="CG21" i="16"/>
  <c r="BW21" i="16"/>
  <c r="BK21" i="16"/>
  <c r="BB21" i="16"/>
  <c r="AQ21" i="16"/>
  <c r="AG21" i="16"/>
  <c r="X21" i="16"/>
  <c r="H21" i="16"/>
  <c r="CT20" i="16"/>
  <c r="CM20" i="16"/>
  <c r="CF20" i="16"/>
  <c r="BY20" i="16"/>
  <c r="BQ20" i="16"/>
  <c r="BJ20" i="16"/>
  <c r="BC20" i="16"/>
  <c r="AV20" i="16"/>
  <c r="AO20" i="16"/>
  <c r="AG20" i="16"/>
  <c r="Z20" i="16"/>
  <c r="S20" i="16"/>
  <c r="H20" i="16"/>
  <c r="D28" i="17"/>
  <c r="BQ37" i="15"/>
  <c r="AG37" i="15"/>
  <c r="BR36" i="15"/>
  <c r="P36" i="15"/>
  <c r="CJ34" i="15"/>
  <c r="AH34" i="15"/>
  <c r="AZ32" i="15"/>
  <c r="CJ31" i="15"/>
  <c r="BE29" i="15"/>
  <c r="AG28" i="15"/>
  <c r="CR20" i="14"/>
  <c r="CJ20" i="14"/>
  <c r="CC20" i="14"/>
  <c r="BV20" i="14"/>
  <c r="BO20" i="14"/>
  <c r="BH20" i="14"/>
  <c r="AZ20" i="14"/>
  <c r="AS20" i="14"/>
  <c r="AL20" i="14"/>
  <c r="AE20" i="14"/>
  <c r="X20" i="14"/>
  <c r="P20" i="14"/>
  <c r="CH18" i="14"/>
  <c r="BY18" i="14"/>
  <c r="BP18" i="14"/>
  <c r="BG18" i="14"/>
  <c r="AY18" i="14"/>
  <c r="AQ18" i="14"/>
  <c r="AH18" i="14"/>
  <c r="Y18" i="14"/>
  <c r="F31" i="15"/>
  <c r="P31" i="15"/>
  <c r="V31" i="15"/>
  <c r="AB31" i="15"/>
  <c r="AH31" i="15"/>
  <c r="AN31" i="15"/>
  <c r="AT31" i="15"/>
  <c r="AZ31" i="15"/>
  <c r="BF31" i="15"/>
  <c r="O31" i="15"/>
  <c r="W31" i="15"/>
  <c r="AD31" i="15"/>
  <c r="AK31" i="15"/>
  <c r="AR31" i="15"/>
  <c r="AY31" i="15"/>
  <c r="BG31" i="15"/>
  <c r="BM31" i="15"/>
  <c r="BS31" i="15"/>
  <c r="BY31" i="15"/>
  <c r="CE31" i="15"/>
  <c r="CK31" i="15"/>
  <c r="CQ31" i="15"/>
  <c r="CW31" i="15"/>
  <c r="Q31" i="15"/>
  <c r="X31" i="15"/>
  <c r="AE31" i="15"/>
  <c r="AL31" i="15"/>
  <c r="AS31" i="15"/>
  <c r="BA31" i="15"/>
  <c r="BH31" i="15"/>
  <c r="BN31" i="15"/>
  <c r="BT31" i="15"/>
  <c r="BZ31" i="15"/>
  <c r="CF31" i="15"/>
  <c r="CL31" i="15"/>
  <c r="CR31" i="15"/>
  <c r="CX31" i="15"/>
  <c r="R31" i="15"/>
  <c r="Y31" i="15"/>
  <c r="AF31" i="15"/>
  <c r="AM31" i="15"/>
  <c r="AU31" i="15"/>
  <c r="BB31" i="15"/>
  <c r="BI31" i="15"/>
  <c r="BO31" i="15"/>
  <c r="BU31" i="15"/>
  <c r="CA31" i="15"/>
  <c r="CG31" i="15"/>
  <c r="CM31" i="15"/>
  <c r="CS31" i="15"/>
  <c r="M31" i="15"/>
  <c r="T31" i="15"/>
  <c r="AA31" i="15"/>
  <c r="AI31" i="15"/>
  <c r="AP31" i="15"/>
  <c r="AW31" i="15"/>
  <c r="BD31" i="15"/>
  <c r="BK31" i="15"/>
  <c r="BQ31" i="15"/>
  <c r="BW31" i="15"/>
  <c r="CC31" i="15"/>
  <c r="CI31" i="15"/>
  <c r="CO31" i="15"/>
  <c r="CU31" i="15"/>
  <c r="AG31" i="15"/>
  <c r="BC31" i="15"/>
  <c r="BV31" i="15"/>
  <c r="CN31" i="15"/>
  <c r="N31" i="15"/>
  <c r="AJ31" i="15"/>
  <c r="BE31" i="15"/>
  <c r="BX31" i="15"/>
  <c r="CP31" i="15"/>
  <c r="S31" i="15"/>
  <c r="AO31" i="15"/>
  <c r="BJ31" i="15"/>
  <c r="CB31" i="15"/>
  <c r="CT31" i="15"/>
  <c r="Z31" i="15"/>
  <c r="AV31" i="15"/>
  <c r="BP31" i="15"/>
  <c r="CH31" i="15"/>
  <c r="M23" i="15"/>
  <c r="S23" i="15"/>
  <c r="Y23" i="15"/>
  <c r="O23" i="15"/>
  <c r="T23" i="15"/>
  <c r="AA23" i="15"/>
  <c r="AG23" i="15"/>
  <c r="AM23" i="15"/>
  <c r="AS23" i="15"/>
  <c r="AY23" i="15"/>
  <c r="BE23" i="15"/>
  <c r="BK23" i="15"/>
  <c r="BQ23" i="15"/>
  <c r="BW23" i="15"/>
  <c r="CC23" i="15"/>
  <c r="CI23" i="15"/>
  <c r="CO23" i="15"/>
  <c r="CU23" i="15"/>
  <c r="U23" i="15"/>
  <c r="AB23" i="15"/>
  <c r="AH23" i="15"/>
  <c r="AN23" i="15"/>
  <c r="AT23" i="15"/>
  <c r="AZ23" i="15"/>
  <c r="BF23" i="15"/>
  <c r="BL23" i="15"/>
  <c r="BR23" i="15"/>
  <c r="BX23" i="15"/>
  <c r="CD23" i="15"/>
  <c r="CJ23" i="15"/>
  <c r="CP23" i="15"/>
  <c r="CV23" i="15"/>
  <c r="N23" i="15"/>
  <c r="V23" i="15"/>
  <c r="AC23" i="15"/>
  <c r="AI23" i="15"/>
  <c r="AO23" i="15"/>
  <c r="AU23" i="15"/>
  <c r="BA23" i="15"/>
  <c r="BG23" i="15"/>
  <c r="BM23" i="15"/>
  <c r="BS23" i="15"/>
  <c r="BY23" i="15"/>
  <c r="CE23" i="15"/>
  <c r="CK23" i="15"/>
  <c r="CQ23" i="15"/>
  <c r="CW23" i="15"/>
  <c r="R23" i="15"/>
  <c r="Z23" i="15"/>
  <c r="AF23" i="15"/>
  <c r="AL23" i="15"/>
  <c r="AR23" i="15"/>
  <c r="AX23" i="15"/>
  <c r="BD23" i="15"/>
  <c r="BJ23" i="15"/>
  <c r="BP23" i="15"/>
  <c r="BV23" i="15"/>
  <c r="CB23" i="15"/>
  <c r="CH23" i="15"/>
  <c r="CN23" i="15"/>
  <c r="CT23" i="15"/>
  <c r="P23" i="15"/>
  <c r="AJ23" i="15"/>
  <c r="BB23" i="15"/>
  <c r="BT23" i="15"/>
  <c r="CL23" i="15"/>
  <c r="Q23" i="15"/>
  <c r="AK23" i="15"/>
  <c r="BC23" i="15"/>
  <c r="BU23" i="15"/>
  <c r="CM23" i="15"/>
  <c r="W23" i="15"/>
  <c r="AP23" i="15"/>
  <c r="BH23" i="15"/>
  <c r="BZ23" i="15"/>
  <c r="CR23" i="15"/>
  <c r="X23" i="15"/>
  <c r="AQ23" i="15"/>
  <c r="BI23" i="15"/>
  <c r="CA23" i="15"/>
  <c r="CS23" i="15"/>
  <c r="AV23" i="15"/>
  <c r="CX23" i="15"/>
  <c r="AW23" i="15"/>
  <c r="BN23" i="15"/>
  <c r="AD23" i="15"/>
  <c r="CF23" i="15"/>
  <c r="BO23" i="15"/>
  <c r="O20" i="15"/>
  <c r="U20" i="15"/>
  <c r="AA20" i="15"/>
  <c r="AG20" i="15"/>
  <c r="AM20" i="15"/>
  <c r="AS20" i="15"/>
  <c r="AY20" i="15"/>
  <c r="BE20" i="15"/>
  <c r="BK20" i="15"/>
  <c r="M20" i="15"/>
  <c r="S20" i="15"/>
  <c r="Y20" i="15"/>
  <c r="AE20" i="15"/>
  <c r="AK20" i="15"/>
  <c r="AQ20" i="15"/>
  <c r="AW20" i="15"/>
  <c r="BC20" i="15"/>
  <c r="BI20" i="15"/>
  <c r="N20" i="15"/>
  <c r="W20" i="15"/>
  <c r="AF20" i="15"/>
  <c r="AO20" i="15"/>
  <c r="AX20" i="15"/>
  <c r="BG20" i="15"/>
  <c r="BO20" i="15"/>
  <c r="BU20" i="15"/>
  <c r="CA20" i="15"/>
  <c r="CG20" i="15"/>
  <c r="CM20" i="15"/>
  <c r="CS20" i="15"/>
  <c r="P20" i="15"/>
  <c r="X20" i="15"/>
  <c r="AH20" i="15"/>
  <c r="AP20" i="15"/>
  <c r="AZ20" i="15"/>
  <c r="BH20" i="15"/>
  <c r="BP20" i="15"/>
  <c r="BV20" i="15"/>
  <c r="CB20" i="15"/>
  <c r="CH20" i="15"/>
  <c r="CN20" i="15"/>
  <c r="CT20" i="15"/>
  <c r="Q20" i="15"/>
  <c r="Z20" i="15"/>
  <c r="AI20" i="15"/>
  <c r="AR20" i="15"/>
  <c r="BA20" i="15"/>
  <c r="BJ20" i="15"/>
  <c r="BQ20" i="15"/>
  <c r="BW20" i="15"/>
  <c r="CC20" i="15"/>
  <c r="CI20" i="15"/>
  <c r="CO20" i="15"/>
  <c r="CU20" i="15"/>
  <c r="V20" i="15"/>
  <c r="AD20" i="15"/>
  <c r="AN20" i="15"/>
  <c r="AV20" i="15"/>
  <c r="BF20" i="15"/>
  <c r="BN20" i="15"/>
  <c r="BT20" i="15"/>
  <c r="BZ20" i="15"/>
  <c r="CF20" i="15"/>
  <c r="CL20" i="15"/>
  <c r="CR20" i="15"/>
  <c r="CX20" i="15"/>
  <c r="AB20" i="15"/>
  <c r="BB20" i="15"/>
  <c r="BX20" i="15"/>
  <c r="CP20" i="15"/>
  <c r="AC20" i="15"/>
  <c r="BD20" i="15"/>
  <c r="BY20" i="15"/>
  <c r="CQ20" i="15"/>
  <c r="AJ20" i="15"/>
  <c r="BL20" i="15"/>
  <c r="CD20" i="15"/>
  <c r="CV20" i="15"/>
  <c r="T20" i="15"/>
  <c r="AU20" i="15"/>
  <c r="BS20" i="15"/>
  <c r="CK20" i="15"/>
  <c r="AL20" i="15"/>
  <c r="CW20" i="15"/>
  <c r="AT20" i="15"/>
  <c r="BM20" i="15"/>
  <c r="BR20" i="15"/>
  <c r="R20" i="15"/>
  <c r="CE20" i="15"/>
  <c r="CJ20" i="15"/>
  <c r="CU37" i="16"/>
  <c r="CF37" i="16"/>
  <c r="BS37" i="16"/>
  <c r="BF37" i="16"/>
  <c r="AS37" i="16"/>
  <c r="AD37" i="16"/>
  <c r="Q37" i="16"/>
  <c r="CU36" i="16"/>
  <c r="CJ36" i="16"/>
  <c r="CA36" i="16"/>
  <c r="BO36" i="16"/>
  <c r="BD36" i="16"/>
  <c r="AS36" i="16"/>
  <c r="AH36" i="16"/>
  <c r="Y36" i="16"/>
  <c r="CP33" i="16"/>
  <c r="CC33" i="16"/>
  <c r="BP33" i="16"/>
  <c r="BC33" i="16"/>
  <c r="AN33" i="16"/>
  <c r="AA33" i="16"/>
  <c r="N33" i="16"/>
  <c r="CR32" i="16"/>
  <c r="CI32" i="16"/>
  <c r="BW32" i="16"/>
  <c r="BM32" i="16"/>
  <c r="BA32" i="16"/>
  <c r="AQ32" i="16"/>
  <c r="AE32" i="16"/>
  <c r="V32" i="16"/>
  <c r="AV29" i="16"/>
  <c r="AM29" i="16"/>
  <c r="AA29" i="16"/>
  <c r="Q29" i="16"/>
  <c r="CS27" i="16"/>
  <c r="CG27" i="16"/>
  <c r="BW27" i="16"/>
  <c r="BK27" i="16"/>
  <c r="BB27" i="16"/>
  <c r="AP27" i="16"/>
  <c r="AF27" i="16"/>
  <c r="T27" i="16"/>
  <c r="F27" i="16"/>
  <c r="CS26" i="16"/>
  <c r="CL26" i="16"/>
  <c r="CE26" i="16"/>
  <c r="BX26" i="16"/>
  <c r="BQ26" i="16"/>
  <c r="BI26" i="16"/>
  <c r="BB26" i="16"/>
  <c r="AU26" i="16"/>
  <c r="AN26" i="16"/>
  <c r="AG26" i="16"/>
  <c r="Y26" i="16"/>
  <c r="R26" i="16"/>
  <c r="F26" i="16"/>
  <c r="CQ25" i="16"/>
  <c r="CC25" i="16"/>
  <c r="BQ25" i="16"/>
  <c r="AX25" i="16"/>
  <c r="AG25" i="16"/>
  <c r="N25" i="16"/>
  <c r="M23" i="16"/>
  <c r="S23" i="16"/>
  <c r="Y23" i="16"/>
  <c r="AE23" i="16"/>
  <c r="AK23" i="16"/>
  <c r="AQ23" i="16"/>
  <c r="AW23" i="16"/>
  <c r="BC23" i="16"/>
  <c r="BI23" i="16"/>
  <c r="BO23" i="16"/>
  <c r="BU23" i="16"/>
  <c r="CA23" i="16"/>
  <c r="CG23" i="16"/>
  <c r="CM23" i="16"/>
  <c r="CS23" i="16"/>
  <c r="CO22" i="16"/>
  <c r="CD22" i="16"/>
  <c r="BS22" i="16"/>
  <c r="BJ22" i="16"/>
  <c r="AZ22" i="16"/>
  <c r="AO22" i="16"/>
  <c r="AD22" i="16"/>
  <c r="T22" i="16"/>
  <c r="D22" i="16"/>
  <c r="CO21" i="16"/>
  <c r="CF21" i="16"/>
  <c r="BT21" i="16"/>
  <c r="BJ21" i="16"/>
  <c r="AZ21" i="16"/>
  <c r="AP21" i="16"/>
  <c r="AF21" i="16"/>
  <c r="T21" i="16"/>
  <c r="D21" i="16"/>
  <c r="CS20" i="16"/>
  <c r="CL20" i="16"/>
  <c r="CE20" i="16"/>
  <c r="BW20" i="16"/>
  <c r="BP20" i="16"/>
  <c r="BI20" i="16"/>
  <c r="BB20" i="16"/>
  <c r="AU20" i="16"/>
  <c r="AM20" i="16"/>
  <c r="AF20" i="16"/>
  <c r="Y20" i="16"/>
  <c r="R20" i="16"/>
  <c r="F20" i="16"/>
  <c r="M18" i="16"/>
  <c r="T18" i="16"/>
  <c r="AA18" i="16"/>
  <c r="AH18" i="16"/>
  <c r="AO18" i="16"/>
  <c r="AW18" i="16"/>
  <c r="BD18" i="16"/>
  <c r="BJ18" i="16"/>
  <c r="BP18" i="16"/>
  <c r="BV18" i="16"/>
  <c r="CB18" i="16"/>
  <c r="CH18" i="16"/>
  <c r="CN18" i="16"/>
  <c r="CT18" i="16"/>
  <c r="D12" i="16"/>
  <c r="CV37" i="15"/>
  <c r="BL37" i="15"/>
  <c r="AB37" i="15"/>
  <c r="BL36" i="15"/>
  <c r="CD34" i="15"/>
  <c r="AB34" i="15"/>
  <c r="CV32" i="15"/>
  <c r="AT32" i="15"/>
  <c r="CD31" i="15"/>
  <c r="U31" i="15"/>
  <c r="AS29" i="15"/>
  <c r="O28" i="15"/>
  <c r="D22" i="17"/>
  <c r="D20" i="17"/>
  <c r="G38" i="13"/>
  <c r="I38" i="13"/>
  <c r="E38" i="13"/>
  <c r="F38" i="13"/>
  <c r="F14" i="14"/>
  <c r="H14" i="14" s="1"/>
  <c r="F14" i="13"/>
  <c r="E14" i="13"/>
  <c r="F13" i="15"/>
  <c r="D13" i="17"/>
  <c r="D13" i="13"/>
  <c r="G13" i="13"/>
  <c r="G12" i="13"/>
  <c r="D12" i="13"/>
  <c r="D11" i="15"/>
  <c r="F11" i="15" s="1"/>
  <c r="D11" i="13"/>
  <c r="G11" i="13"/>
  <c r="F9" i="13"/>
  <c r="D10" i="13"/>
  <c r="E10" i="13"/>
  <c r="F10" i="13"/>
  <c r="G10" i="13"/>
  <c r="E9" i="19"/>
  <c r="D34" i="17"/>
  <c r="D30" i="17"/>
  <c r="D37" i="17"/>
  <c r="D38" i="17"/>
  <c r="D35" i="17"/>
  <c r="D23" i="17"/>
  <c r="D25" i="17"/>
  <c r="D27" i="17"/>
  <c r="D18" i="17"/>
  <c r="D14" i="17"/>
  <c r="D11" i="17"/>
  <c r="D15" i="17"/>
  <c r="D12" i="17"/>
  <c r="H31" i="16"/>
  <c r="R31" i="16"/>
  <c r="X31" i="16"/>
  <c r="AD31" i="16"/>
  <c r="AJ31" i="16"/>
  <c r="AP31" i="16"/>
  <c r="AV31" i="16"/>
  <c r="BB31" i="16"/>
  <c r="BH31" i="16"/>
  <c r="BN31" i="16"/>
  <c r="BT31" i="16"/>
  <c r="BZ31" i="16"/>
  <c r="CF31" i="16"/>
  <c r="CL31" i="16"/>
  <c r="CR31" i="16"/>
  <c r="CX31" i="16"/>
  <c r="N31" i="16"/>
  <c r="U31" i="16"/>
  <c r="AB31" i="16"/>
  <c r="AI31" i="16"/>
  <c r="AQ31" i="16"/>
  <c r="AX31" i="16"/>
  <c r="BE31" i="16"/>
  <c r="BL31" i="16"/>
  <c r="BS31" i="16"/>
  <c r="CA31" i="16"/>
  <c r="CH31" i="16"/>
  <c r="CO31" i="16"/>
  <c r="CV31" i="16"/>
  <c r="M31" i="16"/>
  <c r="T31" i="16"/>
  <c r="AA31" i="16"/>
  <c r="AH31" i="16"/>
  <c r="AO31" i="16"/>
  <c r="AW31" i="16"/>
  <c r="BD31" i="16"/>
  <c r="BK31" i="16"/>
  <c r="BR31" i="16"/>
  <c r="BY31" i="16"/>
  <c r="CG31" i="16"/>
  <c r="CN31" i="16"/>
  <c r="CU31" i="16"/>
  <c r="N34" i="16"/>
  <c r="T34" i="16"/>
  <c r="Z34" i="16"/>
  <c r="AF34" i="16"/>
  <c r="AL34" i="16"/>
  <c r="AR34" i="16"/>
  <c r="AX34" i="16"/>
  <c r="BD34" i="16"/>
  <c r="BJ34" i="16"/>
  <c r="BP34" i="16"/>
  <c r="BV34" i="16"/>
  <c r="CB34" i="16"/>
  <c r="CH34" i="16"/>
  <c r="CN34" i="16"/>
  <c r="CT34" i="16"/>
  <c r="M34" i="16"/>
  <c r="S34" i="16"/>
  <c r="Y34" i="16"/>
  <c r="AE34" i="16"/>
  <c r="AK34" i="16"/>
  <c r="AQ34" i="16"/>
  <c r="AW34" i="16"/>
  <c r="BC34" i="16"/>
  <c r="BI34" i="16"/>
  <c r="BO34" i="16"/>
  <c r="BU34" i="16"/>
  <c r="CA34" i="16"/>
  <c r="CG34" i="16"/>
  <c r="CM34" i="16"/>
  <c r="CS34" i="16"/>
  <c r="BU31" i="16"/>
  <c r="AY31" i="16"/>
  <c r="AM31" i="16"/>
  <c r="Q31" i="16"/>
  <c r="CQ37" i="16"/>
  <c r="CI37" i="16"/>
  <c r="BY37" i="16"/>
  <c r="BQ37" i="16"/>
  <c r="BG37" i="16"/>
  <c r="AY37" i="16"/>
  <c r="AO37" i="16"/>
  <c r="AG37" i="16"/>
  <c r="W37" i="16"/>
  <c r="O37" i="16"/>
  <c r="H36" i="16"/>
  <c r="R36" i="16"/>
  <c r="X36" i="16"/>
  <c r="AD36" i="16"/>
  <c r="AJ36" i="16"/>
  <c r="AP36" i="16"/>
  <c r="AV36" i="16"/>
  <c r="BB36" i="16"/>
  <c r="BH36" i="16"/>
  <c r="BN36" i="16"/>
  <c r="BT36" i="16"/>
  <c r="BZ36" i="16"/>
  <c r="CF36" i="16"/>
  <c r="CL36" i="16"/>
  <c r="CR36" i="16"/>
  <c r="CX36" i="16"/>
  <c r="F36" i="16"/>
  <c r="Q36" i="16"/>
  <c r="W36" i="16"/>
  <c r="AC36" i="16"/>
  <c r="AI36" i="16"/>
  <c r="AO36" i="16"/>
  <c r="AU36" i="16"/>
  <c r="BA36" i="16"/>
  <c r="BG36" i="16"/>
  <c r="BM36" i="16"/>
  <c r="BS36" i="16"/>
  <c r="BY36" i="16"/>
  <c r="CE36" i="16"/>
  <c r="CK36" i="16"/>
  <c r="CQ36" i="16"/>
  <c r="CW36" i="16"/>
  <c r="CW34" i="16"/>
  <c r="CO34" i="16"/>
  <c r="CE34" i="16"/>
  <c r="BW34" i="16"/>
  <c r="BM34" i="16"/>
  <c r="BE34" i="16"/>
  <c r="AU34" i="16"/>
  <c r="AM34" i="16"/>
  <c r="AC34" i="16"/>
  <c r="U34" i="16"/>
  <c r="F34" i="16"/>
  <c r="CS33" i="16"/>
  <c r="CI33" i="16"/>
  <c r="CA33" i="16"/>
  <c r="BQ33" i="16"/>
  <c r="BI33" i="16"/>
  <c r="AY33" i="16"/>
  <c r="AQ33" i="16"/>
  <c r="AG33" i="16"/>
  <c r="Y33" i="16"/>
  <c r="O33" i="16"/>
  <c r="CS31" i="16"/>
  <c r="CI31" i="16"/>
  <c r="BW31" i="16"/>
  <c r="BM31" i="16"/>
  <c r="BA31" i="16"/>
  <c r="AR31" i="16"/>
  <c r="AF31" i="16"/>
  <c r="V31" i="16"/>
  <c r="D31" i="16"/>
  <c r="N19" i="16"/>
  <c r="T19" i="16"/>
  <c r="Z19" i="16"/>
  <c r="AF19" i="16"/>
  <c r="AL19" i="16"/>
  <c r="AR19" i="16"/>
  <c r="AX19" i="16"/>
  <c r="BD19" i="16"/>
  <c r="BJ19" i="16"/>
  <c r="BP19" i="16"/>
  <c r="BV19" i="16"/>
  <c r="CB19" i="16"/>
  <c r="CH19" i="16"/>
  <c r="CN19" i="16"/>
  <c r="CT19" i="16"/>
  <c r="H19" i="16"/>
  <c r="R19" i="16"/>
  <c r="X19" i="16"/>
  <c r="AD19" i="16"/>
  <c r="AJ19" i="16"/>
  <c r="AP19" i="16"/>
  <c r="AV19" i="16"/>
  <c r="BB19" i="16"/>
  <c r="BH19" i="16"/>
  <c r="BN19" i="16"/>
  <c r="BT19" i="16"/>
  <c r="BZ19" i="16"/>
  <c r="CF19" i="16"/>
  <c r="CL19" i="16"/>
  <c r="CR19" i="16"/>
  <c r="CX19" i="16"/>
  <c r="M19" i="16"/>
  <c r="S19" i="16"/>
  <c r="Y19" i="16"/>
  <c r="AE19" i="16"/>
  <c r="AK19" i="16"/>
  <c r="AQ19" i="16"/>
  <c r="AW19" i="16"/>
  <c r="BC19" i="16"/>
  <c r="BI19" i="16"/>
  <c r="BO19" i="16"/>
  <c r="BU19" i="16"/>
  <c r="CA19" i="16"/>
  <c r="CG19" i="16"/>
  <c r="CM19" i="16"/>
  <c r="CS19" i="16"/>
  <c r="P19" i="16"/>
  <c r="AB19" i="16"/>
  <c r="AN19" i="16"/>
  <c r="AZ19" i="16"/>
  <c r="BL19" i="16"/>
  <c r="BX19" i="16"/>
  <c r="CJ19" i="16"/>
  <c r="CV19" i="16"/>
  <c r="F19" i="16"/>
  <c r="W19" i="16"/>
  <c r="AI19" i="16"/>
  <c r="AU19" i="16"/>
  <c r="BG19" i="16"/>
  <c r="BS19" i="16"/>
  <c r="CE19" i="16"/>
  <c r="CQ19" i="16"/>
  <c r="O19" i="16"/>
  <c r="AA19" i="16"/>
  <c r="AM19" i="16"/>
  <c r="AY19" i="16"/>
  <c r="BK19" i="16"/>
  <c r="BW19" i="16"/>
  <c r="CI19" i="16"/>
  <c r="CU19" i="16"/>
  <c r="U19" i="16"/>
  <c r="AS19" i="16"/>
  <c r="BQ19" i="16"/>
  <c r="CO19" i="16"/>
  <c r="V19" i="16"/>
  <c r="AT19" i="16"/>
  <c r="BR19" i="16"/>
  <c r="CP19" i="16"/>
  <c r="AC19" i="16"/>
  <c r="BA19" i="16"/>
  <c r="BY19" i="16"/>
  <c r="CW19" i="16"/>
  <c r="Q19" i="16"/>
  <c r="AO19" i="16"/>
  <c r="BM19" i="16"/>
  <c r="CK19" i="16"/>
  <c r="Q34" i="16"/>
  <c r="CP31" i="16"/>
  <c r="BI31" i="16"/>
  <c r="AC31" i="16"/>
  <c r="CV37" i="16"/>
  <c r="CL37" i="16"/>
  <c r="CD37" i="16"/>
  <c r="BT37" i="16"/>
  <c r="BL37" i="16"/>
  <c r="BB37" i="16"/>
  <c r="AT37" i="16"/>
  <c r="AJ37" i="16"/>
  <c r="AB37" i="16"/>
  <c r="R37" i="16"/>
  <c r="CP36" i="16"/>
  <c r="CH36" i="16"/>
  <c r="BX36" i="16"/>
  <c r="BP36" i="16"/>
  <c r="BF36" i="16"/>
  <c r="AX36" i="16"/>
  <c r="AN36" i="16"/>
  <c r="AF36" i="16"/>
  <c r="V36" i="16"/>
  <c r="N36" i="16"/>
  <c r="CR34" i="16"/>
  <c r="CJ34" i="16"/>
  <c r="BZ34" i="16"/>
  <c r="BR34" i="16"/>
  <c r="BH34" i="16"/>
  <c r="AZ34" i="16"/>
  <c r="AP34" i="16"/>
  <c r="AH34" i="16"/>
  <c r="X34" i="16"/>
  <c r="P34" i="16"/>
  <c r="CV33" i="16"/>
  <c r="CN33" i="16"/>
  <c r="CD33" i="16"/>
  <c r="BV33" i="16"/>
  <c r="BL33" i="16"/>
  <c r="BD33" i="16"/>
  <c r="AT33" i="16"/>
  <c r="AL33" i="16"/>
  <c r="AB33" i="16"/>
  <c r="T33" i="16"/>
  <c r="N32" i="16"/>
  <c r="T32" i="16"/>
  <c r="Z32" i="16"/>
  <c r="AF32" i="16"/>
  <c r="AL32" i="16"/>
  <c r="AR32" i="16"/>
  <c r="AX32" i="16"/>
  <c r="BD32" i="16"/>
  <c r="BJ32" i="16"/>
  <c r="BP32" i="16"/>
  <c r="BV32" i="16"/>
  <c r="CB32" i="16"/>
  <c r="CH32" i="16"/>
  <c r="CN32" i="16"/>
  <c r="CT32" i="16"/>
  <c r="M32" i="16"/>
  <c r="U32" i="16"/>
  <c r="AB32" i="16"/>
  <c r="AI32" i="16"/>
  <c r="AP32" i="16"/>
  <c r="AW32" i="16"/>
  <c r="BE32" i="16"/>
  <c r="BL32" i="16"/>
  <c r="BS32" i="16"/>
  <c r="BZ32" i="16"/>
  <c r="CG32" i="16"/>
  <c r="CO32" i="16"/>
  <c r="CV32" i="16"/>
  <c r="H32" i="16"/>
  <c r="S32" i="16"/>
  <c r="AA32" i="16"/>
  <c r="AH32" i="16"/>
  <c r="AO32" i="16"/>
  <c r="AV32" i="16"/>
  <c r="BC32" i="16"/>
  <c r="BK32" i="16"/>
  <c r="BR32" i="16"/>
  <c r="BY32" i="16"/>
  <c r="CF32" i="16"/>
  <c r="CM32" i="16"/>
  <c r="CU32" i="16"/>
  <c r="CM31" i="16"/>
  <c r="CC31" i="16"/>
  <c r="BQ31" i="16"/>
  <c r="BG31" i="16"/>
  <c r="AU31" i="16"/>
  <c r="AL31" i="16"/>
  <c r="Z31" i="16"/>
  <c r="P31" i="16"/>
  <c r="AH19" i="16"/>
  <c r="CD31" i="16"/>
  <c r="N37" i="16"/>
  <c r="T37" i="16"/>
  <c r="Z37" i="16"/>
  <c r="AF37" i="16"/>
  <c r="AL37" i="16"/>
  <c r="AR37" i="16"/>
  <c r="AX37" i="16"/>
  <c r="BD37" i="16"/>
  <c r="BJ37" i="16"/>
  <c r="BP37" i="16"/>
  <c r="BV37" i="16"/>
  <c r="CB37" i="16"/>
  <c r="CH37" i="16"/>
  <c r="CN37" i="16"/>
  <c r="CT37" i="16"/>
  <c r="M37" i="16"/>
  <c r="S37" i="16"/>
  <c r="Y37" i="16"/>
  <c r="AE37" i="16"/>
  <c r="AK37" i="16"/>
  <c r="AQ37" i="16"/>
  <c r="AW37" i="16"/>
  <c r="BC37" i="16"/>
  <c r="BI37" i="16"/>
  <c r="BO37" i="16"/>
  <c r="BU37" i="16"/>
  <c r="CA37" i="16"/>
  <c r="CG37" i="16"/>
  <c r="CM37" i="16"/>
  <c r="CS37" i="16"/>
  <c r="CQ34" i="16"/>
  <c r="CI34" i="16"/>
  <c r="BY34" i="16"/>
  <c r="BQ34" i="16"/>
  <c r="BG34" i="16"/>
  <c r="AY34" i="16"/>
  <c r="AO34" i="16"/>
  <c r="AG34" i="16"/>
  <c r="W34" i="16"/>
  <c r="O34" i="16"/>
  <c r="H33" i="16"/>
  <c r="R33" i="16"/>
  <c r="X33" i="16"/>
  <c r="AD33" i="16"/>
  <c r="AJ33" i="16"/>
  <c r="AP33" i="16"/>
  <c r="AV33" i="16"/>
  <c r="BB33" i="16"/>
  <c r="BH33" i="16"/>
  <c r="BN33" i="16"/>
  <c r="BT33" i="16"/>
  <c r="BZ33" i="16"/>
  <c r="CF33" i="16"/>
  <c r="CL33" i="16"/>
  <c r="CR33" i="16"/>
  <c r="CX33" i="16"/>
  <c r="F33" i="16"/>
  <c r="Q33" i="16"/>
  <c r="W33" i="16"/>
  <c r="AC33" i="16"/>
  <c r="AI33" i="16"/>
  <c r="AO33" i="16"/>
  <c r="AU33" i="16"/>
  <c r="BA33" i="16"/>
  <c r="BG33" i="16"/>
  <c r="BM33" i="16"/>
  <c r="BS33" i="16"/>
  <c r="BY33" i="16"/>
  <c r="CE33" i="16"/>
  <c r="CK33" i="16"/>
  <c r="CQ33" i="16"/>
  <c r="CW33" i="16"/>
  <c r="CW31" i="16"/>
  <c r="CK31" i="16"/>
  <c r="CB31" i="16"/>
  <c r="BP31" i="16"/>
  <c r="BF31" i="16"/>
  <c r="AT31" i="16"/>
  <c r="AK31" i="16"/>
  <c r="Y31" i="16"/>
  <c r="O31" i="16"/>
  <c r="AG19" i="16"/>
  <c r="S31" i="16"/>
  <c r="CX34" i="16"/>
  <c r="CP34" i="16"/>
  <c r="CF34" i="16"/>
  <c r="BX34" i="16"/>
  <c r="BN34" i="16"/>
  <c r="BF34" i="16"/>
  <c r="AV34" i="16"/>
  <c r="AN34" i="16"/>
  <c r="AD34" i="16"/>
  <c r="V34" i="16"/>
  <c r="H34" i="16"/>
  <c r="CT31" i="16"/>
  <c r="CJ31" i="16"/>
  <c r="BX31" i="16"/>
  <c r="BO31" i="16"/>
  <c r="BC31" i="16"/>
  <c r="AS31" i="16"/>
  <c r="AG31" i="16"/>
  <c r="W31" i="16"/>
  <c r="F31" i="16"/>
  <c r="D15" i="16"/>
  <c r="F15" i="16"/>
  <c r="H15" i="16" s="1"/>
  <c r="CU30" i="16"/>
  <c r="CN30" i="16"/>
  <c r="CG30" i="16"/>
  <c r="BZ30" i="16"/>
  <c r="BS30" i="16"/>
  <c r="BK30" i="16"/>
  <c r="BD30" i="16"/>
  <c r="AW30" i="16"/>
  <c r="AP30" i="16"/>
  <c r="AI30" i="16"/>
  <c r="AA30" i="16"/>
  <c r="T30" i="16"/>
  <c r="CV29" i="16"/>
  <c r="CO29" i="16"/>
  <c r="CG29" i="16"/>
  <c r="BZ29" i="16"/>
  <c r="BS29" i="16"/>
  <c r="BL29" i="16"/>
  <c r="BE29" i="16"/>
  <c r="AW29" i="16"/>
  <c r="AP29" i="16"/>
  <c r="AI29" i="16"/>
  <c r="AB29" i="16"/>
  <c r="U29" i="16"/>
  <c r="CV28" i="16"/>
  <c r="CO28" i="16"/>
  <c r="CH28" i="16"/>
  <c r="CA28" i="16"/>
  <c r="BS28" i="16"/>
  <c r="BL28" i="16"/>
  <c r="BE28" i="16"/>
  <c r="AX28" i="16"/>
  <c r="AQ28" i="16"/>
  <c r="AI28" i="16"/>
  <c r="AB28" i="16"/>
  <c r="U28" i="16"/>
  <c r="CW27" i="16"/>
  <c r="CO27" i="16"/>
  <c r="CH27" i="16"/>
  <c r="CA27" i="16"/>
  <c r="BT27" i="16"/>
  <c r="BM27" i="16"/>
  <c r="BE27" i="16"/>
  <c r="AX27" i="16"/>
  <c r="AQ27" i="16"/>
  <c r="AJ27" i="16"/>
  <c r="AC27" i="16"/>
  <c r="U27" i="16"/>
  <c r="CW25" i="16"/>
  <c r="CO25" i="16"/>
  <c r="CE25" i="16"/>
  <c r="BW25" i="16"/>
  <c r="BL25" i="16"/>
  <c r="AZ25" i="16"/>
  <c r="AN25" i="16"/>
  <c r="AB25" i="16"/>
  <c r="D30" i="16"/>
  <c r="P30" i="16"/>
  <c r="V30" i="16"/>
  <c r="AB30" i="16"/>
  <c r="AH30" i="16"/>
  <c r="AN30" i="16"/>
  <c r="AT30" i="16"/>
  <c r="AZ30" i="16"/>
  <c r="BF30" i="16"/>
  <c r="BL30" i="16"/>
  <c r="BR30" i="16"/>
  <c r="BX30" i="16"/>
  <c r="CD30" i="16"/>
  <c r="CJ30" i="16"/>
  <c r="CP30" i="16"/>
  <c r="CV30" i="16"/>
  <c r="O30" i="16"/>
  <c r="N29" i="16"/>
  <c r="T29" i="16"/>
  <c r="Z29" i="16"/>
  <c r="AF29" i="16"/>
  <c r="AL29" i="16"/>
  <c r="AR29" i="16"/>
  <c r="AX29" i="16"/>
  <c r="BD29" i="16"/>
  <c r="BJ29" i="16"/>
  <c r="BP29" i="16"/>
  <c r="BV29" i="16"/>
  <c r="CB29" i="16"/>
  <c r="CH29" i="16"/>
  <c r="CN29" i="16"/>
  <c r="CT29" i="16"/>
  <c r="H28" i="16"/>
  <c r="R28" i="16"/>
  <c r="X28" i="16"/>
  <c r="AD28" i="16"/>
  <c r="AJ28" i="16"/>
  <c r="AP28" i="16"/>
  <c r="AV28" i="16"/>
  <c r="BB28" i="16"/>
  <c r="BH28" i="16"/>
  <c r="BN28" i="16"/>
  <c r="BT28" i="16"/>
  <c r="BZ28" i="16"/>
  <c r="CF28" i="16"/>
  <c r="CL28" i="16"/>
  <c r="CR28" i="16"/>
  <c r="CX28" i="16"/>
  <c r="D27" i="16"/>
  <c r="P27" i="16"/>
  <c r="V27" i="16"/>
  <c r="AB27" i="16"/>
  <c r="AH27" i="16"/>
  <c r="AN27" i="16"/>
  <c r="AT27" i="16"/>
  <c r="AZ27" i="16"/>
  <c r="BF27" i="16"/>
  <c r="BL27" i="16"/>
  <c r="BR27" i="16"/>
  <c r="BX27" i="16"/>
  <c r="CD27" i="16"/>
  <c r="CJ27" i="16"/>
  <c r="CP27" i="16"/>
  <c r="CV27" i="16"/>
  <c r="M25" i="16"/>
  <c r="S25" i="16"/>
  <c r="Y25" i="16"/>
  <c r="AE25" i="16"/>
  <c r="AK25" i="16"/>
  <c r="AQ25" i="16"/>
  <c r="AW25" i="16"/>
  <c r="BC25" i="16"/>
  <c r="BI25" i="16"/>
  <c r="BO25" i="16"/>
  <c r="BU25" i="16"/>
  <c r="CA25" i="16"/>
  <c r="CG25" i="16"/>
  <c r="CM25" i="16"/>
  <c r="CS25" i="16"/>
  <c r="F25" i="16"/>
  <c r="Q25" i="16"/>
  <c r="W25" i="16"/>
  <c r="AC25" i="16"/>
  <c r="AI25" i="16"/>
  <c r="AO25" i="16"/>
  <c r="AU25" i="16"/>
  <c r="BA25" i="16"/>
  <c r="BG25" i="16"/>
  <c r="BM25" i="16"/>
  <c r="H25" i="16"/>
  <c r="R25" i="16"/>
  <c r="X25" i="16"/>
  <c r="AD25" i="16"/>
  <c r="AJ25" i="16"/>
  <c r="AP25" i="16"/>
  <c r="AV25" i="16"/>
  <c r="BB25" i="16"/>
  <c r="BH25" i="16"/>
  <c r="BN25" i="16"/>
  <c r="BT25" i="16"/>
  <c r="BZ25" i="16"/>
  <c r="CF25" i="16"/>
  <c r="CL25" i="16"/>
  <c r="CR25" i="16"/>
  <c r="CX25" i="16"/>
  <c r="CW30" i="16"/>
  <c r="CO30" i="16"/>
  <c r="CH30" i="16"/>
  <c r="CA30" i="16"/>
  <c r="BT30" i="16"/>
  <c r="BM30" i="16"/>
  <c r="BE30" i="16"/>
  <c r="AX30" i="16"/>
  <c r="AQ30" i="16"/>
  <c r="AJ30" i="16"/>
  <c r="AC30" i="16"/>
  <c r="U30" i="16"/>
  <c r="N30" i="16"/>
  <c r="CW29" i="16"/>
  <c r="CP29" i="16"/>
  <c r="CI29" i="16"/>
  <c r="CA29" i="16"/>
  <c r="BT29" i="16"/>
  <c r="BM29" i="16"/>
  <c r="BF29" i="16"/>
  <c r="AY29" i="16"/>
  <c r="AQ29" i="16"/>
  <c r="AJ29" i="16"/>
  <c r="AC29" i="16"/>
  <c r="V29" i="16"/>
  <c r="O29" i="16"/>
  <c r="CW28" i="16"/>
  <c r="CP28" i="16"/>
  <c r="CI28" i="16"/>
  <c r="CB28" i="16"/>
  <c r="BU28" i="16"/>
  <c r="BM28" i="16"/>
  <c r="BF28" i="16"/>
  <c r="AY28" i="16"/>
  <c r="AR28" i="16"/>
  <c r="AK28" i="16"/>
  <c r="AC28" i="16"/>
  <c r="V28" i="16"/>
  <c r="O28" i="16"/>
  <c r="CX27" i="16"/>
  <c r="CQ27" i="16"/>
  <c r="CI27" i="16"/>
  <c r="CB27" i="16"/>
  <c r="BU27" i="16"/>
  <c r="BN27" i="16"/>
  <c r="BG27" i="16"/>
  <c r="AY27" i="16"/>
  <c r="AR27" i="16"/>
  <c r="AK27" i="16"/>
  <c r="AD27" i="16"/>
  <c r="W27" i="16"/>
  <c r="O27" i="16"/>
  <c r="CP25" i="16"/>
  <c r="CH25" i="16"/>
  <c r="BX25" i="16"/>
  <c r="BP25" i="16"/>
  <c r="BD25" i="16"/>
  <c r="AR25" i="16"/>
  <c r="AF25" i="16"/>
  <c r="T25" i="16"/>
  <c r="CT26" i="16"/>
  <c r="CN26" i="16"/>
  <c r="CH26" i="16"/>
  <c r="CB26" i="16"/>
  <c r="BV26" i="16"/>
  <c r="BP26" i="16"/>
  <c r="BJ26" i="16"/>
  <c r="BD26" i="16"/>
  <c r="AX26" i="16"/>
  <c r="AR26" i="16"/>
  <c r="AL26" i="16"/>
  <c r="AF26" i="16"/>
  <c r="Z26" i="16"/>
  <c r="T26" i="16"/>
  <c r="CW22" i="16"/>
  <c r="CP22" i="16"/>
  <c r="CI22" i="16"/>
  <c r="CB22" i="16"/>
  <c r="BT22" i="16"/>
  <c r="BM22" i="16"/>
  <c r="BF22" i="16"/>
  <c r="AY22" i="16"/>
  <c r="AR22" i="16"/>
  <c r="AJ22" i="16"/>
  <c r="AC22" i="16"/>
  <c r="V22" i="16"/>
  <c r="CX21" i="16"/>
  <c r="CP21" i="16"/>
  <c r="CI21" i="16"/>
  <c r="CB21" i="16"/>
  <c r="BU21" i="16"/>
  <c r="BN21" i="16"/>
  <c r="BF21" i="16"/>
  <c r="AY21" i="16"/>
  <c r="AR21" i="16"/>
  <c r="AK21" i="16"/>
  <c r="AD21" i="16"/>
  <c r="V21" i="16"/>
  <c r="M22" i="16"/>
  <c r="S22" i="16"/>
  <c r="Y22" i="16"/>
  <c r="AE22" i="16"/>
  <c r="AK22" i="16"/>
  <c r="AQ22" i="16"/>
  <c r="AW22" i="16"/>
  <c r="BC22" i="16"/>
  <c r="BI22" i="16"/>
  <c r="BO22" i="16"/>
  <c r="BU22" i="16"/>
  <c r="CA22" i="16"/>
  <c r="CG22" i="16"/>
  <c r="CM22" i="16"/>
  <c r="CS22" i="16"/>
  <c r="F21" i="16"/>
  <c r="Q21" i="16"/>
  <c r="W21" i="16"/>
  <c r="AC21" i="16"/>
  <c r="AI21" i="16"/>
  <c r="AO21" i="16"/>
  <c r="AU21" i="16"/>
  <c r="BA21" i="16"/>
  <c r="BG21" i="16"/>
  <c r="BM21" i="16"/>
  <c r="BS21" i="16"/>
  <c r="BY21" i="16"/>
  <c r="CE21" i="16"/>
  <c r="CK21" i="16"/>
  <c r="CQ21" i="16"/>
  <c r="CW21" i="16"/>
  <c r="D14" i="16"/>
  <c r="F14" i="16"/>
  <c r="H14" i="16" s="1"/>
  <c r="H18" i="16"/>
  <c r="R18" i="16"/>
  <c r="X18" i="16"/>
  <c r="AD18" i="16"/>
  <c r="AJ18" i="16"/>
  <c r="AP18" i="16"/>
  <c r="AV18" i="16"/>
  <c r="BB18" i="16"/>
  <c r="D17" i="16"/>
  <c r="F16" i="16"/>
  <c r="H16" i="16" s="1"/>
  <c r="D13" i="16"/>
  <c r="F13" i="16"/>
  <c r="H13" i="16" s="1"/>
  <c r="F10" i="16"/>
  <c r="H10" i="16" s="1"/>
  <c r="F9" i="16"/>
  <c r="H9" i="16" s="1"/>
  <c r="D36" i="15"/>
  <c r="F36" i="15"/>
  <c r="D30" i="15"/>
  <c r="F30" i="15"/>
  <c r="F25" i="15"/>
  <c r="D25" i="15"/>
  <c r="D33" i="15"/>
  <c r="F33" i="15"/>
  <c r="D38" i="15"/>
  <c r="F38" i="15" s="1"/>
  <c r="D35" i="15"/>
  <c r="D32" i="15"/>
  <c r="F24" i="15"/>
  <c r="F23" i="15"/>
  <c r="D23" i="15"/>
  <c r="D37" i="15"/>
  <c r="D34" i="15"/>
  <c r="D31" i="15"/>
  <c r="F29" i="15"/>
  <c r="D29" i="15"/>
  <c r="F27" i="15"/>
  <c r="F22" i="15"/>
  <c r="F26" i="15"/>
  <c r="D26" i="15"/>
  <c r="D17" i="15"/>
  <c r="F17" i="15" s="1"/>
  <c r="D21" i="15"/>
  <c r="F20" i="15"/>
  <c r="F18" i="15"/>
  <c r="D16" i="15"/>
  <c r="F16" i="15" s="1"/>
  <c r="D14" i="15"/>
  <c r="F14" i="15" s="1"/>
  <c r="D9" i="15"/>
  <c r="F9" i="15" s="1"/>
  <c r="CV36" i="14"/>
  <c r="CP36" i="14"/>
  <c r="CJ36" i="14"/>
  <c r="CD36" i="14"/>
  <c r="BX36" i="14"/>
  <c r="BQ36" i="14"/>
  <c r="BH36" i="14"/>
  <c r="AY36" i="14"/>
  <c r="AP36" i="14"/>
  <c r="AG36" i="14"/>
  <c r="X36" i="14"/>
  <c r="H36" i="14"/>
  <c r="CW37" i="14"/>
  <c r="CQ37" i="14"/>
  <c r="CK37" i="14"/>
  <c r="CE37" i="14"/>
  <c r="BY37" i="14"/>
  <c r="BS37" i="14"/>
  <c r="BM37" i="14"/>
  <c r="BG37" i="14"/>
  <c r="BA37" i="14"/>
  <c r="AU37" i="14"/>
  <c r="AO37" i="14"/>
  <c r="AI37" i="14"/>
  <c r="AC37" i="14"/>
  <c r="W37" i="14"/>
  <c r="Q37" i="14"/>
  <c r="F37" i="14"/>
  <c r="CU36" i="14"/>
  <c r="CO36" i="14"/>
  <c r="CI36" i="14"/>
  <c r="CC36" i="14"/>
  <c r="BW36" i="14"/>
  <c r="BP36" i="14"/>
  <c r="BF36" i="14"/>
  <c r="AX36" i="14"/>
  <c r="AN36" i="14"/>
  <c r="AF36" i="14"/>
  <c r="V36" i="14"/>
  <c r="D36" i="14"/>
  <c r="BE36" i="14"/>
  <c r="AV36" i="14"/>
  <c r="AM36" i="14"/>
  <c r="U36" i="14"/>
  <c r="D15" i="14"/>
  <c r="F15" i="14"/>
  <c r="H15" i="14" s="1"/>
  <c r="F38" i="14"/>
  <c r="H38" i="14" s="1"/>
  <c r="CS36" i="14"/>
  <c r="CM36" i="14"/>
  <c r="CG36" i="14"/>
  <c r="CA36" i="14"/>
  <c r="BT36" i="14"/>
  <c r="BL36" i="14"/>
  <c r="BD36" i="14"/>
  <c r="AT36" i="14"/>
  <c r="AL36" i="14"/>
  <c r="AB36" i="14"/>
  <c r="R36" i="14"/>
  <c r="BN36" i="14"/>
  <c r="AD36" i="14"/>
  <c r="CT37" i="14"/>
  <c r="CN37" i="14"/>
  <c r="CH37" i="14"/>
  <c r="CB37" i="14"/>
  <c r="BV37" i="14"/>
  <c r="BP37" i="14"/>
  <c r="BJ37" i="14"/>
  <c r="BD37" i="14"/>
  <c r="AX37" i="14"/>
  <c r="AR37" i="14"/>
  <c r="AL37" i="14"/>
  <c r="AF37" i="14"/>
  <c r="Z37" i="14"/>
  <c r="T37" i="14"/>
  <c r="CX36" i="14"/>
  <c r="CR36" i="14"/>
  <c r="CL36" i="14"/>
  <c r="CF36" i="14"/>
  <c r="BZ36" i="14"/>
  <c r="BS36" i="14"/>
  <c r="BK36" i="14"/>
  <c r="BB36" i="14"/>
  <c r="AS36" i="14"/>
  <c r="AJ36" i="14"/>
  <c r="AA36" i="14"/>
  <c r="M36" i="14"/>
  <c r="S36" i="14"/>
  <c r="Y36" i="14"/>
  <c r="AE36" i="14"/>
  <c r="AK36" i="14"/>
  <c r="AQ36" i="14"/>
  <c r="AW36" i="14"/>
  <c r="BC36" i="14"/>
  <c r="BI36" i="14"/>
  <c r="BO36" i="14"/>
  <c r="BU36" i="14"/>
  <c r="N36" i="14"/>
  <c r="T36" i="14"/>
  <c r="F36" i="14"/>
  <c r="Q36" i="14"/>
  <c r="W36" i="14"/>
  <c r="AC36" i="14"/>
  <c r="AI36" i="14"/>
  <c r="AO36" i="14"/>
  <c r="AU36" i="14"/>
  <c r="BA36" i="14"/>
  <c r="BG36" i="14"/>
  <c r="BM36" i="14"/>
  <c r="CW36" i="14"/>
  <c r="CQ36" i="14"/>
  <c r="CK36" i="14"/>
  <c r="CE36" i="14"/>
  <c r="BY36" i="14"/>
  <c r="BR36" i="14"/>
  <c r="BJ36" i="14"/>
  <c r="AZ36" i="14"/>
  <c r="AR36" i="14"/>
  <c r="AH36" i="14"/>
  <c r="Z36" i="14"/>
  <c r="O36" i="14"/>
  <c r="S34" i="14"/>
  <c r="CW33" i="14"/>
  <c r="CQ33" i="14"/>
  <c r="CK33" i="14"/>
  <c r="CE33" i="14"/>
  <c r="BY33" i="14"/>
  <c r="BS33" i="14"/>
  <c r="BM33" i="14"/>
  <c r="BG33" i="14"/>
  <c r="BA33" i="14"/>
  <c r="AU33" i="14"/>
  <c r="AO33" i="14"/>
  <c r="AI33" i="14"/>
  <c r="AC33" i="14"/>
  <c r="W33" i="14"/>
  <c r="Q33" i="14"/>
  <c r="F33" i="14"/>
  <c r="Y31" i="14"/>
  <c r="S31" i="14"/>
  <c r="CW30" i="14"/>
  <c r="CQ30" i="14"/>
  <c r="CK30" i="14"/>
  <c r="CE30" i="14"/>
  <c r="BY30" i="14"/>
  <c r="BR30" i="14"/>
  <c r="BK30" i="14"/>
  <c r="BD30" i="14"/>
  <c r="AV30" i="14"/>
  <c r="AO30" i="14"/>
  <c r="AH30" i="14"/>
  <c r="AA30" i="14"/>
  <c r="T30" i="14"/>
  <c r="CU29" i="14"/>
  <c r="CN29" i="14"/>
  <c r="CG29" i="14"/>
  <c r="BZ29" i="14"/>
  <c r="BR29" i="14"/>
  <c r="BK29" i="14"/>
  <c r="BD29" i="14"/>
  <c r="AW29" i="14"/>
  <c r="AP29" i="14"/>
  <c r="AH29" i="14"/>
  <c r="AA29" i="14"/>
  <c r="T29" i="14"/>
  <c r="CT27" i="14"/>
  <c r="CL27" i="14"/>
  <c r="CE27" i="14"/>
  <c r="BX27" i="14"/>
  <c r="BQ27" i="14"/>
  <c r="BJ27" i="14"/>
  <c r="BB27" i="14"/>
  <c r="AU27" i="14"/>
  <c r="AN27" i="14"/>
  <c r="AG27" i="14"/>
  <c r="Z27" i="14"/>
  <c r="R27" i="14"/>
  <c r="CT26" i="14"/>
  <c r="CM26" i="14"/>
  <c r="CF26" i="14"/>
  <c r="BX26" i="14"/>
  <c r="BQ26" i="14"/>
  <c r="BJ26" i="14"/>
  <c r="BC26" i="14"/>
  <c r="AV26" i="14"/>
  <c r="AN26" i="14"/>
  <c r="AG26" i="14"/>
  <c r="Z26" i="14"/>
  <c r="S26" i="14"/>
  <c r="M27" i="14"/>
  <c r="S27" i="14"/>
  <c r="Y27" i="14"/>
  <c r="AE27" i="14"/>
  <c r="AK27" i="14"/>
  <c r="AQ27" i="14"/>
  <c r="AW27" i="14"/>
  <c r="BC27" i="14"/>
  <c r="BI27" i="14"/>
  <c r="BO27" i="14"/>
  <c r="BU27" i="14"/>
  <c r="CA27" i="14"/>
  <c r="CG27" i="14"/>
  <c r="CM27" i="14"/>
  <c r="CS27" i="14"/>
  <c r="F26" i="14"/>
  <c r="Q26" i="14"/>
  <c r="W26" i="14"/>
  <c r="AC26" i="14"/>
  <c r="AI26" i="14"/>
  <c r="AO26" i="14"/>
  <c r="AU26" i="14"/>
  <c r="BA26" i="14"/>
  <c r="BG26" i="14"/>
  <c r="BM26" i="14"/>
  <c r="BS26" i="14"/>
  <c r="BY26" i="14"/>
  <c r="CE26" i="14"/>
  <c r="CK26" i="14"/>
  <c r="CQ26" i="14"/>
  <c r="CW26" i="14"/>
  <c r="CT33" i="14"/>
  <c r="CN33" i="14"/>
  <c r="CH33" i="14"/>
  <c r="CB33" i="14"/>
  <c r="BV33" i="14"/>
  <c r="BP33" i="14"/>
  <c r="BJ33" i="14"/>
  <c r="BD33" i="14"/>
  <c r="AX33" i="14"/>
  <c r="AR33" i="14"/>
  <c r="AL33" i="14"/>
  <c r="AF33" i="14"/>
  <c r="Z33" i="14"/>
  <c r="T33" i="14"/>
  <c r="N33" i="14"/>
  <c r="M30" i="14"/>
  <c r="S30" i="14"/>
  <c r="Y30" i="14"/>
  <c r="AE30" i="14"/>
  <c r="AK30" i="14"/>
  <c r="AQ30" i="14"/>
  <c r="AW30" i="14"/>
  <c r="BC30" i="14"/>
  <c r="BI30" i="14"/>
  <c r="BO30" i="14"/>
  <c r="BU30" i="14"/>
  <c r="F29" i="14"/>
  <c r="Q29" i="14"/>
  <c r="W29" i="14"/>
  <c r="AC29" i="14"/>
  <c r="AI29" i="14"/>
  <c r="AO29" i="14"/>
  <c r="AU29" i="14"/>
  <c r="BA29" i="14"/>
  <c r="BG29" i="14"/>
  <c r="BM29" i="14"/>
  <c r="BS29" i="14"/>
  <c r="BY29" i="14"/>
  <c r="CE29" i="14"/>
  <c r="CK29" i="14"/>
  <c r="CQ29" i="14"/>
  <c r="CW29" i="14"/>
  <c r="CW27" i="14"/>
  <c r="CP27" i="14"/>
  <c r="CI27" i="14"/>
  <c r="CB27" i="14"/>
  <c r="BT27" i="14"/>
  <c r="BM27" i="14"/>
  <c r="BF27" i="14"/>
  <c r="AY27" i="14"/>
  <c r="AR27" i="14"/>
  <c r="AJ27" i="14"/>
  <c r="AC27" i="14"/>
  <c r="V27" i="14"/>
  <c r="O27" i="14"/>
  <c r="CX26" i="14"/>
  <c r="CP26" i="14"/>
  <c r="CI26" i="14"/>
  <c r="CB26" i="14"/>
  <c r="BU26" i="14"/>
  <c r="BN26" i="14"/>
  <c r="BF26" i="14"/>
  <c r="AY26" i="14"/>
  <c r="AR26" i="14"/>
  <c r="AK26" i="14"/>
  <c r="AD26" i="14"/>
  <c r="V26" i="14"/>
  <c r="O26" i="14"/>
  <c r="Q35" i="14"/>
  <c r="CS33" i="14"/>
  <c r="CM33" i="14"/>
  <c r="CG33" i="14"/>
  <c r="CA33" i="14"/>
  <c r="BU33" i="14"/>
  <c r="BO33" i="14"/>
  <c r="BI33" i="14"/>
  <c r="BC33" i="14"/>
  <c r="AW33" i="14"/>
  <c r="AQ33" i="14"/>
  <c r="AK33" i="14"/>
  <c r="AE33" i="14"/>
  <c r="Y33" i="14"/>
  <c r="S33" i="14"/>
  <c r="AC32" i="14"/>
  <c r="W32" i="14"/>
  <c r="Q32" i="14"/>
  <c r="CS30" i="14"/>
  <c r="CM30" i="14"/>
  <c r="CG30" i="14"/>
  <c r="CA30" i="14"/>
  <c r="BT30" i="14"/>
  <c r="BM30" i="14"/>
  <c r="BF30" i="14"/>
  <c r="AY30" i="14"/>
  <c r="AR30" i="14"/>
  <c r="AJ30" i="14"/>
  <c r="AC30" i="14"/>
  <c r="V30" i="14"/>
  <c r="O30" i="14"/>
  <c r="CX29" i="14"/>
  <c r="CP29" i="14"/>
  <c r="CI29" i="14"/>
  <c r="CB29" i="14"/>
  <c r="BU29" i="14"/>
  <c r="BN29" i="14"/>
  <c r="BF29" i="14"/>
  <c r="AY29" i="14"/>
  <c r="AR29" i="14"/>
  <c r="AK29" i="14"/>
  <c r="AD29" i="14"/>
  <c r="V29" i="14"/>
  <c r="O29" i="14"/>
  <c r="CV27" i="14"/>
  <c r="CO27" i="14"/>
  <c r="CH27" i="14"/>
  <c r="BZ27" i="14"/>
  <c r="BS27" i="14"/>
  <c r="BL27" i="14"/>
  <c r="BE27" i="14"/>
  <c r="AX27" i="14"/>
  <c r="AP27" i="14"/>
  <c r="AI27" i="14"/>
  <c r="AB27" i="14"/>
  <c r="U27" i="14"/>
  <c r="N27" i="14"/>
  <c r="CV26" i="14"/>
  <c r="CO26" i="14"/>
  <c r="CH26" i="14"/>
  <c r="CA26" i="14"/>
  <c r="BT26" i="14"/>
  <c r="BL26" i="14"/>
  <c r="BE26" i="14"/>
  <c r="AX26" i="14"/>
  <c r="AQ26" i="14"/>
  <c r="AJ26" i="14"/>
  <c r="AB26" i="14"/>
  <c r="U26" i="14"/>
  <c r="N26" i="14"/>
  <c r="N19" i="14"/>
  <c r="T19" i="14"/>
  <c r="Z19" i="14"/>
  <c r="AF19" i="14"/>
  <c r="H18" i="14"/>
  <c r="R18" i="14"/>
  <c r="X18" i="14"/>
  <c r="AD18" i="14"/>
  <c r="AJ18" i="14"/>
  <c r="AP18" i="14"/>
  <c r="AV18" i="14"/>
  <c r="BB18" i="14"/>
  <c r="BH18" i="14"/>
  <c r="BN18" i="14"/>
  <c r="BT18" i="14"/>
  <c r="BZ18" i="14"/>
  <c r="CF18" i="14"/>
  <c r="CL18" i="14"/>
  <c r="CR18" i="14"/>
  <c r="CX18" i="14"/>
  <c r="D17" i="14"/>
  <c r="AK23" i="14"/>
  <c r="AE23" i="14"/>
  <c r="Y23" i="14"/>
  <c r="S23" i="14"/>
  <c r="M23" i="14"/>
  <c r="M20" i="14"/>
  <c r="U19" i="14"/>
  <c r="M19" i="14"/>
  <c r="CT24" i="14"/>
  <c r="CN24" i="14"/>
  <c r="CH24" i="14"/>
  <c r="CB24" i="14"/>
  <c r="BV24" i="14"/>
  <c r="BP24" i="14"/>
  <c r="BJ24" i="14"/>
  <c r="BD24" i="14"/>
  <c r="AX24" i="14"/>
  <c r="AR24" i="14"/>
  <c r="AL24" i="14"/>
  <c r="AF24" i="14"/>
  <c r="Z24" i="14"/>
  <c r="T24" i="14"/>
  <c r="N24" i="14"/>
  <c r="CX23" i="14"/>
  <c r="CR23" i="14"/>
  <c r="CL23" i="14"/>
  <c r="CF23" i="14"/>
  <c r="BZ23" i="14"/>
  <c r="BT23" i="14"/>
  <c r="BN23" i="14"/>
  <c r="BH23" i="14"/>
  <c r="BB23" i="14"/>
  <c r="AV23" i="14"/>
  <c r="AP23" i="14"/>
  <c r="AJ23" i="14"/>
  <c r="AD23" i="14"/>
  <c r="X23" i="14"/>
  <c r="R23" i="14"/>
  <c r="H23" i="14"/>
  <c r="AF21" i="14"/>
  <c r="Z21" i="14"/>
  <c r="T21" i="14"/>
  <c r="N21" i="14"/>
  <c r="D14" i="14"/>
  <c r="CS24" i="14"/>
  <c r="CM24" i="14"/>
  <c r="CG24" i="14"/>
  <c r="CA24" i="14"/>
  <c r="BU24" i="14"/>
  <c r="BO24" i="14"/>
  <c r="BI24" i="14"/>
  <c r="BC24" i="14"/>
  <c r="AW24" i="14"/>
  <c r="AQ24" i="14"/>
  <c r="AK24" i="14"/>
  <c r="AE24" i="14"/>
  <c r="Y24" i="14"/>
  <c r="S24" i="14"/>
  <c r="CW23" i="14"/>
  <c r="CQ23" i="14"/>
  <c r="CK23" i="14"/>
  <c r="CE23" i="14"/>
  <c r="BY23" i="14"/>
  <c r="BS23" i="14"/>
  <c r="BM23" i="14"/>
  <c r="BG23" i="14"/>
  <c r="BA23" i="14"/>
  <c r="AU23" i="14"/>
  <c r="AO23" i="14"/>
  <c r="AI23" i="14"/>
  <c r="AC23" i="14"/>
  <c r="W23" i="14"/>
  <c r="Q23" i="14"/>
  <c r="CS21" i="14"/>
  <c r="CM21" i="14"/>
  <c r="CG21" i="14"/>
  <c r="CA21" i="14"/>
  <c r="BU21" i="14"/>
  <c r="BO21" i="14"/>
  <c r="BI21" i="14"/>
  <c r="BC21" i="14"/>
  <c r="AW21" i="14"/>
  <c r="AQ21" i="14"/>
  <c r="AK21" i="14"/>
  <c r="AE21" i="14"/>
  <c r="Y21" i="14"/>
  <c r="S21" i="14"/>
  <c r="CW20" i="14"/>
  <c r="CQ20" i="14"/>
  <c r="CK20" i="14"/>
  <c r="CE20" i="14"/>
  <c r="BY20" i="14"/>
  <c r="BS20" i="14"/>
  <c r="BM20" i="14"/>
  <c r="BG20" i="14"/>
  <c r="BA20" i="14"/>
  <c r="AU20" i="14"/>
  <c r="AO20" i="14"/>
  <c r="AI20" i="14"/>
  <c r="AC20" i="14"/>
  <c r="W20" i="14"/>
  <c r="Q20" i="14"/>
  <c r="CU19" i="14"/>
  <c r="CO19" i="14"/>
  <c r="CI19" i="14"/>
  <c r="CC19" i="14"/>
  <c r="BW19" i="14"/>
  <c r="BQ19" i="14"/>
  <c r="BK19" i="14"/>
  <c r="BE19" i="14"/>
  <c r="AY19" i="14"/>
  <c r="AS19" i="14"/>
  <c r="AM19" i="14"/>
  <c r="AG19" i="14"/>
  <c r="Y19" i="14"/>
  <c r="R19" i="14"/>
  <c r="F19" i="14"/>
  <c r="CT18" i="14"/>
  <c r="CM18" i="14"/>
  <c r="CE18" i="14"/>
  <c r="BX18" i="14"/>
  <c r="BQ18" i="14"/>
  <c r="BJ18" i="14"/>
  <c r="BC18" i="14"/>
  <c r="AU18" i="14"/>
  <c r="AN18" i="14"/>
  <c r="AG18" i="14"/>
  <c r="Z18" i="14"/>
  <c r="S18" i="14"/>
  <c r="F18" i="14"/>
  <c r="F11" i="14"/>
  <c r="D11" i="14"/>
  <c r="D12" i="14"/>
  <c r="F10" i="14"/>
  <c r="F9" i="14"/>
  <c r="I17" i="13" l="1"/>
  <c r="I15" i="13"/>
  <c r="I16" i="13"/>
  <c r="F23" i="49"/>
  <c r="G23" i="49" s="1"/>
  <c r="E23" i="49"/>
  <c r="D24" i="49"/>
  <c r="C25" i="49" s="1"/>
  <c r="F11" i="13"/>
  <c r="I11" i="13" s="1"/>
  <c r="I9" i="13"/>
  <c r="DA24" i="13"/>
  <c r="DA25" i="14"/>
  <c r="DA24" i="16"/>
  <c r="DA35" i="16"/>
  <c r="DA26" i="15"/>
  <c r="DA31" i="15"/>
  <c r="DA21" i="15"/>
  <c r="DA23" i="15"/>
  <c r="DA20" i="17"/>
  <c r="DA23" i="16"/>
  <c r="DA33" i="15"/>
  <c r="DA31" i="13"/>
  <c r="DA18" i="13"/>
  <c r="DA30" i="13"/>
  <c r="DA32" i="13"/>
  <c r="DA35" i="13"/>
  <c r="DA37" i="13"/>
  <c r="DA19" i="13"/>
  <c r="DA25" i="13"/>
  <c r="DA21" i="13"/>
  <c r="DA36" i="13"/>
  <c r="DA27" i="13"/>
  <c r="DA23" i="13"/>
  <c r="DA29" i="13"/>
  <c r="DA22" i="13"/>
  <c r="DA28" i="13"/>
  <c r="DA34" i="13"/>
  <c r="DA36" i="15"/>
  <c r="DA18" i="15"/>
  <c r="DA24" i="15"/>
  <c r="DA28" i="15"/>
  <c r="DA32" i="15"/>
  <c r="DA37" i="15"/>
  <c r="DA22" i="15"/>
  <c r="DA29" i="15"/>
  <c r="DA34" i="15"/>
  <c r="DA25" i="15"/>
  <c r="DA30" i="15"/>
  <c r="DA35" i="15"/>
  <c r="DA19" i="15"/>
  <c r="DA27" i="15"/>
  <c r="DA22" i="14"/>
  <c r="DA28" i="14"/>
  <c r="DA20" i="16"/>
  <c r="DA20" i="15"/>
  <c r="DA35" i="14"/>
  <c r="I10" i="13"/>
  <c r="DA34" i="14"/>
  <c r="DA29" i="14"/>
  <c r="DA32" i="14"/>
  <c r="DA21" i="14"/>
  <c r="DA24" i="14"/>
  <c r="DA31" i="14"/>
  <c r="DA18" i="14"/>
  <c r="DA26" i="14"/>
  <c r="DA33" i="14"/>
  <c r="I14" i="13"/>
  <c r="DA29" i="16"/>
  <c r="DA23" i="17"/>
  <c r="DA20" i="14"/>
  <c r="DA30" i="14"/>
  <c r="DA27" i="16"/>
  <c r="DA19" i="17"/>
  <c r="DA23" i="14"/>
  <c r="DA37" i="14"/>
  <c r="DA21" i="16"/>
  <c r="DA26" i="16"/>
  <c r="DA22" i="17"/>
  <c r="DA19" i="14"/>
  <c r="DA27" i="14"/>
  <c r="DA18" i="16"/>
  <c r="DA26" i="17"/>
  <c r="DA28" i="17"/>
  <c r="DA32" i="17"/>
  <c r="DA28" i="16"/>
  <c r="DA36" i="14"/>
  <c r="DA25" i="16"/>
  <c r="DA37" i="16"/>
  <c r="DA34" i="16"/>
  <c r="DA30" i="16"/>
  <c r="DA22" i="16"/>
  <c r="DA33" i="16"/>
  <c r="DA32" i="16"/>
  <c r="DA36" i="16"/>
  <c r="DA19" i="16"/>
  <c r="DA31" i="16"/>
  <c r="DA36" i="17"/>
  <c r="DA25" i="17"/>
  <c r="DA33" i="17"/>
  <c r="DA35" i="17"/>
  <c r="DA34" i="17"/>
  <c r="DA18" i="17"/>
  <c r="DA21" i="17"/>
  <c r="DA27" i="17"/>
  <c r="DA24" i="17"/>
  <c r="DA29" i="17"/>
  <c r="DA37" i="17"/>
  <c r="DA31" i="17"/>
  <c r="DA30" i="17"/>
  <c r="DA20" i="13"/>
  <c r="DA26" i="13"/>
  <c r="DA33" i="13"/>
  <c r="F24" i="49" l="1"/>
  <c r="D25" i="49"/>
  <c r="C26" i="49" s="1"/>
  <c r="E24" i="49"/>
  <c r="DM13" i="7"/>
  <c r="E12" i="13"/>
  <c r="F25" i="49" l="1"/>
  <c r="G25" i="49" s="1"/>
  <c r="G24" i="49"/>
  <c r="D26" i="49"/>
  <c r="C27" i="49" s="1"/>
  <c r="E25" i="49"/>
  <c r="F12" i="13"/>
  <c r="I12" i="13" s="1"/>
  <c r="F26" i="49" l="1"/>
  <c r="D27" i="49"/>
  <c r="C28" i="49" s="1"/>
  <c r="E26" i="49"/>
  <c r="DM14" i="7"/>
  <c r="E8" i="4" s="1"/>
  <c r="E13" i="13"/>
  <c r="F27" i="49" l="1"/>
  <c r="G27" i="49" s="1"/>
  <c r="G26" i="49"/>
  <c r="D28" i="49"/>
  <c r="C29" i="49" s="1"/>
  <c r="E27" i="49"/>
  <c r="F13" i="13"/>
  <c r="I13" i="13" s="1"/>
  <c r="F28" i="49" l="1"/>
  <c r="E28" i="49"/>
  <c r="D29" i="49"/>
  <c r="C30" i="49" s="1"/>
  <c r="DP11" i="7"/>
  <c r="DP10" i="7"/>
  <c r="F29" i="49" l="1"/>
  <c r="G29" i="49" s="1"/>
  <c r="E29" i="49"/>
  <c r="G28" i="49"/>
  <c r="D30" i="49"/>
  <c r="C31" i="49" s="1"/>
  <c r="H12" i="14"/>
  <c r="H13" i="14"/>
  <c r="H9" i="14"/>
  <c r="H11" i="14"/>
  <c r="H10" i="14"/>
  <c r="E9" i="4"/>
  <c r="A1" i="7"/>
  <c r="C25" i="6"/>
  <c r="D25" i="6"/>
  <c r="C26" i="6"/>
  <c r="D26" i="6"/>
  <c r="C27" i="6"/>
  <c r="I27" i="6" s="1"/>
  <c r="D27" i="6"/>
  <c r="C28" i="6"/>
  <c r="I28" i="6" s="1"/>
  <c r="D28" i="6"/>
  <c r="C29" i="6"/>
  <c r="I29" i="6" s="1"/>
  <c r="D29" i="6"/>
  <c r="C30" i="6"/>
  <c r="I30" i="6" s="1"/>
  <c r="D30" i="6"/>
  <c r="C31" i="6"/>
  <c r="I31" i="6" s="1"/>
  <c r="D31" i="6"/>
  <c r="C32" i="6"/>
  <c r="I32" i="6" s="1"/>
  <c r="D32" i="6"/>
  <c r="C33" i="6"/>
  <c r="I33" i="6" s="1"/>
  <c r="D33" i="6"/>
  <c r="D24" i="6"/>
  <c r="C24" i="6"/>
  <c r="BP30" i="6" l="1"/>
  <c r="AX30" i="6"/>
  <c r="AD30" i="6"/>
  <c r="BD28" i="6"/>
  <c r="BP28" i="6"/>
  <c r="H28" i="6"/>
  <c r="CN28" i="6"/>
  <c r="AL31" i="6"/>
  <c r="BV30" i="6"/>
  <c r="AL28" i="6"/>
  <c r="T30" i="6"/>
  <c r="AV27" i="6"/>
  <c r="BN33" i="6"/>
  <c r="AF33" i="6"/>
  <c r="CN31" i="6"/>
  <c r="AF31" i="6"/>
  <c r="CL33" i="6"/>
  <c r="BJ33" i="6"/>
  <c r="AD33" i="6"/>
  <c r="CH31" i="6"/>
  <c r="Z31" i="6"/>
  <c r="BN30" i="6"/>
  <c r="N30" i="6"/>
  <c r="AX28" i="6"/>
  <c r="CF27" i="6"/>
  <c r="AL27" i="6"/>
  <c r="CH33" i="6"/>
  <c r="BD33" i="6"/>
  <c r="Z33" i="6"/>
  <c r="BV31" i="6"/>
  <c r="T31" i="6"/>
  <c r="BD30" i="6"/>
  <c r="L30" i="6"/>
  <c r="AR28" i="6"/>
  <c r="BZ27" i="6"/>
  <c r="AD27" i="6"/>
  <c r="CG33" i="6"/>
  <c r="T33" i="6"/>
  <c r="X27" i="6"/>
  <c r="CB33" i="6"/>
  <c r="AX33" i="6"/>
  <c r="R33" i="6"/>
  <c r="BJ31" i="6"/>
  <c r="CN30" i="6"/>
  <c r="AV30" i="6"/>
  <c r="CH28" i="6"/>
  <c r="AF28" i="6"/>
  <c r="BN27" i="6"/>
  <c r="T27" i="6"/>
  <c r="BP33" i="6"/>
  <c r="F33" i="6"/>
  <c r="BB33" i="6"/>
  <c r="BP31" i="6"/>
  <c r="N31" i="6"/>
  <c r="BV27" i="6"/>
  <c r="BZ33" i="6"/>
  <c r="AR33" i="6"/>
  <c r="N33" i="6"/>
  <c r="BD31" i="6"/>
  <c r="CH30" i="6"/>
  <c r="AL30" i="6"/>
  <c r="CB28" i="6"/>
  <c r="T28" i="6"/>
  <c r="BH27" i="6"/>
  <c r="L27" i="6"/>
  <c r="BV33" i="6"/>
  <c r="AP33" i="6"/>
  <c r="H33" i="6"/>
  <c r="AX31" i="6"/>
  <c r="CF30" i="6"/>
  <c r="AF30" i="6"/>
  <c r="BV28" i="6"/>
  <c r="N28" i="6"/>
  <c r="BD27" i="6"/>
  <c r="F27" i="6"/>
  <c r="AL33" i="6"/>
  <c r="CN33" i="6"/>
  <c r="CN27" i="6"/>
  <c r="AP27" i="6"/>
  <c r="F30" i="49"/>
  <c r="E30" i="49"/>
  <c r="D31" i="49"/>
  <c r="C32" i="49" s="1"/>
  <c r="CM33" i="6"/>
  <c r="CA33" i="6"/>
  <c r="BO33" i="6"/>
  <c r="BC33" i="6"/>
  <c r="AQ33" i="6"/>
  <c r="AE33" i="6"/>
  <c r="S33" i="6"/>
  <c r="G33" i="6"/>
  <c r="CL30" i="6"/>
  <c r="BT30" i="6"/>
  <c r="BB30" i="6"/>
  <c r="AJ30" i="6"/>
  <c r="R30" i="6"/>
  <c r="CB27" i="6"/>
  <c r="BJ27" i="6"/>
  <c r="AR27" i="6"/>
  <c r="Z27" i="6"/>
  <c r="H27" i="6"/>
  <c r="BU33" i="6"/>
  <c r="BI33" i="6"/>
  <c r="AW33" i="6"/>
  <c r="AK33" i="6"/>
  <c r="Y33" i="6"/>
  <c r="M33" i="6"/>
  <c r="CB30" i="6"/>
  <c r="BJ30" i="6"/>
  <c r="AR30" i="6"/>
  <c r="Z30" i="6"/>
  <c r="H30" i="6"/>
  <c r="CL27" i="6"/>
  <c r="BT27" i="6"/>
  <c r="BB27" i="6"/>
  <c r="AJ27" i="6"/>
  <c r="R27" i="6"/>
  <c r="CF33" i="6"/>
  <c r="BT33" i="6"/>
  <c r="BH33" i="6"/>
  <c r="AV33" i="6"/>
  <c r="AJ33" i="6"/>
  <c r="X33" i="6"/>
  <c r="L33" i="6"/>
  <c r="CB31" i="6"/>
  <c r="AR31" i="6"/>
  <c r="H31" i="6"/>
  <c r="BZ30" i="6"/>
  <c r="BH30" i="6"/>
  <c r="AP30" i="6"/>
  <c r="X30" i="6"/>
  <c r="F30" i="6"/>
  <c r="BJ28" i="6"/>
  <c r="Z28" i="6"/>
  <c r="CH27" i="6"/>
  <c r="BP27" i="6"/>
  <c r="AX27" i="6"/>
  <c r="AF27" i="6"/>
  <c r="N27" i="6"/>
  <c r="H32" i="6"/>
  <c r="CM32" i="6"/>
  <c r="CG32" i="6"/>
  <c r="CA32" i="6"/>
  <c r="BU32" i="6"/>
  <c r="BO32" i="6"/>
  <c r="BI32" i="6"/>
  <c r="BC32" i="6"/>
  <c r="AW32" i="6"/>
  <c r="AQ32" i="6"/>
  <c r="AK32" i="6"/>
  <c r="AE32" i="6"/>
  <c r="Y32" i="6"/>
  <c r="S32" i="6"/>
  <c r="M32" i="6"/>
  <c r="G32" i="6"/>
  <c r="CM31" i="6"/>
  <c r="CG31" i="6"/>
  <c r="CA31" i="6"/>
  <c r="BU31" i="6"/>
  <c r="BO31" i="6"/>
  <c r="BI31" i="6"/>
  <c r="BC31" i="6"/>
  <c r="AW31" i="6"/>
  <c r="AQ31" i="6"/>
  <c r="AK31" i="6"/>
  <c r="AE31" i="6"/>
  <c r="Y31" i="6"/>
  <c r="S31" i="6"/>
  <c r="M31" i="6"/>
  <c r="G31" i="6"/>
  <c r="CM30" i="6"/>
  <c r="CG30" i="6"/>
  <c r="CA30" i="6"/>
  <c r="BU30" i="6"/>
  <c r="BO30" i="6"/>
  <c r="BI30" i="6"/>
  <c r="BC30" i="6"/>
  <c r="AW30" i="6"/>
  <c r="AQ30" i="6"/>
  <c r="AK30" i="6"/>
  <c r="AE30" i="6"/>
  <c r="Y30" i="6"/>
  <c r="S30" i="6"/>
  <c r="M30" i="6"/>
  <c r="G30" i="6"/>
  <c r="CM29" i="6"/>
  <c r="CG29" i="6"/>
  <c r="CA29" i="6"/>
  <c r="BU29" i="6"/>
  <c r="BO29" i="6"/>
  <c r="BI29" i="6"/>
  <c r="BC29" i="6"/>
  <c r="AW29" i="6"/>
  <c r="AQ29" i="6"/>
  <c r="AK29" i="6"/>
  <c r="AE29" i="6"/>
  <c r="Y29" i="6"/>
  <c r="S29" i="6"/>
  <c r="M29" i="6"/>
  <c r="G29" i="6"/>
  <c r="CM28" i="6"/>
  <c r="CG28" i="6"/>
  <c r="CA28" i="6"/>
  <c r="BU28" i="6"/>
  <c r="BO28" i="6"/>
  <c r="BI28" i="6"/>
  <c r="BC28" i="6"/>
  <c r="AW28" i="6"/>
  <c r="AQ28" i="6"/>
  <c r="AK28" i="6"/>
  <c r="AE28" i="6"/>
  <c r="Y28" i="6"/>
  <c r="S28" i="6"/>
  <c r="M28" i="6"/>
  <c r="G28" i="6"/>
  <c r="CM27" i="6"/>
  <c r="CG27" i="6"/>
  <c r="CA27" i="6"/>
  <c r="BU27" i="6"/>
  <c r="BO27" i="6"/>
  <c r="BI27" i="6"/>
  <c r="BC27" i="6"/>
  <c r="AW27" i="6"/>
  <c r="AQ27" i="6"/>
  <c r="AK27" i="6"/>
  <c r="AE27" i="6"/>
  <c r="Y27" i="6"/>
  <c r="S27" i="6"/>
  <c r="M27" i="6"/>
  <c r="G27" i="6"/>
  <c r="CN32" i="6"/>
  <c r="CH32" i="6"/>
  <c r="CB32" i="6"/>
  <c r="BV32" i="6"/>
  <c r="BP32" i="6"/>
  <c r="BJ32" i="6"/>
  <c r="BD32" i="6"/>
  <c r="AX32" i="6"/>
  <c r="AR32" i="6"/>
  <c r="AL32" i="6"/>
  <c r="AF32" i="6"/>
  <c r="Z32" i="6"/>
  <c r="T32" i="6"/>
  <c r="N32" i="6"/>
  <c r="CN29" i="6"/>
  <c r="CH29" i="6"/>
  <c r="CB29" i="6"/>
  <c r="BV29" i="6"/>
  <c r="BP29" i="6"/>
  <c r="BJ29" i="6"/>
  <c r="BD29" i="6"/>
  <c r="AX29" i="6"/>
  <c r="AR29" i="6"/>
  <c r="AL29" i="6"/>
  <c r="AF29" i="6"/>
  <c r="Z29" i="6"/>
  <c r="T29" i="6"/>
  <c r="N29" i="6"/>
  <c r="H29" i="6"/>
  <c r="R31" i="6"/>
  <c r="CQ33" i="6"/>
  <c r="CK33" i="6"/>
  <c r="CE33" i="6"/>
  <c r="BY33" i="6"/>
  <c r="BS33" i="6"/>
  <c r="BM33" i="6"/>
  <c r="BG33" i="6"/>
  <c r="BA33" i="6"/>
  <c r="AU33" i="6"/>
  <c r="AO33" i="6"/>
  <c r="AI33" i="6"/>
  <c r="AC33" i="6"/>
  <c r="W33" i="6"/>
  <c r="Q33" i="6"/>
  <c r="K33" i="6"/>
  <c r="CQ32" i="6"/>
  <c r="CK32" i="6"/>
  <c r="CE32" i="6"/>
  <c r="BY32" i="6"/>
  <c r="BS32" i="6"/>
  <c r="BM32" i="6"/>
  <c r="BG32" i="6"/>
  <c r="BA32" i="6"/>
  <c r="AU32" i="6"/>
  <c r="AO32" i="6"/>
  <c r="AI32" i="6"/>
  <c r="AC32" i="6"/>
  <c r="W32" i="6"/>
  <c r="Q32" i="6"/>
  <c r="K32" i="6"/>
  <c r="CQ31" i="6"/>
  <c r="CK31" i="6"/>
  <c r="CE31" i="6"/>
  <c r="BY31" i="6"/>
  <c r="BS31" i="6"/>
  <c r="BM31" i="6"/>
  <c r="BG31" i="6"/>
  <c r="BA31" i="6"/>
  <c r="AU31" i="6"/>
  <c r="AO31" i="6"/>
  <c r="AI31" i="6"/>
  <c r="AC31" i="6"/>
  <c r="W31" i="6"/>
  <c r="Q31" i="6"/>
  <c r="K31" i="6"/>
  <c r="CQ30" i="6"/>
  <c r="CK30" i="6"/>
  <c r="CE30" i="6"/>
  <c r="BY30" i="6"/>
  <c r="BS30" i="6"/>
  <c r="BM30" i="6"/>
  <c r="BG30" i="6"/>
  <c r="BA30" i="6"/>
  <c r="AU30" i="6"/>
  <c r="AO30" i="6"/>
  <c r="AI30" i="6"/>
  <c r="AC30" i="6"/>
  <c r="W30" i="6"/>
  <c r="Q30" i="6"/>
  <c r="K30" i="6"/>
  <c r="CQ29" i="6"/>
  <c r="CK29" i="6"/>
  <c r="CE29" i="6"/>
  <c r="BY29" i="6"/>
  <c r="BS29" i="6"/>
  <c r="BM29" i="6"/>
  <c r="BG29" i="6"/>
  <c r="BA29" i="6"/>
  <c r="AU29" i="6"/>
  <c r="AO29" i="6"/>
  <c r="AI29" i="6"/>
  <c r="AC29" i="6"/>
  <c r="W29" i="6"/>
  <c r="Q29" i="6"/>
  <c r="K29" i="6"/>
  <c r="CQ28" i="6"/>
  <c r="CK28" i="6"/>
  <c r="CE28" i="6"/>
  <c r="BY28" i="6"/>
  <c r="BS28" i="6"/>
  <c r="BM28" i="6"/>
  <c r="BG28" i="6"/>
  <c r="BA28" i="6"/>
  <c r="AU28" i="6"/>
  <c r="AO28" i="6"/>
  <c r="AI28" i="6"/>
  <c r="AC28" i="6"/>
  <c r="W28" i="6"/>
  <c r="Q28" i="6"/>
  <c r="K28" i="6"/>
  <c r="CQ27" i="6"/>
  <c r="CK27" i="6"/>
  <c r="CE27" i="6"/>
  <c r="BY27" i="6"/>
  <c r="BS27" i="6"/>
  <c r="BM27" i="6"/>
  <c r="BG27" i="6"/>
  <c r="BA27" i="6"/>
  <c r="AU27" i="6"/>
  <c r="AO27" i="6"/>
  <c r="AI27" i="6"/>
  <c r="AC27" i="6"/>
  <c r="W27" i="6"/>
  <c r="Q27" i="6"/>
  <c r="K27" i="6"/>
  <c r="CL32" i="6"/>
  <c r="BT32" i="6"/>
  <c r="BH32" i="6"/>
  <c r="AV32" i="6"/>
  <c r="AJ32" i="6"/>
  <c r="X32" i="6"/>
  <c r="F32" i="6"/>
  <c r="BZ31" i="6"/>
  <c r="BH31" i="6"/>
  <c r="AV31" i="6"/>
  <c r="AD31" i="6"/>
  <c r="F31" i="6"/>
  <c r="CF29" i="6"/>
  <c r="BH29" i="6"/>
  <c r="AV29" i="6"/>
  <c r="AJ29" i="6"/>
  <c r="R29" i="6"/>
  <c r="CL28" i="6"/>
  <c r="BZ28" i="6"/>
  <c r="BN28" i="6"/>
  <c r="AJ28" i="6"/>
  <c r="CJ33" i="6"/>
  <c r="CD33" i="6"/>
  <c r="BR33" i="6"/>
  <c r="AZ33" i="6"/>
  <c r="AH33" i="6"/>
  <c r="J33" i="6"/>
  <c r="CJ32" i="6"/>
  <c r="BR32" i="6"/>
  <c r="AZ32" i="6"/>
  <c r="AN32" i="6"/>
  <c r="AB32" i="6"/>
  <c r="P32" i="6"/>
  <c r="CP31" i="6"/>
  <c r="CD31" i="6"/>
  <c r="BR31" i="6"/>
  <c r="AT31" i="6"/>
  <c r="AB31" i="6"/>
  <c r="J31" i="6"/>
  <c r="CD30" i="6"/>
  <c r="BR30" i="6"/>
  <c r="BF30" i="6"/>
  <c r="AN30" i="6"/>
  <c r="P30" i="6"/>
  <c r="CJ29" i="6"/>
  <c r="BL29" i="6"/>
  <c r="AN29" i="6"/>
  <c r="CP28" i="6"/>
  <c r="AN28" i="6"/>
  <c r="BX27" i="6"/>
  <c r="CF32" i="6"/>
  <c r="BZ32" i="6"/>
  <c r="BN32" i="6"/>
  <c r="BB32" i="6"/>
  <c r="AP32" i="6"/>
  <c r="AD32" i="6"/>
  <c r="R32" i="6"/>
  <c r="L32" i="6"/>
  <c r="CL31" i="6"/>
  <c r="CF31" i="6"/>
  <c r="BT31" i="6"/>
  <c r="BN31" i="6"/>
  <c r="BB31" i="6"/>
  <c r="AP31" i="6"/>
  <c r="AJ31" i="6"/>
  <c r="X31" i="6"/>
  <c r="L31" i="6"/>
  <c r="CL29" i="6"/>
  <c r="BZ29" i="6"/>
  <c r="BT29" i="6"/>
  <c r="BN29" i="6"/>
  <c r="BB29" i="6"/>
  <c r="AP29" i="6"/>
  <c r="AD29" i="6"/>
  <c r="X29" i="6"/>
  <c r="L29" i="6"/>
  <c r="F29" i="6"/>
  <c r="CF28" i="6"/>
  <c r="BT28" i="6"/>
  <c r="BH28" i="6"/>
  <c r="BB28" i="6"/>
  <c r="AV28" i="6"/>
  <c r="AP28" i="6"/>
  <c r="AD28" i="6"/>
  <c r="X28" i="6"/>
  <c r="R28" i="6"/>
  <c r="L28" i="6"/>
  <c r="F28" i="6"/>
  <c r="CP33" i="6"/>
  <c r="BX33" i="6"/>
  <c r="BL33" i="6"/>
  <c r="BF33" i="6"/>
  <c r="AT33" i="6"/>
  <c r="AN33" i="6"/>
  <c r="AB33" i="6"/>
  <c r="V33" i="6"/>
  <c r="P33" i="6"/>
  <c r="CP32" i="6"/>
  <c r="CD32" i="6"/>
  <c r="BX32" i="6"/>
  <c r="BL32" i="6"/>
  <c r="BF32" i="6"/>
  <c r="AT32" i="6"/>
  <c r="AH32" i="6"/>
  <c r="V32" i="6"/>
  <c r="J32" i="6"/>
  <c r="CJ31" i="6"/>
  <c r="BX31" i="6"/>
  <c r="BL31" i="6"/>
  <c r="BF31" i="6"/>
  <c r="AZ31" i="6"/>
  <c r="AN31" i="6"/>
  <c r="AH31" i="6"/>
  <c r="V31" i="6"/>
  <c r="P31" i="6"/>
  <c r="CP30" i="6"/>
  <c r="CJ30" i="6"/>
  <c r="BX30" i="6"/>
  <c r="BL30" i="6"/>
  <c r="AZ30" i="6"/>
  <c r="AT30" i="6"/>
  <c r="AH30" i="6"/>
  <c r="AB30" i="6"/>
  <c r="V30" i="6"/>
  <c r="J30" i="6"/>
  <c r="CP29" i="6"/>
  <c r="CD29" i="6"/>
  <c r="BX29" i="6"/>
  <c r="BR29" i="6"/>
  <c r="BF29" i="6"/>
  <c r="AZ29" i="6"/>
  <c r="AT29" i="6"/>
  <c r="AH29" i="6"/>
  <c r="AB29" i="6"/>
  <c r="V29" i="6"/>
  <c r="P29" i="6"/>
  <c r="J29" i="6"/>
  <c r="CJ28" i="6"/>
  <c r="CD28" i="6"/>
  <c r="BX28" i="6"/>
  <c r="BR28" i="6"/>
  <c r="BL28" i="6"/>
  <c r="BF28" i="6"/>
  <c r="AZ28" i="6"/>
  <c r="AT28" i="6"/>
  <c r="AH28" i="6"/>
  <c r="AB28" i="6"/>
  <c r="V28" i="6"/>
  <c r="P28" i="6"/>
  <c r="J28" i="6"/>
  <c r="CP27" i="6"/>
  <c r="CJ27" i="6"/>
  <c r="CD27" i="6"/>
  <c r="BR27" i="6"/>
  <c r="BL27" i="6"/>
  <c r="BF27" i="6"/>
  <c r="AZ27" i="6"/>
  <c r="AT27" i="6"/>
  <c r="AN27" i="6"/>
  <c r="AH27" i="6"/>
  <c r="AB27" i="6"/>
  <c r="V27" i="6"/>
  <c r="P27" i="6"/>
  <c r="J27" i="6"/>
  <c r="CO33" i="6"/>
  <c r="CI33" i="6"/>
  <c r="CC33" i="6"/>
  <c r="BW33" i="6"/>
  <c r="BQ33" i="6"/>
  <c r="BK33" i="6"/>
  <c r="BE33" i="6"/>
  <c r="AY33" i="6"/>
  <c r="AS33" i="6"/>
  <c r="AM33" i="6"/>
  <c r="AG33" i="6"/>
  <c r="AA33" i="6"/>
  <c r="U33" i="6"/>
  <c r="O33" i="6"/>
  <c r="CO32" i="6"/>
  <c r="CI32" i="6"/>
  <c r="CC32" i="6"/>
  <c r="BW32" i="6"/>
  <c r="BQ32" i="6"/>
  <c r="BK32" i="6"/>
  <c r="BE32" i="6"/>
  <c r="AY32" i="6"/>
  <c r="AS32" i="6"/>
  <c r="AM32" i="6"/>
  <c r="AG32" i="6"/>
  <c r="AA32" i="6"/>
  <c r="U32" i="6"/>
  <c r="O32" i="6"/>
  <c r="CO31" i="6"/>
  <c r="CI31" i="6"/>
  <c r="CC31" i="6"/>
  <c r="BW31" i="6"/>
  <c r="BQ31" i="6"/>
  <c r="BK31" i="6"/>
  <c r="BE31" i="6"/>
  <c r="AY31" i="6"/>
  <c r="AS31" i="6"/>
  <c r="AM31" i="6"/>
  <c r="AG31" i="6"/>
  <c r="AA31" i="6"/>
  <c r="U31" i="6"/>
  <c r="O31" i="6"/>
  <c r="CO30" i="6"/>
  <c r="CI30" i="6"/>
  <c r="CC30" i="6"/>
  <c r="BW30" i="6"/>
  <c r="BQ30" i="6"/>
  <c r="BK30" i="6"/>
  <c r="BE30" i="6"/>
  <c r="AY30" i="6"/>
  <c r="AS30" i="6"/>
  <c r="AM30" i="6"/>
  <c r="AG30" i="6"/>
  <c r="AA30" i="6"/>
  <c r="U30" i="6"/>
  <c r="O30" i="6"/>
  <c r="CO29" i="6"/>
  <c r="CI29" i="6"/>
  <c r="CC29" i="6"/>
  <c r="BW29" i="6"/>
  <c r="BQ29" i="6"/>
  <c r="BK29" i="6"/>
  <c r="BE29" i="6"/>
  <c r="AY29" i="6"/>
  <c r="AS29" i="6"/>
  <c r="AM29" i="6"/>
  <c r="AG29" i="6"/>
  <c r="AA29" i="6"/>
  <c r="U29" i="6"/>
  <c r="O29" i="6"/>
  <c r="CO28" i="6"/>
  <c r="CI28" i="6"/>
  <c r="CC28" i="6"/>
  <c r="BW28" i="6"/>
  <c r="BQ28" i="6"/>
  <c r="BK28" i="6"/>
  <c r="BE28" i="6"/>
  <c r="AY28" i="6"/>
  <c r="AS28" i="6"/>
  <c r="AM28" i="6"/>
  <c r="AG28" i="6"/>
  <c r="AA28" i="6"/>
  <c r="U28" i="6"/>
  <c r="O28" i="6"/>
  <c r="CO27" i="6"/>
  <c r="CI27" i="6"/>
  <c r="CC27" i="6"/>
  <c r="BW27" i="6"/>
  <c r="BQ27" i="6"/>
  <c r="BK27" i="6"/>
  <c r="BE27" i="6"/>
  <c r="AY27" i="6"/>
  <c r="AS27" i="6"/>
  <c r="AM27" i="6"/>
  <c r="AG27" i="6"/>
  <c r="AA27" i="6"/>
  <c r="U27" i="6"/>
  <c r="O27" i="6"/>
  <c r="F31" i="49" l="1"/>
  <c r="G31" i="49" s="1"/>
  <c r="G30" i="49"/>
  <c r="E31" i="49"/>
  <c r="D32" i="49"/>
  <c r="C33" i="49" s="1"/>
  <c r="AQ38" i="14"/>
  <c r="CA38" i="14"/>
  <c r="AS38" i="14"/>
  <c r="AH38" i="14"/>
  <c r="Z38" i="14"/>
  <c r="BJ38" i="14"/>
  <c r="CT38" i="14"/>
  <c r="BW38" i="14"/>
  <c r="CD38" i="14"/>
  <c r="AO38" i="14"/>
  <c r="BY38" i="14"/>
  <c r="X38" i="14"/>
  <c r="BH38" i="14"/>
  <c r="CR38" i="14"/>
  <c r="CJ38" i="14"/>
  <c r="AW38" i="14"/>
  <c r="CG38" i="14"/>
  <c r="BE38" i="14"/>
  <c r="AZ38" i="14"/>
  <c r="AF38" i="14"/>
  <c r="BP38" i="14"/>
  <c r="O38" i="14"/>
  <c r="CC38" i="14"/>
  <c r="CP38" i="14"/>
  <c r="AU38" i="14"/>
  <c r="CE38" i="14"/>
  <c r="AD38" i="14"/>
  <c r="BN38" i="14"/>
  <c r="CX38" i="14"/>
  <c r="S38" i="14"/>
  <c r="BC38" i="14"/>
  <c r="CM38" i="14"/>
  <c r="BQ38" i="14"/>
  <c r="BR38" i="14"/>
  <c r="AL38" i="14"/>
  <c r="BV38" i="14"/>
  <c r="AA38" i="14"/>
  <c r="CO38" i="14"/>
  <c r="Q38" i="14"/>
  <c r="BA38" i="14"/>
  <c r="CK38" i="14"/>
  <c r="AJ38" i="14"/>
  <c r="BT38" i="14"/>
  <c r="V38" i="14"/>
  <c r="Y38" i="14"/>
  <c r="BI38" i="14"/>
  <c r="CS38" i="14"/>
  <c r="CI38" i="14"/>
  <c r="CV38" i="14"/>
  <c r="AR38" i="14"/>
  <c r="CB38" i="14"/>
  <c r="AM38" i="14"/>
  <c r="AB38" i="14"/>
  <c r="W38" i="14"/>
  <c r="BG38" i="14"/>
  <c r="CQ38" i="14"/>
  <c r="AP38" i="14"/>
  <c r="BZ38" i="14"/>
  <c r="AN38" i="14"/>
  <c r="BO38" i="14"/>
  <c r="U38" i="14"/>
  <c r="CU38" i="14"/>
  <c r="N38" i="14"/>
  <c r="AX38" i="14"/>
  <c r="CH38" i="14"/>
  <c r="AY38" i="14"/>
  <c r="AT38" i="14"/>
  <c r="AC38" i="14"/>
  <c r="BM38" i="14"/>
  <c r="CW38" i="14"/>
  <c r="AV38" i="14"/>
  <c r="CF38" i="14"/>
  <c r="BF38" i="14"/>
  <c r="AK38" i="14"/>
  <c r="BU38" i="14"/>
  <c r="AG38" i="14"/>
  <c r="P38" i="14"/>
  <c r="T38" i="14"/>
  <c r="BD38" i="14"/>
  <c r="CN38" i="14"/>
  <c r="BK38" i="14"/>
  <c r="BL38" i="14"/>
  <c r="AI38" i="14"/>
  <c r="BS38" i="14"/>
  <c r="R38" i="14"/>
  <c r="BB38" i="14"/>
  <c r="CL38" i="14"/>
  <c r="BX38" i="14"/>
  <c r="F32" i="49" l="1"/>
  <c r="G32" i="49" s="1"/>
  <c r="E32" i="49"/>
  <c r="D33" i="49"/>
  <c r="C34" i="49" s="1"/>
  <c r="BX38" i="15"/>
  <c r="BX38" i="16" s="1"/>
  <c r="CW38" i="15"/>
  <c r="CW38" i="16" s="1"/>
  <c r="AX38" i="15"/>
  <c r="AX38" i="16" s="1"/>
  <c r="AN38" i="15"/>
  <c r="AN38" i="16" s="1"/>
  <c r="AB38" i="15"/>
  <c r="AB38" i="16" s="1"/>
  <c r="CS38" i="15"/>
  <c r="CS38" i="16" s="1"/>
  <c r="CK38" i="15"/>
  <c r="CK38" i="16" s="1"/>
  <c r="AL38" i="15"/>
  <c r="AL38" i="16" s="1"/>
  <c r="CX38" i="15"/>
  <c r="CX38" i="16" s="1"/>
  <c r="CC38" i="15"/>
  <c r="CC38" i="16" s="1"/>
  <c r="CG38" i="15"/>
  <c r="CG38" i="16" s="1"/>
  <c r="X38" i="15"/>
  <c r="X38" i="16" s="1"/>
  <c r="BJ38" i="15"/>
  <c r="BJ38" i="16" s="1"/>
  <c r="CL38" i="15"/>
  <c r="CL38" i="16" s="1"/>
  <c r="BK38" i="15"/>
  <c r="BK38" i="16" s="1"/>
  <c r="BU38" i="15"/>
  <c r="BU38" i="16" s="1"/>
  <c r="BM38" i="15"/>
  <c r="BM38" i="16" s="1"/>
  <c r="N38" i="15"/>
  <c r="N38" i="16" s="1"/>
  <c r="BZ38" i="15"/>
  <c r="BZ38" i="16" s="1"/>
  <c r="AM38" i="15"/>
  <c r="AM38" i="16" s="1"/>
  <c r="BI38" i="15"/>
  <c r="BI38" i="16" s="1"/>
  <c r="BA38" i="15"/>
  <c r="BA38" i="16" s="1"/>
  <c r="BR38" i="15"/>
  <c r="BR38" i="16" s="1"/>
  <c r="BN38" i="15"/>
  <c r="BN38" i="16" s="1"/>
  <c r="O38" i="15"/>
  <c r="O38" i="16" s="1"/>
  <c r="AW38" i="15"/>
  <c r="AW38" i="16" s="1"/>
  <c r="BY38" i="15"/>
  <c r="BY38" i="16" s="1"/>
  <c r="Z38" i="15"/>
  <c r="Z38" i="16" s="1"/>
  <c r="BL38" i="15"/>
  <c r="BL38" i="16" s="1"/>
  <c r="AK38" i="15"/>
  <c r="AK38" i="16" s="1"/>
  <c r="CB38" i="15"/>
  <c r="CB38" i="16" s="1"/>
  <c r="BP38" i="15"/>
  <c r="BP38" i="16" s="1"/>
  <c r="AH38" i="15"/>
  <c r="AH38" i="16" s="1"/>
  <c r="R38" i="15"/>
  <c r="R38" i="16" s="1"/>
  <c r="BF38" i="15"/>
  <c r="BF38" i="16" s="1"/>
  <c r="CQ38" i="15"/>
  <c r="CQ38" i="16" s="1"/>
  <c r="CO38" i="15"/>
  <c r="CO38" i="16" s="1"/>
  <c r="CM38" i="15"/>
  <c r="CM38" i="16" s="1"/>
  <c r="CE38" i="15"/>
  <c r="CE38" i="16" s="1"/>
  <c r="AF38" i="15"/>
  <c r="AF38" i="16" s="1"/>
  <c r="CJ38" i="15"/>
  <c r="CJ38" i="16" s="1"/>
  <c r="CD38" i="15"/>
  <c r="CD38" i="16" s="1"/>
  <c r="AS38" i="15"/>
  <c r="AS38" i="16" s="1"/>
  <c r="AG38" i="15"/>
  <c r="AG38" i="16" s="1"/>
  <c r="CN38" i="15"/>
  <c r="CN38" i="16" s="1"/>
  <c r="AC38" i="15"/>
  <c r="AC38" i="16" s="1"/>
  <c r="AP38" i="15"/>
  <c r="AP38" i="16" s="1"/>
  <c r="Q38" i="15"/>
  <c r="Q38" i="16" s="1"/>
  <c r="BQ38" i="15"/>
  <c r="BQ38" i="16" s="1"/>
  <c r="M38" i="14"/>
  <c r="DA38" i="13"/>
  <c r="AO38" i="15"/>
  <c r="AO38" i="16" s="1"/>
  <c r="BD38" i="15"/>
  <c r="BD38" i="16" s="1"/>
  <c r="AT38" i="15"/>
  <c r="AT38" i="16" s="1"/>
  <c r="U38" i="15"/>
  <c r="U38" i="16" s="1"/>
  <c r="AR38" i="15"/>
  <c r="AR38" i="16" s="1"/>
  <c r="V38" i="15"/>
  <c r="V38" i="16" s="1"/>
  <c r="BS38" i="15"/>
  <c r="BS38" i="16" s="1"/>
  <c r="T38" i="15"/>
  <c r="T38" i="16" s="1"/>
  <c r="CF38" i="15"/>
  <c r="CF38" i="16" s="1"/>
  <c r="AY38" i="15"/>
  <c r="AY38" i="16" s="1"/>
  <c r="BO38" i="15"/>
  <c r="BO38" i="16" s="1"/>
  <c r="BG38" i="15"/>
  <c r="BG38" i="16" s="1"/>
  <c r="CV38" i="15"/>
  <c r="CV38" i="16" s="1"/>
  <c r="BT38" i="15"/>
  <c r="BT38" i="16" s="1"/>
  <c r="AA38" i="15"/>
  <c r="AA38" i="16" s="1"/>
  <c r="BC38" i="15"/>
  <c r="BC38" i="16" s="1"/>
  <c r="AU38" i="15"/>
  <c r="AU38" i="16" s="1"/>
  <c r="AZ38" i="15"/>
  <c r="AZ38" i="16" s="1"/>
  <c r="CR38" i="15"/>
  <c r="CR38" i="16" s="1"/>
  <c r="BW38" i="15"/>
  <c r="BW38" i="16" s="1"/>
  <c r="CA38" i="15"/>
  <c r="CA38" i="16" s="1"/>
  <c r="BB38" i="15"/>
  <c r="BB38" i="16" s="1"/>
  <c r="CU38" i="15"/>
  <c r="CU38" i="16" s="1"/>
  <c r="Y38" i="15"/>
  <c r="Y38" i="16" s="1"/>
  <c r="AD38" i="15"/>
  <c r="AD38" i="16" s="1"/>
  <c r="AI38" i="15"/>
  <c r="AI38" i="16" s="1"/>
  <c r="P38" i="15"/>
  <c r="P38" i="16" s="1"/>
  <c r="AV38" i="15"/>
  <c r="AV38" i="16" s="1"/>
  <c r="CH38" i="15"/>
  <c r="CH38" i="16" s="1"/>
  <c r="AE38" i="14"/>
  <c r="W38" i="15"/>
  <c r="W38" i="16" s="1"/>
  <c r="CI38" i="15"/>
  <c r="CI38" i="16" s="1"/>
  <c r="AJ38" i="15"/>
  <c r="AJ38" i="16" s="1"/>
  <c r="BV38" i="15"/>
  <c r="BV38" i="16" s="1"/>
  <c r="S38" i="15"/>
  <c r="S38" i="16" s="1"/>
  <c r="CP38" i="15"/>
  <c r="CP38" i="16" s="1"/>
  <c r="BE38" i="15"/>
  <c r="BE38" i="16" s="1"/>
  <c r="BH38" i="15"/>
  <c r="BH38" i="16" s="1"/>
  <c r="CT38" i="15"/>
  <c r="CT38" i="16" s="1"/>
  <c r="AQ38" i="15"/>
  <c r="AQ38" i="16" s="1"/>
  <c r="F33" i="49" l="1"/>
  <c r="G33" i="49" s="1"/>
  <c r="E33" i="49"/>
  <c r="D34" i="49"/>
  <c r="C35" i="49" s="1"/>
  <c r="AE38" i="15"/>
  <c r="M38" i="15"/>
  <c r="DA38" i="14"/>
  <c r="F34" i="49" l="1"/>
  <c r="G34" i="49" s="1"/>
  <c r="E34" i="49"/>
  <c r="D35" i="49"/>
  <c r="C36" i="49" s="1"/>
  <c r="DA38" i="15"/>
  <c r="M38" i="16"/>
  <c r="DA38" i="17"/>
  <c r="AE38" i="16"/>
  <c r="F35" i="49" l="1"/>
  <c r="G35" i="49" s="1"/>
  <c r="E35" i="49"/>
  <c r="D36" i="49"/>
  <c r="C37" i="49" s="1"/>
  <c r="DA38" i="16"/>
  <c r="F36" i="49" l="1"/>
  <c r="G36" i="49" s="1"/>
  <c r="E36" i="49"/>
  <c r="D37" i="49"/>
  <c r="C38" i="49" s="1"/>
  <c r="L7" i="19"/>
  <c r="M7" i="15"/>
  <c r="M7" i="13"/>
  <c r="M7" i="14"/>
  <c r="M7" i="17"/>
  <c r="M7" i="16"/>
  <c r="L13" i="19"/>
  <c r="G15" i="2"/>
  <c r="F16" i="2"/>
  <c r="F37" i="49" l="1"/>
  <c r="G37" i="49" s="1"/>
  <c r="E37" i="49"/>
  <c r="D38" i="49"/>
  <c r="C39" i="49" s="1"/>
  <c r="F14" i="2"/>
  <c r="M8" i="17"/>
  <c r="M8" i="14"/>
  <c r="M8" i="15"/>
  <c r="L14" i="19"/>
  <c r="M8" i="16"/>
  <c r="L8" i="19"/>
  <c r="M8" i="13"/>
  <c r="M7" i="19"/>
  <c r="N7" i="13"/>
  <c r="M13" i="19"/>
  <c r="N7" i="17"/>
  <c r="N7" i="16"/>
  <c r="N7" i="15"/>
  <c r="N7" i="14"/>
  <c r="G16" i="2"/>
  <c r="H15" i="2"/>
  <c r="D77" i="18" l="1"/>
  <c r="F38" i="49"/>
  <c r="F44" i="6"/>
  <c r="L6" i="19"/>
  <c r="D88" i="18"/>
  <c r="D66" i="18"/>
  <c r="F9" i="6"/>
  <c r="F53" i="6"/>
  <c r="F23" i="6"/>
  <c r="M6" i="14"/>
  <c r="M6" i="15"/>
  <c r="L12" i="19"/>
  <c r="M6" i="16"/>
  <c r="M6" i="17"/>
  <c r="D29" i="45"/>
  <c r="F37" i="6"/>
  <c r="M6" i="13"/>
  <c r="F58" i="6"/>
  <c r="D99" i="18"/>
  <c r="E38" i="49"/>
  <c r="D39" i="49"/>
  <c r="C40" i="49" s="1"/>
  <c r="G14" i="2"/>
  <c r="G44" i="6" s="1"/>
  <c r="Z9" i="7"/>
  <c r="Z5" i="7"/>
  <c r="O7" i="17"/>
  <c r="O7" i="15"/>
  <c r="N13" i="19"/>
  <c r="O7" i="13"/>
  <c r="O7" i="14"/>
  <c r="N7" i="19"/>
  <c r="O7" i="16"/>
  <c r="I15" i="2"/>
  <c r="H16" i="2"/>
  <c r="N8" i="17"/>
  <c r="M14" i="19"/>
  <c r="N8" i="14"/>
  <c r="M8" i="19"/>
  <c r="N8" i="16"/>
  <c r="N8" i="15"/>
  <c r="N8" i="13"/>
  <c r="E29" i="45" l="1"/>
  <c r="G9" i="6"/>
  <c r="N6" i="15"/>
  <c r="N6" i="14"/>
  <c r="G53" i="6"/>
  <c r="E66" i="18"/>
  <c r="G37" i="6"/>
  <c r="N6" i="16"/>
  <c r="M12" i="19"/>
  <c r="N6" i="13"/>
  <c r="G58" i="6"/>
  <c r="M6" i="19"/>
  <c r="E77" i="18"/>
  <c r="E88" i="18"/>
  <c r="N6" i="17"/>
  <c r="E99" i="18"/>
  <c r="G23" i="6"/>
  <c r="F39" i="49"/>
  <c r="E39" i="49"/>
  <c r="G38" i="49"/>
  <c r="G39" i="49"/>
  <c r="D40" i="49"/>
  <c r="C41" i="49" s="1"/>
  <c r="AA9" i="7"/>
  <c r="AA5" i="7"/>
  <c r="N8" i="19"/>
  <c r="O8" i="16"/>
  <c r="O8" i="15"/>
  <c r="N14" i="19"/>
  <c r="O8" i="17"/>
  <c r="O8" i="14"/>
  <c r="O8" i="13"/>
  <c r="O13" i="19"/>
  <c r="P7" i="15"/>
  <c r="O7" i="19"/>
  <c r="P7" i="17"/>
  <c r="P7" i="13"/>
  <c r="P7" i="16"/>
  <c r="P7" i="14"/>
  <c r="I16" i="2"/>
  <c r="J15" i="2"/>
  <c r="H14" i="2"/>
  <c r="F40" i="49" l="1"/>
  <c r="E40" i="49"/>
  <c r="D41" i="49"/>
  <c r="C42" i="49" s="1"/>
  <c r="I14" i="2"/>
  <c r="AB5" i="7"/>
  <c r="AB9" i="7"/>
  <c r="Q7" i="17"/>
  <c r="P7" i="19"/>
  <c r="P13" i="19"/>
  <c r="Q7" i="14"/>
  <c r="Q7" i="16"/>
  <c r="Q7" i="13"/>
  <c r="Q7" i="15"/>
  <c r="K15" i="2"/>
  <c r="J16" i="2"/>
  <c r="H58" i="6"/>
  <c r="H23" i="6"/>
  <c r="H37" i="6"/>
  <c r="F77" i="18"/>
  <c r="H44" i="6"/>
  <c r="H9" i="6"/>
  <c r="F99" i="18"/>
  <c r="O6" i="17"/>
  <c r="H53" i="6"/>
  <c r="F88" i="18"/>
  <c r="F66" i="18"/>
  <c r="N12" i="19"/>
  <c r="F29" i="45"/>
  <c r="N6" i="19"/>
  <c r="O6" i="13"/>
  <c r="O6" i="16"/>
  <c r="O6" i="15"/>
  <c r="O6" i="14"/>
  <c r="O8" i="19"/>
  <c r="P8" i="15"/>
  <c r="P8" i="17"/>
  <c r="O14" i="19"/>
  <c r="P8" i="14"/>
  <c r="P8" i="16"/>
  <c r="P8" i="13"/>
  <c r="F41" i="49" l="1"/>
  <c r="G41" i="49" s="1"/>
  <c r="P6" i="15"/>
  <c r="P6" i="17"/>
  <c r="I37" i="6"/>
  <c r="P6" i="14"/>
  <c r="G88" i="18"/>
  <c r="I23" i="6"/>
  <c r="P6" i="16"/>
  <c r="I44" i="6"/>
  <c r="O6" i="19"/>
  <c r="I9" i="6"/>
  <c r="G66" i="18"/>
  <c r="I58" i="6"/>
  <c r="G77" i="18"/>
  <c r="G29" i="45"/>
  <c r="P6" i="13"/>
  <c r="G99" i="18"/>
  <c r="I53" i="6"/>
  <c r="O12" i="19"/>
  <c r="G40" i="49"/>
  <c r="E41" i="49"/>
  <c r="D42" i="49"/>
  <c r="C43" i="49" s="1"/>
  <c r="AC5" i="7"/>
  <c r="AC9" i="7"/>
  <c r="Q8" i="14"/>
  <c r="P14" i="19"/>
  <c r="P8" i="19"/>
  <c r="Q8" i="15"/>
  <c r="Q8" i="16"/>
  <c r="Q8" i="17"/>
  <c r="Q8" i="13"/>
  <c r="J14" i="2"/>
  <c r="Q7" i="19"/>
  <c r="R7" i="14"/>
  <c r="R7" i="15"/>
  <c r="R7" i="16"/>
  <c r="R7" i="13"/>
  <c r="R7" i="17"/>
  <c r="Q13" i="19"/>
  <c r="K16" i="2"/>
  <c r="L15" i="2"/>
  <c r="F42" i="49" l="1"/>
  <c r="G42" i="49" s="1"/>
  <c r="E42" i="49"/>
  <c r="D43" i="49"/>
  <c r="C44" i="49" s="1"/>
  <c r="F44" i="49" s="1"/>
  <c r="K14" i="2"/>
  <c r="R6" i="17" s="1"/>
  <c r="AD5" i="7"/>
  <c r="AD9" i="7"/>
  <c r="R13" i="19"/>
  <c r="S7" i="13"/>
  <c r="S7" i="16"/>
  <c r="S7" i="15"/>
  <c r="R7" i="19"/>
  <c r="S7" i="17"/>
  <c r="S7" i="14"/>
  <c r="L16" i="2"/>
  <c r="M15" i="2"/>
  <c r="R8" i="16"/>
  <c r="Q14" i="19"/>
  <c r="R8" i="15"/>
  <c r="R8" i="14"/>
  <c r="R8" i="17"/>
  <c r="Q8" i="19"/>
  <c r="R8" i="13"/>
  <c r="J23" i="6"/>
  <c r="H77" i="18"/>
  <c r="P6" i="19"/>
  <c r="J9" i="6"/>
  <c r="J53" i="6"/>
  <c r="H99" i="18"/>
  <c r="J58" i="6"/>
  <c r="P12" i="19"/>
  <c r="J37" i="6"/>
  <c r="Q6" i="17"/>
  <c r="H66" i="18"/>
  <c r="H29" i="45"/>
  <c r="J44" i="6"/>
  <c r="H88" i="18"/>
  <c r="Q6" i="13"/>
  <c r="Q6" i="16"/>
  <c r="Q6" i="15"/>
  <c r="Q6" i="14"/>
  <c r="Q6" i="19" l="1"/>
  <c r="K9" i="6"/>
  <c r="I99" i="18"/>
  <c r="F43" i="49"/>
  <c r="G43" i="49" s="1"/>
  <c r="I29" i="45"/>
  <c r="I88" i="18"/>
  <c r="K53" i="6"/>
  <c r="R6" i="13"/>
  <c r="I66" i="18"/>
  <c r="I77" i="18"/>
  <c r="K58" i="6"/>
  <c r="K37" i="6"/>
  <c r="R6" i="16"/>
  <c r="R6" i="15"/>
  <c r="K23" i="6"/>
  <c r="Q12" i="19"/>
  <c r="R6" i="14"/>
  <c r="K44" i="6"/>
  <c r="E43" i="49"/>
  <c r="D44" i="49"/>
  <c r="C45" i="49" s="1"/>
  <c r="F45" i="49" s="1"/>
  <c r="L14" i="2"/>
  <c r="AE5" i="7"/>
  <c r="AE9" i="7"/>
  <c r="S7" i="19"/>
  <c r="T7" i="14"/>
  <c r="T7" i="15"/>
  <c r="T7" i="13"/>
  <c r="T7" i="16"/>
  <c r="T7" i="17"/>
  <c r="S13" i="19"/>
  <c r="M16" i="2"/>
  <c r="N15" i="2"/>
  <c r="S8" i="15"/>
  <c r="S8" i="16"/>
  <c r="R14" i="19"/>
  <c r="R8" i="19"/>
  <c r="S8" i="17"/>
  <c r="S8" i="14"/>
  <c r="S8" i="13"/>
  <c r="S6" i="13" l="1"/>
  <c r="J66" i="18"/>
  <c r="J88" i="18"/>
  <c r="S6" i="14"/>
  <c r="J77" i="18"/>
  <c r="S6" i="17"/>
  <c r="J29" i="45"/>
  <c r="L9" i="6"/>
  <c r="L58" i="6"/>
  <c r="R6" i="19"/>
  <c r="L44" i="6"/>
  <c r="R12" i="19"/>
  <c r="S6" i="15"/>
  <c r="L23" i="6"/>
  <c r="L53" i="6"/>
  <c r="S6" i="16"/>
  <c r="J99" i="18"/>
  <c r="L37" i="6"/>
  <c r="E44" i="49"/>
  <c r="D45" i="49"/>
  <c r="C46" i="49" s="1"/>
  <c r="F46" i="49" s="1"/>
  <c r="M14" i="2"/>
  <c r="K66" i="18" s="1"/>
  <c r="AF5" i="7"/>
  <c r="AF9" i="7"/>
  <c r="U7" i="14"/>
  <c r="U7" i="17"/>
  <c r="T7" i="19"/>
  <c r="T13" i="19"/>
  <c r="U7" i="16"/>
  <c r="U7" i="13"/>
  <c r="U7" i="15"/>
  <c r="N16" i="2"/>
  <c r="O15" i="2"/>
  <c r="T8" i="16"/>
  <c r="S14" i="19"/>
  <c r="T8" i="14"/>
  <c r="T8" i="17"/>
  <c r="S8" i="19"/>
  <c r="T8" i="15"/>
  <c r="T8" i="13"/>
  <c r="M44" i="6" l="1"/>
  <c r="T6" i="17"/>
  <c r="K77" i="18"/>
  <c r="T6" i="16"/>
  <c r="M53" i="6"/>
  <c r="M9" i="6"/>
  <c r="S12" i="19"/>
  <c r="K29" i="45"/>
  <c r="M37" i="6"/>
  <c r="T6" i="15"/>
  <c r="S6" i="19"/>
  <c r="M58" i="6"/>
  <c r="T6" i="13"/>
  <c r="M23" i="6"/>
  <c r="K88" i="18"/>
  <c r="T6" i="14"/>
  <c r="K99" i="18"/>
  <c r="G44" i="49"/>
  <c r="G45" i="49"/>
  <c r="D46" i="49"/>
  <c r="C47" i="49" s="1"/>
  <c r="F47" i="49" s="1"/>
  <c r="E45" i="49"/>
  <c r="N14" i="2"/>
  <c r="L66" i="18" s="1"/>
  <c r="AG5" i="7"/>
  <c r="AG9" i="7"/>
  <c r="U7" i="19"/>
  <c r="V7" i="17"/>
  <c r="V7" i="13"/>
  <c r="U13" i="19"/>
  <c r="V7" i="14"/>
  <c r="V7" i="16"/>
  <c r="V7" i="15"/>
  <c r="O16" i="2"/>
  <c r="P15" i="2"/>
  <c r="U8" i="15"/>
  <c r="T14" i="19"/>
  <c r="U8" i="16"/>
  <c r="U8" i="14"/>
  <c r="U8" i="17"/>
  <c r="T8" i="19"/>
  <c r="U8" i="13"/>
  <c r="L88" i="18" l="1"/>
  <c r="L29" i="45"/>
  <c r="N37" i="6"/>
  <c r="N9" i="6"/>
  <c r="U6" i="13"/>
  <c r="T6" i="19"/>
  <c r="U6" i="16"/>
  <c r="U6" i="17"/>
  <c r="U6" i="14"/>
  <c r="N58" i="6"/>
  <c r="N53" i="6"/>
  <c r="L99" i="18"/>
  <c r="T12" i="19"/>
  <c r="L77" i="18"/>
  <c r="N44" i="6"/>
  <c r="E46" i="49"/>
  <c r="D47" i="49"/>
  <c r="C48" i="49" s="1"/>
  <c r="F48" i="49" s="1"/>
  <c r="O14" i="2"/>
  <c r="AI5" i="7" s="1"/>
  <c r="U6" i="15"/>
  <c r="N23" i="6"/>
  <c r="AH5" i="7"/>
  <c r="AH9" i="7"/>
  <c r="W7" i="13"/>
  <c r="W7" i="15"/>
  <c r="V7" i="19"/>
  <c r="V13" i="19"/>
  <c r="W7" i="14"/>
  <c r="W7" i="17"/>
  <c r="W7" i="16"/>
  <c r="Q15" i="2"/>
  <c r="P16" i="2"/>
  <c r="U8" i="19"/>
  <c r="V8" i="16"/>
  <c r="U14" i="19"/>
  <c r="V8" i="14"/>
  <c r="V8" i="17"/>
  <c r="V8" i="15"/>
  <c r="V8" i="13"/>
  <c r="M99" i="18" l="1"/>
  <c r="O58" i="6"/>
  <c r="M77" i="18"/>
  <c r="V6" i="15"/>
  <c r="O44" i="6"/>
  <c r="M88" i="18"/>
  <c r="O53" i="6"/>
  <c r="V6" i="16"/>
  <c r="V6" i="14"/>
  <c r="O37" i="6"/>
  <c r="M66" i="18"/>
  <c r="V6" i="17"/>
  <c r="U6" i="19"/>
  <c r="O23" i="6"/>
  <c r="V6" i="13"/>
  <c r="U12" i="19"/>
  <c r="O9" i="6"/>
  <c r="AF26" i="6" s="1"/>
  <c r="M29" i="45"/>
  <c r="AL25" i="6"/>
  <c r="BB25" i="6"/>
  <c r="BR26" i="6"/>
  <c r="BZ26" i="6"/>
  <c r="CK26" i="6"/>
  <c r="F26" i="6"/>
  <c r="AV26" i="6"/>
  <c r="BM26" i="6"/>
  <c r="M25" i="6"/>
  <c r="W25" i="6"/>
  <c r="AS25" i="6"/>
  <c r="BW25" i="6"/>
  <c r="AP26" i="6"/>
  <c r="AU25" i="6"/>
  <c r="AW25" i="6"/>
  <c r="BC25" i="6"/>
  <c r="BA25" i="6"/>
  <c r="Q25" i="6"/>
  <c r="AJ26" i="6"/>
  <c r="AM26" i="6"/>
  <c r="BT25" i="6"/>
  <c r="Z26" i="6"/>
  <c r="CI25" i="6"/>
  <c r="AO25" i="6"/>
  <c r="U25" i="6"/>
  <c r="AO26" i="6"/>
  <c r="BM25" i="6"/>
  <c r="I25" i="6"/>
  <c r="CQ25" i="6"/>
  <c r="AD26" i="6"/>
  <c r="Y25" i="6"/>
  <c r="BS26" i="6"/>
  <c r="AL26" i="6"/>
  <c r="BP26" i="6"/>
  <c r="AI26" i="6"/>
  <c r="CE26" i="6"/>
  <c r="AB26" i="6"/>
  <c r="CN25" i="6"/>
  <c r="BQ26" i="6"/>
  <c r="BW26" i="6"/>
  <c r="BV26" i="6"/>
  <c r="BY26" i="6"/>
  <c r="AI9" i="7"/>
  <c r="G46" i="49"/>
  <c r="E47" i="49"/>
  <c r="G47" i="49"/>
  <c r="D48" i="49"/>
  <c r="C49" i="49" s="1"/>
  <c r="F49" i="49" s="1"/>
  <c r="W8" i="16"/>
  <c r="V8" i="19"/>
  <c r="V14" i="19"/>
  <c r="W8" i="14"/>
  <c r="W8" i="15"/>
  <c r="W8" i="17"/>
  <c r="W8" i="13"/>
  <c r="X7" i="14"/>
  <c r="X7" i="16"/>
  <c r="W7" i="19"/>
  <c r="X7" i="13"/>
  <c r="X7" i="15"/>
  <c r="W13" i="19"/>
  <c r="X7" i="17"/>
  <c r="Q16" i="2"/>
  <c r="R15" i="2"/>
  <c r="P14" i="2"/>
  <c r="E48" i="49" l="1"/>
  <c r="G48" i="49"/>
  <c r="D49" i="49"/>
  <c r="C50" i="49" s="1"/>
  <c r="F50" i="49" s="1"/>
  <c r="AJ5" i="7"/>
  <c r="AJ9" i="7"/>
  <c r="Y7" i="16"/>
  <c r="Y7" i="13"/>
  <c r="Y7" i="14"/>
  <c r="X13" i="19"/>
  <c r="Y7" i="15"/>
  <c r="Y7" i="17"/>
  <c r="X7" i="19"/>
  <c r="R16" i="2"/>
  <c r="S15" i="2"/>
  <c r="X8" i="14"/>
  <c r="X8" i="17"/>
  <c r="X8" i="15"/>
  <c r="W14" i="19"/>
  <c r="W8" i="19"/>
  <c r="X8" i="16"/>
  <c r="X8" i="13"/>
  <c r="Q14" i="2"/>
  <c r="P23" i="6"/>
  <c r="W6" i="17"/>
  <c r="N29" i="45"/>
  <c r="N99" i="18"/>
  <c r="V12" i="19"/>
  <c r="P9" i="6"/>
  <c r="N66" i="18"/>
  <c r="P37" i="6"/>
  <c r="P58" i="6"/>
  <c r="P53" i="6"/>
  <c r="N77" i="18"/>
  <c r="V6" i="19"/>
  <c r="P44" i="6"/>
  <c r="N88" i="18"/>
  <c r="W6" i="14"/>
  <c r="W6" i="16"/>
  <c r="W6" i="15"/>
  <c r="W6" i="13"/>
  <c r="E49" i="49" l="1"/>
  <c r="G49" i="49"/>
  <c r="D50" i="49"/>
  <c r="C51" i="49" s="1"/>
  <c r="F51" i="49" s="1"/>
  <c r="AK5" i="7"/>
  <c r="AK9" i="7"/>
  <c r="Z7" i="16"/>
  <c r="Z7" i="15"/>
  <c r="Z7" i="17"/>
  <c r="Z7" i="14"/>
  <c r="Y7" i="19"/>
  <c r="Z7" i="13"/>
  <c r="Y13" i="19"/>
  <c r="T15" i="2"/>
  <c r="S16" i="2"/>
  <c r="Y8" i="16"/>
  <c r="Y8" i="14"/>
  <c r="Y8" i="17"/>
  <c r="X14" i="19"/>
  <c r="Y8" i="15"/>
  <c r="X8" i="19"/>
  <c r="Y8" i="13"/>
  <c r="O66" i="18"/>
  <c r="Q53" i="6"/>
  <c r="Q37" i="6"/>
  <c r="O99" i="18"/>
  <c r="O77" i="18"/>
  <c r="O29" i="45"/>
  <c r="Q9" i="6"/>
  <c r="X6" i="17"/>
  <c r="Q44" i="6"/>
  <c r="Q58" i="6"/>
  <c r="O88" i="18"/>
  <c r="W6" i="19"/>
  <c r="Q23" i="6"/>
  <c r="W12" i="19"/>
  <c r="X6" i="16"/>
  <c r="X6" i="15"/>
  <c r="X6" i="14"/>
  <c r="X6" i="13"/>
  <c r="R14" i="2"/>
  <c r="E50" i="49" l="1"/>
  <c r="D51" i="49"/>
  <c r="C52" i="49" s="1"/>
  <c r="F52" i="49" s="1"/>
  <c r="AL9" i="7"/>
  <c r="AL5" i="7"/>
  <c r="Z8" i="14"/>
  <c r="Y8" i="19"/>
  <c r="Z8" i="16"/>
  <c r="Z8" i="17"/>
  <c r="Y14" i="19"/>
  <c r="Z8" i="15"/>
  <c r="Z8" i="13"/>
  <c r="AA7" i="13"/>
  <c r="Z13" i="19"/>
  <c r="AA7" i="15"/>
  <c r="AA7" i="16"/>
  <c r="AA7" i="17"/>
  <c r="AA7" i="14"/>
  <c r="Z7" i="19"/>
  <c r="T16" i="2"/>
  <c r="U15" i="2"/>
  <c r="S14" i="2"/>
  <c r="X12" i="19"/>
  <c r="R58" i="6"/>
  <c r="P88" i="18"/>
  <c r="R44" i="6"/>
  <c r="P99" i="18"/>
  <c r="P66" i="18"/>
  <c r="P77" i="18"/>
  <c r="Y6" i="17"/>
  <c r="P29" i="45"/>
  <c r="X6" i="19"/>
  <c r="R9" i="6"/>
  <c r="R23" i="6"/>
  <c r="R53" i="6"/>
  <c r="Y6" i="15"/>
  <c r="Y6" i="13"/>
  <c r="Y6" i="16"/>
  <c r="R37" i="6"/>
  <c r="Y6" i="14"/>
  <c r="E51" i="49" l="1"/>
  <c r="G50" i="49"/>
  <c r="G51" i="49"/>
  <c r="D52" i="49"/>
  <c r="C53" i="49" s="1"/>
  <c r="F53" i="49" s="1"/>
  <c r="T14" i="2"/>
  <c r="R77" i="18" s="1"/>
  <c r="AM5" i="7"/>
  <c r="AM9" i="7"/>
  <c r="Z14" i="19"/>
  <c r="Z8" i="19"/>
  <c r="AA8" i="15"/>
  <c r="AA8" i="17"/>
  <c r="AA8" i="14"/>
  <c r="AA8" i="16"/>
  <c r="AA8" i="13"/>
  <c r="Q29" i="45"/>
  <c r="Q66" i="18"/>
  <c r="Q88" i="18"/>
  <c r="Y12" i="19"/>
  <c r="Q77" i="18"/>
  <c r="S44" i="6"/>
  <c r="S58" i="6"/>
  <c r="S53" i="6"/>
  <c r="Z6" i="17"/>
  <c r="Y6" i="19"/>
  <c r="S9" i="6"/>
  <c r="S23" i="6"/>
  <c r="Q99" i="18"/>
  <c r="S37" i="6"/>
  <c r="Z6" i="13"/>
  <c r="Z6" i="15"/>
  <c r="Z6" i="14"/>
  <c r="Z6" i="16"/>
  <c r="AB7" i="13"/>
  <c r="AB7" i="15"/>
  <c r="AB7" i="14"/>
  <c r="AB7" i="16"/>
  <c r="AB7" i="17"/>
  <c r="AA13" i="19"/>
  <c r="AA7" i="19"/>
  <c r="U16" i="2"/>
  <c r="V15" i="2"/>
  <c r="T9" i="6" l="1"/>
  <c r="Z12" i="19"/>
  <c r="AA6" i="17"/>
  <c r="T44" i="6"/>
  <c r="AA6" i="15"/>
  <c r="AA6" i="14"/>
  <c r="R88" i="18"/>
  <c r="T37" i="6"/>
  <c r="AA6" i="13"/>
  <c r="T53" i="6"/>
  <c r="Z6" i="19"/>
  <c r="AA6" i="16"/>
  <c r="T23" i="6"/>
  <c r="T58" i="6"/>
  <c r="R99" i="18"/>
  <c r="E52" i="49"/>
  <c r="D53" i="49"/>
  <c r="C54" i="49" s="1"/>
  <c r="F54" i="49" s="1"/>
  <c r="U14" i="2"/>
  <c r="U44" i="6" s="1"/>
  <c r="R29" i="45"/>
  <c r="R66" i="18"/>
  <c r="AN5" i="7"/>
  <c r="AN9" i="7"/>
  <c r="U9" i="6"/>
  <c r="U53" i="6"/>
  <c r="AC7" i="17"/>
  <c r="AC7" i="16"/>
  <c r="AC7" i="15"/>
  <c r="AC7" i="13"/>
  <c r="AC7" i="14"/>
  <c r="AB7" i="19"/>
  <c r="AB13" i="19"/>
  <c r="W15" i="2"/>
  <c r="V16" i="2"/>
  <c r="AB8" i="14"/>
  <c r="AB8" i="15"/>
  <c r="AB8" i="16"/>
  <c r="AA8" i="19"/>
  <c r="AB8" i="17"/>
  <c r="AA14" i="19"/>
  <c r="AB8" i="13"/>
  <c r="U37" i="6" l="1"/>
  <c r="AA12" i="19"/>
  <c r="AB6" i="17"/>
  <c r="U58" i="6"/>
  <c r="S88" i="18"/>
  <c r="AB6" i="16"/>
  <c r="S66" i="18"/>
  <c r="AB6" i="15"/>
  <c r="AA6" i="19"/>
  <c r="AB6" i="14"/>
  <c r="S77" i="18"/>
  <c r="AB6" i="13"/>
  <c r="S29" i="45"/>
  <c r="U23" i="6"/>
  <c r="S99" i="18"/>
  <c r="G52" i="49"/>
  <c r="G53" i="49"/>
  <c r="E53" i="49"/>
  <c r="D54" i="49"/>
  <c r="C55" i="49" s="1"/>
  <c r="F55" i="49" s="1"/>
  <c r="V14" i="2"/>
  <c r="V53" i="6" s="1"/>
  <c r="AO5" i="7"/>
  <c r="AO9" i="7"/>
  <c r="AC13" i="19"/>
  <c r="AD7" i="13"/>
  <c r="AD7" i="15"/>
  <c r="AD7" i="16"/>
  <c r="AD7" i="17"/>
  <c r="AD7" i="14"/>
  <c r="AC7" i="19"/>
  <c r="X15" i="2"/>
  <c r="W16" i="2"/>
  <c r="AC8" i="14"/>
  <c r="AC8" i="16"/>
  <c r="AC8" i="15"/>
  <c r="AB14" i="19"/>
  <c r="AC8" i="17"/>
  <c r="AB8" i="19"/>
  <c r="AC8" i="13"/>
  <c r="V37" i="6" l="1"/>
  <c r="T88" i="18"/>
  <c r="V44" i="6"/>
  <c r="T99" i="18"/>
  <c r="AC6" i="16"/>
  <c r="V58" i="6"/>
  <c r="V23" i="6"/>
  <c r="AC6" i="14"/>
  <c r="T29" i="45"/>
  <c r="AB12" i="19"/>
  <c r="V9" i="6"/>
  <c r="AC6" i="15"/>
  <c r="T77" i="18"/>
  <c r="AB6" i="19"/>
  <c r="E54" i="49"/>
  <c r="G54" i="49"/>
  <c r="D55" i="49"/>
  <c r="C56" i="49" s="1"/>
  <c r="F56" i="49" s="1"/>
  <c r="AC6" i="17"/>
  <c r="AC6" i="13"/>
  <c r="T66" i="18"/>
  <c r="AP5" i="7"/>
  <c r="AP9" i="7"/>
  <c r="AD8" i="14"/>
  <c r="AC14" i="19"/>
  <c r="AC8" i="19"/>
  <c r="AD8" i="16"/>
  <c r="AD8" i="15"/>
  <c r="AD8" i="17"/>
  <c r="AD8" i="13"/>
  <c r="W14" i="2"/>
  <c r="AE7" i="14"/>
  <c r="AE7" i="13"/>
  <c r="AE7" i="15"/>
  <c r="AD7" i="19"/>
  <c r="AE7" i="16"/>
  <c r="AD13" i="19"/>
  <c r="AE7" i="17"/>
  <c r="Y15" i="2"/>
  <c r="X16" i="2"/>
  <c r="E55" i="49" l="1"/>
  <c r="G55" i="49"/>
  <c r="D56" i="49"/>
  <c r="C57" i="49" s="1"/>
  <c r="F57" i="49" s="1"/>
  <c r="AQ5" i="7"/>
  <c r="AQ9" i="7"/>
  <c r="X14" i="2"/>
  <c r="X44" i="6" s="1"/>
  <c r="AE8" i="15"/>
  <c r="AE8" i="14"/>
  <c r="AE8" i="17"/>
  <c r="AD14" i="19"/>
  <c r="AD8" i="19"/>
  <c r="AE8" i="16"/>
  <c r="AE8" i="13"/>
  <c r="AE13" i="19"/>
  <c r="AF7" i="16"/>
  <c r="AF7" i="13"/>
  <c r="AE7" i="19"/>
  <c r="AF7" i="17"/>
  <c r="AF7" i="14"/>
  <c r="AF7" i="15"/>
  <c r="Y16" i="2"/>
  <c r="Z15" i="2"/>
  <c r="U99" i="18"/>
  <c r="U29" i="45"/>
  <c r="W44" i="6"/>
  <c r="W37" i="6"/>
  <c r="AD6" i="17"/>
  <c r="U66" i="18"/>
  <c r="W23" i="6"/>
  <c r="U77" i="18"/>
  <c r="W58" i="6"/>
  <c r="AC6" i="19"/>
  <c r="AC12" i="19"/>
  <c r="W53" i="6"/>
  <c r="W9" i="6"/>
  <c r="U88" i="18"/>
  <c r="AD6" i="15"/>
  <c r="AD6" i="14"/>
  <c r="AD6" i="13"/>
  <c r="AD6" i="16"/>
  <c r="V99" i="18" l="1"/>
  <c r="V88" i="18"/>
  <c r="AE6" i="13"/>
  <c r="E56" i="49"/>
  <c r="G56" i="49"/>
  <c r="D57" i="49"/>
  <c r="C58" i="49" s="1"/>
  <c r="F58" i="49" s="1"/>
  <c r="V29" i="45"/>
  <c r="X53" i="6"/>
  <c r="X58" i="6"/>
  <c r="V66" i="18"/>
  <c r="X37" i="6"/>
  <c r="AD6" i="19"/>
  <c r="AE6" i="14"/>
  <c r="AD12" i="19"/>
  <c r="AR5" i="7"/>
  <c r="AR9" i="7"/>
  <c r="AE6" i="16"/>
  <c r="X9" i="6"/>
  <c r="X23" i="6"/>
  <c r="AE6" i="15"/>
  <c r="V77" i="18"/>
  <c r="AE6" i="17"/>
  <c r="Y14" i="2"/>
  <c r="AE12" i="19" s="1"/>
  <c r="AG7" i="16"/>
  <c r="AF13" i="19"/>
  <c r="AG7" i="15"/>
  <c r="AG7" i="14"/>
  <c r="AG7" i="17"/>
  <c r="AG7" i="13"/>
  <c r="AF7" i="19"/>
  <c r="AA15" i="2"/>
  <c r="Z16" i="2"/>
  <c r="AE8" i="19"/>
  <c r="AF8" i="16"/>
  <c r="AF8" i="14"/>
  <c r="AF8" i="15"/>
  <c r="AF8" i="17"/>
  <c r="AE14" i="19"/>
  <c r="AF8" i="13"/>
  <c r="AF6" i="13" l="1"/>
  <c r="Y58" i="6"/>
  <c r="Y53" i="6"/>
  <c r="Y9" i="6"/>
  <c r="W66" i="18"/>
  <c r="W77" i="18"/>
  <c r="W29" i="45"/>
  <c r="AF6" i="15"/>
  <c r="AF6" i="17"/>
  <c r="E57" i="49"/>
  <c r="G57" i="49"/>
  <c r="D58" i="49"/>
  <c r="C59" i="49" s="1"/>
  <c r="F59" i="49" s="1"/>
  <c r="AF6" i="16"/>
  <c r="Y37" i="6"/>
  <c r="AS9" i="7"/>
  <c r="AS5" i="7"/>
  <c r="AF6" i="14"/>
  <c r="W88" i="18"/>
  <c r="W99" i="18"/>
  <c r="AE6" i="19"/>
  <c r="Y23" i="6"/>
  <c r="Y44" i="6"/>
  <c r="AF8" i="19"/>
  <c r="AF14" i="19"/>
  <c r="AG8" i="16"/>
  <c r="AG8" i="17"/>
  <c r="AG8" i="15"/>
  <c r="AG8" i="14"/>
  <c r="AG8" i="13"/>
  <c r="AH7" i="13"/>
  <c r="AH7" i="17"/>
  <c r="AH7" i="16"/>
  <c r="AG13" i="19"/>
  <c r="AH7" i="15"/>
  <c r="AG7" i="19"/>
  <c r="AH7" i="14"/>
  <c r="AA16" i="2"/>
  <c r="AB15" i="2"/>
  <c r="Z14" i="2"/>
  <c r="E58" i="49" l="1"/>
  <c r="G58" i="49"/>
  <c r="D59" i="49"/>
  <c r="C60" i="49" s="1"/>
  <c r="F60" i="49" s="1"/>
  <c r="AT5" i="7"/>
  <c r="AT9" i="7"/>
  <c r="AA14" i="2"/>
  <c r="AA53" i="6" s="1"/>
  <c r="AF6" i="19"/>
  <c r="Z58" i="6"/>
  <c r="X29" i="45"/>
  <c r="X88" i="18"/>
  <c r="X77" i="18"/>
  <c r="AG6" i="17"/>
  <c r="Z37" i="6"/>
  <c r="AF12" i="19"/>
  <c r="Z53" i="6"/>
  <c r="X66" i="18"/>
  <c r="Z44" i="6"/>
  <c r="X99" i="18"/>
  <c r="Z9" i="6"/>
  <c r="Z23" i="6"/>
  <c r="AG6" i="14"/>
  <c r="AG6" i="13"/>
  <c r="AG6" i="16"/>
  <c r="AG6" i="15"/>
  <c r="AH8" i="17"/>
  <c r="AH8" i="15"/>
  <c r="AG14" i="19"/>
  <c r="AG8" i="19"/>
  <c r="AH8" i="14"/>
  <c r="AH8" i="16"/>
  <c r="AH8" i="13"/>
  <c r="AI7" i="13"/>
  <c r="AH13" i="19"/>
  <c r="AI7" i="14"/>
  <c r="AI7" i="16"/>
  <c r="AI7" i="15"/>
  <c r="AI7" i="17"/>
  <c r="AH7" i="19"/>
  <c r="AC15" i="2"/>
  <c r="AB16" i="2"/>
  <c r="AH6" i="14" l="1"/>
  <c r="AG6" i="19"/>
  <c r="AA44" i="6"/>
  <c r="G59" i="49"/>
  <c r="E59" i="49"/>
  <c r="D60" i="49"/>
  <c r="C61" i="49" s="1"/>
  <c r="F61" i="49" s="1"/>
  <c r="AH6" i="17"/>
  <c r="Y29" i="45"/>
  <c r="Y99" i="18"/>
  <c r="AH6" i="13"/>
  <c r="AA23" i="6"/>
  <c r="Y77" i="18"/>
  <c r="AH6" i="16"/>
  <c r="AG12" i="19"/>
  <c r="AU5" i="7"/>
  <c r="AU9" i="7"/>
  <c r="AH6" i="15"/>
  <c r="AA9" i="6"/>
  <c r="AA58" i="6"/>
  <c r="AA37" i="6"/>
  <c r="Y88" i="18"/>
  <c r="Y66" i="18"/>
  <c r="AI8" i="14"/>
  <c r="AI8" i="16"/>
  <c r="AH14" i="19"/>
  <c r="AI8" i="15"/>
  <c r="AH8" i="19"/>
  <c r="AI8" i="17"/>
  <c r="AI8" i="13"/>
  <c r="AJ7" i="15"/>
  <c r="AJ7" i="13"/>
  <c r="AJ7" i="17"/>
  <c r="AJ7" i="16"/>
  <c r="AI7" i="19"/>
  <c r="AI13" i="19"/>
  <c r="AJ7" i="14"/>
  <c r="AD15" i="2"/>
  <c r="AC16" i="2"/>
  <c r="AB14" i="2"/>
  <c r="E60" i="49" l="1"/>
  <c r="G60" i="49"/>
  <c r="D61" i="49"/>
  <c r="AV5" i="7"/>
  <c r="AV9" i="7"/>
  <c r="AI8" i="19"/>
  <c r="AJ8" i="15"/>
  <c r="AJ8" i="14"/>
  <c r="AJ8" i="17"/>
  <c r="AJ8" i="16"/>
  <c r="AI14" i="19"/>
  <c r="AJ8" i="13"/>
  <c r="AK7" i="14"/>
  <c r="AJ13" i="19"/>
  <c r="AK7" i="15"/>
  <c r="AJ7" i="19"/>
  <c r="AK7" i="16"/>
  <c r="AK7" i="13"/>
  <c r="AK7" i="17"/>
  <c r="AD16" i="2"/>
  <c r="AE15" i="2"/>
  <c r="AI6" i="17"/>
  <c r="Z66" i="18"/>
  <c r="AB37" i="6"/>
  <c r="AB9" i="6"/>
  <c r="Z77" i="18"/>
  <c r="Z29" i="45"/>
  <c r="Z88" i="18"/>
  <c r="Z99" i="18"/>
  <c r="AB58" i="6"/>
  <c r="AB23" i="6"/>
  <c r="AH6" i="19"/>
  <c r="AB53" i="6"/>
  <c r="AB44" i="6"/>
  <c r="AH12" i="19"/>
  <c r="AI6" i="13"/>
  <c r="AI6" i="16"/>
  <c r="AI6" i="15"/>
  <c r="AI6" i="14"/>
  <c r="AC14" i="2"/>
  <c r="E61" i="49" l="1"/>
  <c r="G61" i="49"/>
  <c r="AW5" i="7"/>
  <c r="AW9" i="7"/>
  <c r="AA77" i="18"/>
  <c r="AC53" i="6"/>
  <c r="AA66" i="18"/>
  <c r="AA29" i="45"/>
  <c r="AC9" i="6"/>
  <c r="AC58" i="6"/>
  <c r="AA99" i="18"/>
  <c r="AJ6" i="17"/>
  <c r="AC37" i="6"/>
  <c r="AI6" i="19"/>
  <c r="AA88" i="18"/>
  <c r="AI12" i="19"/>
  <c r="AC44" i="6"/>
  <c r="AC23" i="6"/>
  <c r="AJ6" i="14"/>
  <c r="AJ6" i="15"/>
  <c r="AJ6" i="13"/>
  <c r="AJ6" i="16"/>
  <c r="AK8" i="17"/>
  <c r="AJ8" i="19"/>
  <c r="AK8" i="14"/>
  <c r="AK8" i="15"/>
  <c r="AK8" i="16"/>
  <c r="AJ14" i="19"/>
  <c r="AK8" i="13"/>
  <c r="AL7" i="17"/>
  <c r="AL7" i="16"/>
  <c r="AL7" i="14"/>
  <c r="AK7" i="19"/>
  <c r="AL7" i="13"/>
  <c r="AL7" i="15"/>
  <c r="AK13" i="19"/>
  <c r="AE16" i="2"/>
  <c r="AF15" i="2"/>
  <c r="AD14" i="2"/>
  <c r="AX5" i="7" l="1"/>
  <c r="AX9" i="7"/>
  <c r="AL8" i="14"/>
  <c r="AL8" i="17"/>
  <c r="AK14" i="19"/>
  <c r="AL8" i="15"/>
  <c r="AL8" i="16"/>
  <c r="AK8" i="19"/>
  <c r="AL8" i="13"/>
  <c r="AE14" i="2"/>
  <c r="AB29" i="45"/>
  <c r="AB99" i="18"/>
  <c r="AB66" i="18"/>
  <c r="AJ12" i="19"/>
  <c r="AK6" i="17"/>
  <c r="AD53" i="6"/>
  <c r="AB88" i="18"/>
  <c r="AD37" i="6"/>
  <c r="AB77" i="18"/>
  <c r="AD44" i="6"/>
  <c r="AD23" i="6"/>
  <c r="AD58" i="6"/>
  <c r="AJ6" i="19"/>
  <c r="AD9" i="6"/>
  <c r="AK6" i="13"/>
  <c r="AK6" i="16"/>
  <c r="AK6" i="15"/>
  <c r="AK6" i="14"/>
  <c r="AM7" i="14"/>
  <c r="AM7" i="16"/>
  <c r="AL7" i="19"/>
  <c r="AM7" i="13"/>
  <c r="AM7" i="17"/>
  <c r="AL13" i="19"/>
  <c r="AM7" i="15"/>
  <c r="AF16" i="2"/>
  <c r="AG15" i="2"/>
  <c r="AY5" i="7" l="1"/>
  <c r="AY9" i="7"/>
  <c r="AF14" i="2"/>
  <c r="AD77" i="18" s="1"/>
  <c r="AN7" i="16"/>
  <c r="AN7" i="17"/>
  <c r="AN7" i="13"/>
  <c r="AM13" i="19"/>
  <c r="AN7" i="15"/>
  <c r="AN7" i="14"/>
  <c r="AM7" i="19"/>
  <c r="AG16" i="2"/>
  <c r="AH15" i="2"/>
  <c r="AM8" i="16"/>
  <c r="AM8" i="14"/>
  <c r="AM8" i="15"/>
  <c r="AM8" i="17"/>
  <c r="AL8" i="19"/>
  <c r="AL14" i="19"/>
  <c r="AM8" i="13"/>
  <c r="AC77" i="18"/>
  <c r="AE23" i="6"/>
  <c r="AC99" i="18"/>
  <c r="AC66" i="18"/>
  <c r="AE9" i="6"/>
  <c r="AE58" i="6"/>
  <c r="AK12" i="19"/>
  <c r="AE53" i="6"/>
  <c r="AE44" i="6"/>
  <c r="AC88" i="18"/>
  <c r="AC29" i="45"/>
  <c r="AE37" i="6"/>
  <c r="AK6" i="19"/>
  <c r="AL6" i="17"/>
  <c r="AL6" i="15"/>
  <c r="AL6" i="14"/>
  <c r="AL6" i="13"/>
  <c r="AL6" i="16"/>
  <c r="AD29" i="45" l="1"/>
  <c r="AD66" i="18"/>
  <c r="AF53" i="6"/>
  <c r="AM6" i="17"/>
  <c r="AM6" i="14"/>
  <c r="AF37" i="6"/>
  <c r="AM6" i="15"/>
  <c r="AL12" i="19"/>
  <c r="AD99" i="18"/>
  <c r="AL6" i="19"/>
  <c r="AD88" i="18"/>
  <c r="AF9" i="6"/>
  <c r="AM6" i="13"/>
  <c r="AF58" i="6"/>
  <c r="AF44" i="6"/>
  <c r="AM6" i="16"/>
  <c r="AF23" i="6"/>
  <c r="AZ5" i="7"/>
  <c r="AZ9" i="7"/>
  <c r="AN8" i="16"/>
  <c r="AM14" i="19"/>
  <c r="AN8" i="17"/>
  <c r="AN8" i="15"/>
  <c r="AM8" i="19"/>
  <c r="AN8" i="14"/>
  <c r="AN8" i="13"/>
  <c r="AG14" i="2"/>
  <c r="AO7" i="14"/>
  <c r="AN13" i="19"/>
  <c r="AO7" i="15"/>
  <c r="AO7" i="17"/>
  <c r="AO7" i="13"/>
  <c r="AO7" i="16"/>
  <c r="AN7" i="19"/>
  <c r="AI15" i="2"/>
  <c r="AH16" i="2"/>
  <c r="BA5" i="7" l="1"/>
  <c r="BA9" i="7"/>
  <c r="AO8" i="16"/>
  <c r="AO8" i="14"/>
  <c r="AO8" i="15"/>
  <c r="AN8" i="19"/>
  <c r="AO8" i="17"/>
  <c r="AN14" i="19"/>
  <c r="AO8" i="13"/>
  <c r="AH14" i="2"/>
  <c r="AM12" i="19"/>
  <c r="AG9" i="6"/>
  <c r="AE29" i="45"/>
  <c r="AE77" i="18"/>
  <c r="AG58" i="6"/>
  <c r="AN6" i="17"/>
  <c r="AE88" i="18"/>
  <c r="AG37" i="6"/>
  <c r="AG53" i="6"/>
  <c r="AG23" i="6"/>
  <c r="AG44" i="6"/>
  <c r="AE99" i="18"/>
  <c r="AE66" i="18"/>
  <c r="AM6" i="19"/>
  <c r="AN6" i="16"/>
  <c r="AN6" i="13"/>
  <c r="AN6" i="14"/>
  <c r="AN6" i="15"/>
  <c r="AP7" i="16"/>
  <c r="AO13" i="19"/>
  <c r="AP7" i="13"/>
  <c r="AP7" i="15"/>
  <c r="AP7" i="17"/>
  <c r="AO7" i="19"/>
  <c r="AP7" i="14"/>
  <c r="AJ15" i="2"/>
  <c r="AI16" i="2"/>
  <c r="BB5" i="7" l="1"/>
  <c r="BB9" i="7"/>
  <c r="AO14" i="19"/>
  <c r="AP8" i="17"/>
  <c r="AP8" i="14"/>
  <c r="AO8" i="19"/>
  <c r="AP8" i="15"/>
  <c r="AP8" i="16"/>
  <c r="AP8" i="13"/>
  <c r="AQ7" i="14"/>
  <c r="AP13" i="19"/>
  <c r="AQ7" i="15"/>
  <c r="AQ7" i="13"/>
  <c r="AP7" i="19"/>
  <c r="AQ7" i="17"/>
  <c r="AQ7" i="16"/>
  <c r="AJ16" i="2"/>
  <c r="AK15" i="2"/>
  <c r="AH58" i="6"/>
  <c r="AF66" i="18"/>
  <c r="AN12" i="19"/>
  <c r="AH23" i="6"/>
  <c r="AF77" i="18"/>
  <c r="AH53" i="6"/>
  <c r="AH44" i="6"/>
  <c r="AF88" i="18"/>
  <c r="AN6" i="19"/>
  <c r="AH9" i="6"/>
  <c r="AF29" i="45"/>
  <c r="AH37" i="6"/>
  <c r="AF99" i="18"/>
  <c r="AO6" i="17"/>
  <c r="AO6" i="13"/>
  <c r="AO6" i="15"/>
  <c r="AO6" i="16"/>
  <c r="AO6" i="14"/>
  <c r="AI14" i="2"/>
  <c r="BC9" i="7" l="1"/>
  <c r="BC5" i="7"/>
  <c r="AQ8" i="16"/>
  <c r="AP14" i="19"/>
  <c r="AP8" i="19"/>
  <c r="AQ8" i="15"/>
  <c r="AQ8" i="14"/>
  <c r="AQ8" i="17"/>
  <c r="AQ8" i="13"/>
  <c r="AP6" i="17"/>
  <c r="AG88" i="18"/>
  <c r="AI44" i="6"/>
  <c r="AO6" i="19"/>
  <c r="AO12" i="19"/>
  <c r="AG66" i="18"/>
  <c r="AI9" i="6"/>
  <c r="AI53" i="6"/>
  <c r="AI23" i="6"/>
  <c r="AG99" i="18"/>
  <c r="AI37" i="6"/>
  <c r="AG29" i="45"/>
  <c r="AI58" i="6"/>
  <c r="AG77" i="18"/>
  <c r="AP6" i="16"/>
  <c r="AP6" i="13"/>
  <c r="AP6" i="14"/>
  <c r="AP6" i="15"/>
  <c r="AR7" i="15"/>
  <c r="AQ13" i="19"/>
  <c r="AQ7" i="19"/>
  <c r="AR7" i="16"/>
  <c r="AR7" i="17"/>
  <c r="AR7" i="14"/>
  <c r="AR7" i="13"/>
  <c r="AL15" i="2"/>
  <c r="AK16" i="2"/>
  <c r="AJ14" i="2"/>
  <c r="BD9" i="7" l="1"/>
  <c r="BD5" i="7"/>
  <c r="AR8" i="15"/>
  <c r="AR8" i="16"/>
  <c r="AR8" i="17"/>
  <c r="AQ8" i="19"/>
  <c r="AR8" i="14"/>
  <c r="AQ14" i="19"/>
  <c r="AR8" i="13"/>
  <c r="AR13" i="19"/>
  <c r="AS7" i="15"/>
  <c r="AS7" i="16"/>
  <c r="AS7" i="14"/>
  <c r="AS7" i="17"/>
  <c r="AR7" i="19"/>
  <c r="AS7" i="13"/>
  <c r="AM15" i="2"/>
  <c r="AL16" i="2"/>
  <c r="AL14" i="2" s="1"/>
  <c r="AK14" i="2"/>
  <c r="AP6" i="19"/>
  <c r="AJ23" i="6"/>
  <c r="AQ6" i="17"/>
  <c r="AJ44" i="6"/>
  <c r="AJ53" i="6"/>
  <c r="AP12" i="19"/>
  <c r="AH88" i="18"/>
  <c r="AH77" i="18"/>
  <c r="AJ9" i="6"/>
  <c r="AH29" i="45"/>
  <c r="AH66" i="18"/>
  <c r="AJ58" i="6"/>
  <c r="AH99" i="18"/>
  <c r="AJ37" i="6"/>
  <c r="AQ6" i="15"/>
  <c r="AQ6" i="16"/>
  <c r="AQ6" i="13"/>
  <c r="AQ6" i="14"/>
  <c r="BE9" i="7" l="1"/>
  <c r="BE5" i="7"/>
  <c r="BF5" i="7"/>
  <c r="BF9" i="7"/>
  <c r="AT7" i="16"/>
  <c r="AS13" i="19"/>
  <c r="AT7" i="15"/>
  <c r="AT7" i="17"/>
  <c r="AS7" i="19"/>
  <c r="AT7" i="13"/>
  <c r="AT7" i="14"/>
  <c r="AM16" i="2"/>
  <c r="AM14" i="2" s="1"/>
  <c r="AN15" i="2"/>
  <c r="AL58" i="6"/>
  <c r="AJ77" i="18"/>
  <c r="AJ66" i="18"/>
  <c r="AL9" i="6"/>
  <c r="AJ88" i="18"/>
  <c r="AL44" i="6"/>
  <c r="AL37" i="6"/>
  <c r="AJ29" i="45"/>
  <c r="AJ99" i="18"/>
  <c r="AL53" i="6"/>
  <c r="AR12" i="19"/>
  <c r="AS6" i="17"/>
  <c r="AR6" i="19"/>
  <c r="AL23" i="6"/>
  <c r="AS6" i="14"/>
  <c r="AS6" i="15"/>
  <c r="AS6" i="13"/>
  <c r="AS6" i="16"/>
  <c r="AK58" i="6"/>
  <c r="AI29" i="45"/>
  <c r="AK37" i="6"/>
  <c r="AI99" i="18"/>
  <c r="AI88" i="18"/>
  <c r="AQ6" i="19"/>
  <c r="AI66" i="18"/>
  <c r="AK44" i="6"/>
  <c r="AR6" i="17"/>
  <c r="AK9" i="6"/>
  <c r="AI77" i="18"/>
  <c r="AK23" i="6"/>
  <c r="AQ12" i="19"/>
  <c r="AK53" i="6"/>
  <c r="AR6" i="13"/>
  <c r="AR6" i="16"/>
  <c r="AR6" i="14"/>
  <c r="AR6" i="15"/>
  <c r="AS8" i="15"/>
  <c r="AS8" i="16"/>
  <c r="AS8" i="14"/>
  <c r="AR14" i="19"/>
  <c r="AR8" i="19"/>
  <c r="AS8" i="17"/>
  <c r="AS8" i="13"/>
  <c r="BG5" i="7" l="1"/>
  <c r="BG9" i="7"/>
  <c r="AK77" i="18"/>
  <c r="AM44" i="6"/>
  <c r="AK99" i="18"/>
  <c r="AK88" i="18"/>
  <c r="AM53" i="6"/>
  <c r="AS6" i="19"/>
  <c r="AM37" i="6"/>
  <c r="AK29" i="45"/>
  <c r="AM58" i="6"/>
  <c r="AM23" i="6"/>
  <c r="AK66" i="18"/>
  <c r="AS12" i="19"/>
  <c r="AM9" i="6"/>
  <c r="AT6" i="17"/>
  <c r="AT6" i="15"/>
  <c r="AT6" i="16"/>
  <c r="AT6" i="13"/>
  <c r="AT6" i="14"/>
  <c r="AT13" i="19"/>
  <c r="AU7" i="17"/>
  <c r="AT7" i="19"/>
  <c r="AU7" i="16"/>
  <c r="AU7" i="14"/>
  <c r="AU7" i="13"/>
  <c r="AU7" i="15"/>
  <c r="AO15" i="2"/>
  <c r="AN16" i="2"/>
  <c r="AN14" i="2" s="1"/>
  <c r="AS14" i="19"/>
  <c r="AT8" i="17"/>
  <c r="AT8" i="14"/>
  <c r="AS8" i="19"/>
  <c r="AT8" i="15"/>
  <c r="AT8" i="16"/>
  <c r="AT8" i="13"/>
  <c r="BH5" i="7" l="1"/>
  <c r="BH9" i="7"/>
  <c r="AN9" i="6"/>
  <c r="AT6" i="19"/>
  <c r="AL77" i="18"/>
  <c r="AU6" i="17"/>
  <c r="AL66" i="18"/>
  <c r="AN53" i="6"/>
  <c r="AN58" i="6"/>
  <c r="AL99" i="18"/>
  <c r="AN23" i="6"/>
  <c r="AT12" i="19"/>
  <c r="AN37" i="6"/>
  <c r="AL88" i="18"/>
  <c r="AL29" i="45"/>
  <c r="AN44" i="6"/>
  <c r="AU6" i="15"/>
  <c r="AU6" i="13"/>
  <c r="AU6" i="14"/>
  <c r="AU6" i="16"/>
  <c r="AU8" i="17"/>
  <c r="AU8" i="14"/>
  <c r="AU8" i="15"/>
  <c r="AU8" i="16"/>
  <c r="AT8" i="19"/>
  <c r="AT14" i="19"/>
  <c r="AU8" i="13"/>
  <c r="AV7" i="15"/>
  <c r="AU13" i="19"/>
  <c r="AU7" i="19"/>
  <c r="AV7" i="14"/>
  <c r="AV7" i="17"/>
  <c r="AV7" i="13"/>
  <c r="AV7" i="16"/>
  <c r="AP15" i="2"/>
  <c r="AO16" i="2"/>
  <c r="AV8" i="17" l="1"/>
  <c r="AU8" i="19"/>
  <c r="AV8" i="16"/>
  <c r="AV8" i="15"/>
  <c r="AV8" i="14"/>
  <c r="AU14" i="19"/>
  <c r="AV8" i="13"/>
  <c r="AO14" i="2"/>
  <c r="AW7" i="17"/>
  <c r="AW7" i="16"/>
  <c r="AW7" i="13"/>
  <c r="AV7" i="19"/>
  <c r="AW7" i="14"/>
  <c r="AW7" i="15"/>
  <c r="AV13" i="19"/>
  <c r="AQ15" i="2"/>
  <c r="AP16" i="2"/>
  <c r="AP14" i="2" s="1"/>
  <c r="BI5" i="7" l="1"/>
  <c r="BI9" i="7"/>
  <c r="BJ5" i="7"/>
  <c r="BJ9" i="7"/>
  <c r="AO44" i="6"/>
  <c r="AU6" i="19"/>
  <c r="AM77" i="18"/>
  <c r="AO9" i="6"/>
  <c r="AV6" i="17"/>
  <c r="AM66" i="18"/>
  <c r="AM99" i="18"/>
  <c r="AM88" i="18"/>
  <c r="AO53" i="6"/>
  <c r="AO23" i="6"/>
  <c r="AO58" i="6"/>
  <c r="AO37" i="6"/>
  <c r="AM29" i="45"/>
  <c r="AU12" i="19"/>
  <c r="AV6" i="14"/>
  <c r="AV6" i="15"/>
  <c r="AV6" i="13"/>
  <c r="AV6" i="16"/>
  <c r="AW7" i="19"/>
  <c r="AX7" i="15"/>
  <c r="AX7" i="14"/>
  <c r="AX7" i="13"/>
  <c r="AX7" i="17"/>
  <c r="AX7" i="16"/>
  <c r="AW13" i="19"/>
  <c r="AQ16" i="2"/>
  <c r="AQ14" i="2" s="1"/>
  <c r="AR15" i="2"/>
  <c r="AP44" i="6"/>
  <c r="AN99" i="18"/>
  <c r="AN29" i="45"/>
  <c r="AN88" i="18"/>
  <c r="AV6" i="19"/>
  <c r="AV12" i="19"/>
  <c r="AP9" i="6"/>
  <c r="AP58" i="6"/>
  <c r="AP53" i="6"/>
  <c r="AP37" i="6"/>
  <c r="AW6" i="17"/>
  <c r="AN77" i="18"/>
  <c r="AN66" i="18"/>
  <c r="AP23" i="6"/>
  <c r="AW6" i="14"/>
  <c r="AW6" i="15"/>
  <c r="AW6" i="16"/>
  <c r="AW6" i="13"/>
  <c r="AW8" i="17"/>
  <c r="AV8" i="19"/>
  <c r="AW8" i="14"/>
  <c r="AV14" i="19"/>
  <c r="AW8" i="16"/>
  <c r="AW8" i="15"/>
  <c r="AW8" i="13"/>
  <c r="BK5" i="7" l="1"/>
  <c r="BK9" i="7"/>
  <c r="AW6" i="19"/>
  <c r="AQ23" i="6"/>
  <c r="AX6" i="17"/>
  <c r="AO66" i="18"/>
  <c r="AW12" i="19"/>
  <c r="AO77" i="18"/>
  <c r="AQ58" i="6"/>
  <c r="AO99" i="18"/>
  <c r="AQ37" i="6"/>
  <c r="AQ9" i="6"/>
  <c r="AO29" i="45"/>
  <c r="AQ44" i="6"/>
  <c r="AQ53" i="6"/>
  <c r="AO88" i="18"/>
  <c r="AX6" i="14"/>
  <c r="AX6" i="16"/>
  <c r="AX6" i="15"/>
  <c r="AX6" i="13"/>
  <c r="AY7" i="14"/>
  <c r="AY7" i="16"/>
  <c r="AX13" i="19"/>
  <c r="AX7" i="19"/>
  <c r="AY7" i="17"/>
  <c r="AY7" i="13"/>
  <c r="AY7" i="15"/>
  <c r="AR16" i="2"/>
  <c r="AR14" i="2" s="1"/>
  <c r="AS15" i="2"/>
  <c r="AX8" i="15"/>
  <c r="AX8" i="14"/>
  <c r="AX8" i="16"/>
  <c r="AW8" i="19"/>
  <c r="AX8" i="17"/>
  <c r="AW14" i="19"/>
  <c r="AX8" i="13"/>
  <c r="BL5" i="7" l="1"/>
  <c r="BL9" i="7"/>
  <c r="AP29" i="45"/>
  <c r="AR44" i="6"/>
  <c r="AR9" i="6"/>
  <c r="AR37" i="6"/>
  <c r="AY6" i="17"/>
  <c r="AP99" i="18"/>
  <c r="AP66" i="18"/>
  <c r="AR58" i="6"/>
  <c r="AX6" i="19"/>
  <c r="AR23" i="6"/>
  <c r="AP77" i="18"/>
  <c r="AX12" i="19"/>
  <c r="AP88" i="18"/>
  <c r="AR53" i="6"/>
  <c r="AY6" i="14"/>
  <c r="AY6" i="16"/>
  <c r="AY6" i="13"/>
  <c r="AY6" i="15"/>
  <c r="AY13" i="19"/>
  <c r="AZ7" i="14"/>
  <c r="AZ7" i="15"/>
  <c r="AZ7" i="13"/>
  <c r="AY7" i="19"/>
  <c r="AZ7" i="16"/>
  <c r="AZ7" i="17"/>
  <c r="AS16" i="2"/>
  <c r="AT15" i="2"/>
  <c r="AY8" i="15"/>
  <c r="AX14" i="19"/>
  <c r="AY8" i="14"/>
  <c r="AY8" i="16"/>
  <c r="AX8" i="19"/>
  <c r="AY8" i="17"/>
  <c r="AY8" i="13"/>
  <c r="AZ13" i="19" l="1"/>
  <c r="AZ7" i="19"/>
  <c r="BA7" i="13"/>
  <c r="BA7" i="14"/>
  <c r="BA7" i="17"/>
  <c r="BA7" i="16"/>
  <c r="BA7" i="15"/>
  <c r="AU15" i="2"/>
  <c r="AT16" i="2"/>
  <c r="AZ8" i="15"/>
  <c r="AZ8" i="16"/>
  <c r="AY8" i="19"/>
  <c r="AZ8" i="14"/>
  <c r="AZ8" i="17"/>
  <c r="AY14" i="19"/>
  <c r="AZ8" i="13"/>
  <c r="AS14" i="2"/>
  <c r="BM5" i="7" l="1"/>
  <c r="BM9" i="7"/>
  <c r="AY12" i="19"/>
  <c r="AS37" i="6"/>
  <c r="AQ88" i="18"/>
  <c r="AY6" i="19"/>
  <c r="AS53" i="6"/>
  <c r="AQ99" i="18"/>
  <c r="AS58" i="6"/>
  <c r="AQ66" i="18"/>
  <c r="AS9" i="6"/>
  <c r="AQ29" i="45"/>
  <c r="AS23" i="6"/>
  <c r="AQ77" i="18"/>
  <c r="AZ6" i="17"/>
  <c r="AS44" i="6"/>
  <c r="AZ6" i="16"/>
  <c r="AZ6" i="15"/>
  <c r="AZ6" i="13"/>
  <c r="AZ6" i="14"/>
  <c r="BA8" i="15"/>
  <c r="BA8" i="16"/>
  <c r="BA8" i="17"/>
  <c r="AZ8" i="19"/>
  <c r="AZ14" i="19"/>
  <c r="BA8" i="14"/>
  <c r="BA8" i="13"/>
  <c r="AT14" i="2"/>
  <c r="BB7" i="16"/>
  <c r="BB7" i="17"/>
  <c r="BB7" i="15"/>
  <c r="BA7" i="19"/>
  <c r="BA13" i="19"/>
  <c r="BB7" i="13"/>
  <c r="BB7" i="14"/>
  <c r="AU16" i="2"/>
  <c r="AU14" i="2" s="1"/>
  <c r="AV15" i="2"/>
  <c r="BO5" i="7" l="1"/>
  <c r="BO9" i="7"/>
  <c r="BN5" i="7"/>
  <c r="BN9" i="7"/>
  <c r="AS88" i="18"/>
  <c r="BA12" i="19"/>
  <c r="AU9" i="6"/>
  <c r="AS66" i="18"/>
  <c r="AU58" i="6"/>
  <c r="AS29" i="45"/>
  <c r="BB6" i="17"/>
  <c r="AU23" i="6"/>
  <c r="BA6" i="19"/>
  <c r="AU44" i="6"/>
  <c r="AU37" i="6"/>
  <c r="AS77" i="18"/>
  <c r="AS99" i="18"/>
  <c r="AU53" i="6"/>
  <c r="BB6" i="15"/>
  <c r="BB6" i="14"/>
  <c r="BB6" i="13"/>
  <c r="BB6" i="16"/>
  <c r="BA8" i="19"/>
  <c r="BB8" i="17"/>
  <c r="BA14" i="19"/>
  <c r="BB8" i="15"/>
  <c r="BB8" i="14"/>
  <c r="BB8" i="16"/>
  <c r="BB8" i="13"/>
  <c r="BC7" i="13"/>
  <c r="BC7" i="17"/>
  <c r="BC7" i="14"/>
  <c r="BB13" i="19"/>
  <c r="BB7" i="19"/>
  <c r="BC7" i="16"/>
  <c r="BC7" i="15"/>
  <c r="AV16" i="2"/>
  <c r="AV14" i="2" s="1"/>
  <c r="AW15" i="2"/>
  <c r="AR88" i="18"/>
  <c r="AR66" i="18"/>
  <c r="AT9" i="6"/>
  <c r="AR99" i="18"/>
  <c r="AT53" i="6"/>
  <c r="AT58" i="6"/>
  <c r="AT44" i="6"/>
  <c r="AZ12" i="19"/>
  <c r="AT37" i="6"/>
  <c r="BA6" i="17"/>
  <c r="AR77" i="18"/>
  <c r="AT23" i="6"/>
  <c r="AZ6" i="19"/>
  <c r="AR29" i="45"/>
  <c r="BA6" i="14"/>
  <c r="BA6" i="16"/>
  <c r="BA6" i="13"/>
  <c r="BA6" i="15"/>
  <c r="BP5" i="7" l="1"/>
  <c r="BP9" i="7"/>
  <c r="AT88" i="18"/>
  <c r="BB12" i="19"/>
  <c r="AV44" i="6"/>
  <c r="AV58" i="6"/>
  <c r="BC6" i="17"/>
  <c r="BB6" i="19"/>
  <c r="AV53" i="6"/>
  <c r="AT99" i="18"/>
  <c r="AT77" i="18"/>
  <c r="AV37" i="6"/>
  <c r="AT66" i="18"/>
  <c r="AT29" i="45"/>
  <c r="AV23" i="6"/>
  <c r="AV9" i="6"/>
  <c r="BC6" i="16"/>
  <c r="BC6" i="14"/>
  <c r="BC6" i="13"/>
  <c r="BC6" i="15"/>
  <c r="BD7" i="15"/>
  <c r="BC7" i="19"/>
  <c r="BD7" i="17"/>
  <c r="BD7" i="16"/>
  <c r="BD7" i="14"/>
  <c r="BC13" i="19"/>
  <c r="BD7" i="13"/>
  <c r="AW16" i="2"/>
  <c r="AW14" i="2" s="1"/>
  <c r="AX15" i="2"/>
  <c r="BB8" i="19"/>
  <c r="BC8" i="15"/>
  <c r="BB14" i="19"/>
  <c r="BC8" i="16"/>
  <c r="BC8" i="17"/>
  <c r="BC8" i="14"/>
  <c r="BC8" i="13"/>
  <c r="BQ5" i="7" l="1"/>
  <c r="BQ9" i="7"/>
  <c r="BD7" i="19"/>
  <c r="BE7" i="17"/>
  <c r="BE7" i="16"/>
  <c r="BE7" i="13"/>
  <c r="BE7" i="14"/>
  <c r="BE7" i="15"/>
  <c r="BD13" i="19"/>
  <c r="AX16" i="2"/>
  <c r="AX14" i="2" s="1"/>
  <c r="AY15" i="2"/>
  <c r="BD8" i="15"/>
  <c r="BC14" i="19"/>
  <c r="BD8" i="14"/>
  <c r="BD8" i="17"/>
  <c r="BC8" i="19"/>
  <c r="BD8" i="16"/>
  <c r="BD8" i="13"/>
  <c r="AU99" i="18"/>
  <c r="AW44" i="6"/>
  <c r="AU66" i="18"/>
  <c r="AW23" i="6"/>
  <c r="BC6" i="19"/>
  <c r="AU29" i="45"/>
  <c r="AW53" i="6"/>
  <c r="AU77" i="18"/>
  <c r="AU88" i="18"/>
  <c r="AW37" i="6"/>
  <c r="AW58" i="6"/>
  <c r="BD6" i="17"/>
  <c r="BC12" i="19"/>
  <c r="AW9" i="6"/>
  <c r="BD6" i="13"/>
  <c r="BD6" i="16"/>
  <c r="BD6" i="14"/>
  <c r="BD6" i="15"/>
  <c r="BR5" i="7" l="1"/>
  <c r="BR9" i="7"/>
  <c r="AX37" i="6"/>
  <c r="BD6" i="19"/>
  <c r="AX23" i="6"/>
  <c r="AV99" i="18"/>
  <c r="AV29" i="45"/>
  <c r="AV77" i="18"/>
  <c r="AX9" i="6"/>
  <c r="AV88" i="18"/>
  <c r="BD12" i="19"/>
  <c r="AV66" i="18"/>
  <c r="AX58" i="6"/>
  <c r="AX44" i="6"/>
  <c r="BE6" i="17"/>
  <c r="AX53" i="6"/>
  <c r="BE6" i="14"/>
  <c r="BE6" i="15"/>
  <c r="BE6" i="13"/>
  <c r="BE6" i="16"/>
  <c r="BF7" i="14"/>
  <c r="BE13" i="19"/>
  <c r="BE7" i="19"/>
  <c r="BF7" i="15"/>
  <c r="BF7" i="16"/>
  <c r="BF7" i="13"/>
  <c r="BF7" i="17"/>
  <c r="AZ15" i="2"/>
  <c r="AY16" i="2"/>
  <c r="BE8" i="15"/>
  <c r="BE8" i="16"/>
  <c r="BE8" i="17"/>
  <c r="BD14" i="19"/>
  <c r="BD8" i="19"/>
  <c r="BE8" i="14"/>
  <c r="BE8" i="13"/>
  <c r="BG7" i="17" l="1"/>
  <c r="BG7" i="14"/>
  <c r="BG7" i="13"/>
  <c r="BG7" i="16"/>
  <c r="BF7" i="19"/>
  <c r="BG7" i="15"/>
  <c r="BF13" i="19"/>
  <c r="AZ16" i="2"/>
  <c r="BA15" i="2"/>
  <c r="BF8" i="17"/>
  <c r="BF8" i="16"/>
  <c r="BE14" i="19"/>
  <c r="BE8" i="19"/>
  <c r="BF8" i="14"/>
  <c r="BF8" i="15"/>
  <c r="BF8" i="13"/>
  <c r="AY14" i="2"/>
  <c r="BS5" i="7" l="1"/>
  <c r="BS9" i="7"/>
  <c r="AY23" i="6"/>
  <c r="AY37" i="6"/>
  <c r="AY53" i="6"/>
  <c r="BE12" i="19"/>
  <c r="AY9" i="6"/>
  <c r="BF6" i="17"/>
  <c r="AW66" i="18"/>
  <c r="BE6" i="19"/>
  <c r="AW99" i="18"/>
  <c r="AW88" i="18"/>
  <c r="AW29" i="45"/>
  <c r="AY58" i="6"/>
  <c r="AY44" i="6"/>
  <c r="AW77" i="18"/>
  <c r="BF6" i="13"/>
  <c r="BF6" i="14"/>
  <c r="BF6" i="16"/>
  <c r="BF6" i="15"/>
  <c r="BH7" i="17"/>
  <c r="BH7" i="13"/>
  <c r="BG7" i="19"/>
  <c r="BG13" i="19"/>
  <c r="BH7" i="15"/>
  <c r="BH7" i="14"/>
  <c r="BH7" i="16"/>
  <c r="BB15" i="2"/>
  <c r="BA16" i="2"/>
  <c r="BA14" i="2" s="1"/>
  <c r="BF14" i="19"/>
  <c r="BG8" i="15"/>
  <c r="BG8" i="16"/>
  <c r="BG8" i="14"/>
  <c r="BG8" i="17"/>
  <c r="BF8" i="19"/>
  <c r="BG8" i="13"/>
  <c r="AZ14" i="2"/>
  <c r="BU5" i="7" l="1"/>
  <c r="BU9" i="7"/>
  <c r="BT5" i="7"/>
  <c r="BT9" i="7"/>
  <c r="BF6" i="19"/>
  <c r="AZ53" i="6"/>
  <c r="BF12" i="19"/>
  <c r="AZ58" i="6"/>
  <c r="AX66" i="18"/>
  <c r="AZ23" i="6"/>
  <c r="AZ9" i="6"/>
  <c r="AX77" i="18"/>
  <c r="AZ44" i="6"/>
  <c r="BG6" i="17"/>
  <c r="AZ37" i="6"/>
  <c r="AX29" i="45"/>
  <c r="AX99" i="18"/>
  <c r="AX88" i="18"/>
  <c r="BG6" i="15"/>
  <c r="BG6" i="13"/>
  <c r="BG6" i="14"/>
  <c r="BG6" i="16"/>
  <c r="BH8" i="15"/>
  <c r="BG14" i="19"/>
  <c r="BH8" i="14"/>
  <c r="BH8" i="16"/>
  <c r="BG8" i="19"/>
  <c r="BH8" i="17"/>
  <c r="BH8" i="13"/>
  <c r="BG12" i="19"/>
  <c r="AY88" i="18"/>
  <c r="AY66" i="18"/>
  <c r="AY77" i="18"/>
  <c r="BH6" i="17"/>
  <c r="BA23" i="6"/>
  <c r="AY29" i="45"/>
  <c r="BA44" i="6"/>
  <c r="BA58" i="6"/>
  <c r="BA9" i="6"/>
  <c r="AY99" i="18"/>
  <c r="BA37" i="6"/>
  <c r="BG6" i="19"/>
  <c r="BA53" i="6"/>
  <c r="BH6" i="15"/>
  <c r="BH6" i="13"/>
  <c r="BH6" i="16"/>
  <c r="BH6" i="14"/>
  <c r="BI7" i="14"/>
  <c r="BI7" i="17"/>
  <c r="BH7" i="19"/>
  <c r="BH13" i="19"/>
  <c r="BI7" i="15"/>
  <c r="BI7" i="13"/>
  <c r="BI7" i="16"/>
  <c r="BC15" i="2"/>
  <c r="BB16" i="2"/>
  <c r="BB14" i="2" s="1"/>
  <c r="BV9" i="7" l="1"/>
  <c r="BV5" i="7"/>
  <c r="BB58" i="6"/>
  <c r="AZ29" i="45"/>
  <c r="BB23" i="6"/>
  <c r="AZ66" i="18"/>
  <c r="BH6" i="19"/>
  <c r="BB37" i="6"/>
  <c r="AZ99" i="18"/>
  <c r="AZ88" i="18"/>
  <c r="BB9" i="6"/>
  <c r="BB44" i="6"/>
  <c r="BH12" i="19"/>
  <c r="BB53" i="6"/>
  <c r="AZ77" i="18"/>
  <c r="BI6" i="17"/>
  <c r="BI6" i="16"/>
  <c r="BI6" i="13"/>
  <c r="BI6" i="14"/>
  <c r="BI6" i="15"/>
  <c r="BI8" i="14"/>
  <c r="BI8" i="15"/>
  <c r="BH14" i="19"/>
  <c r="BI8" i="16"/>
  <c r="BH8" i="19"/>
  <c r="BI8" i="17"/>
  <c r="BI8" i="13"/>
  <c r="BI7" i="19"/>
  <c r="BJ7" i="15"/>
  <c r="BJ7" i="14"/>
  <c r="BJ7" i="13"/>
  <c r="BJ7" i="17"/>
  <c r="BI13" i="19"/>
  <c r="BJ7" i="16"/>
  <c r="BC16" i="2"/>
  <c r="BC14" i="2" s="1"/>
  <c r="BD15" i="2"/>
  <c r="BW9" i="7" l="1"/>
  <c r="BW5" i="7"/>
  <c r="BA66" i="18"/>
  <c r="BA88" i="18"/>
  <c r="BC37" i="6"/>
  <c r="BI12" i="19"/>
  <c r="BI6" i="19"/>
  <c r="BJ6" i="17"/>
  <c r="BC53" i="6"/>
  <c r="BA29" i="45"/>
  <c r="BC44" i="6"/>
  <c r="BC9" i="6"/>
  <c r="BA77" i="18"/>
  <c r="BC58" i="6"/>
  <c r="BA99" i="18"/>
  <c r="BC23" i="6"/>
  <c r="BJ6" i="16"/>
  <c r="BJ6" i="15"/>
  <c r="BJ6" i="13"/>
  <c r="BJ6" i="14"/>
  <c r="BK7" i="13"/>
  <c r="BJ7" i="19"/>
  <c r="BK7" i="14"/>
  <c r="BK7" i="16"/>
  <c r="BK7" i="17"/>
  <c r="BK7" i="15"/>
  <c r="BJ13" i="19"/>
  <c r="BD16" i="2"/>
  <c r="BE15" i="2"/>
  <c r="BI8" i="19"/>
  <c r="BI14" i="19"/>
  <c r="BJ8" i="16"/>
  <c r="BJ8" i="17"/>
  <c r="BJ8" i="14"/>
  <c r="BJ8" i="15"/>
  <c r="BJ8" i="13"/>
  <c r="BL7" i="13" l="1"/>
  <c r="BL7" i="16"/>
  <c r="BK7" i="19"/>
  <c r="BL7" i="17"/>
  <c r="BL7" i="14"/>
  <c r="BK13" i="19"/>
  <c r="BL7" i="15"/>
  <c r="BE16" i="2"/>
  <c r="BE14" i="2" s="1"/>
  <c r="BF15" i="2"/>
  <c r="BK8" i="16"/>
  <c r="BK8" i="17"/>
  <c r="BK8" i="14"/>
  <c r="BJ8" i="19"/>
  <c r="BK8" i="15"/>
  <c r="BJ14" i="19"/>
  <c r="BK8" i="13"/>
  <c r="BD14" i="2"/>
  <c r="BX5" i="7" l="1"/>
  <c r="BX9" i="7"/>
  <c r="BY5" i="7"/>
  <c r="BY9" i="7"/>
  <c r="BE53" i="6"/>
  <c r="BE37" i="6"/>
  <c r="BE58" i="6"/>
  <c r="BC99" i="18"/>
  <c r="BC29" i="45"/>
  <c r="BC88" i="18"/>
  <c r="BK12" i="19"/>
  <c r="BL6" i="17"/>
  <c r="BE9" i="6"/>
  <c r="BC77" i="18"/>
  <c r="BK6" i="19"/>
  <c r="BC66" i="18"/>
  <c r="BE23" i="6"/>
  <c r="BE44" i="6"/>
  <c r="BL6" i="15"/>
  <c r="BL6" i="13"/>
  <c r="BL6" i="14"/>
  <c r="BL6" i="16"/>
  <c r="BD9" i="6"/>
  <c r="BB99" i="18"/>
  <c r="BB88" i="18"/>
  <c r="BD23" i="6"/>
  <c r="BD44" i="6"/>
  <c r="BB77" i="18"/>
  <c r="BJ6" i="19"/>
  <c r="BD37" i="6"/>
  <c r="BD53" i="6"/>
  <c r="BK6" i="17"/>
  <c r="BJ12" i="19"/>
  <c r="BB66" i="18"/>
  <c r="BD58" i="6"/>
  <c r="BB29" i="45"/>
  <c r="BK6" i="14"/>
  <c r="BK6" i="13"/>
  <c r="BK6" i="15"/>
  <c r="BK6" i="16"/>
  <c r="BL7" i="19"/>
  <c r="BL13" i="19"/>
  <c r="BM7" i="13"/>
  <c r="BM7" i="15"/>
  <c r="BM7" i="16"/>
  <c r="BM7" i="14"/>
  <c r="BM7" i="17"/>
  <c r="BG15" i="2"/>
  <c r="BF16" i="2"/>
  <c r="BK14" i="19"/>
  <c r="BL8" i="14"/>
  <c r="BL8" i="15"/>
  <c r="BK8" i="19"/>
  <c r="BL8" i="16"/>
  <c r="BL8" i="17"/>
  <c r="BL8" i="13"/>
  <c r="BL8" i="19" l="1"/>
  <c r="BM8" i="15"/>
  <c r="BL14" i="19"/>
  <c r="BM8" i="16"/>
  <c r="BM8" i="17"/>
  <c r="BM8" i="14"/>
  <c r="BM8" i="13"/>
  <c r="BN7" i="14"/>
  <c r="BN7" i="13"/>
  <c r="BN7" i="16"/>
  <c r="BN7" i="17"/>
  <c r="BN7" i="15"/>
  <c r="BM13" i="19"/>
  <c r="BM7" i="19"/>
  <c r="BH15" i="2"/>
  <c r="BG16" i="2"/>
  <c r="BF14" i="2"/>
  <c r="BZ5" i="7" l="1"/>
  <c r="BZ9" i="7"/>
  <c r="BM8" i="19"/>
  <c r="BN8" i="14"/>
  <c r="BN8" i="15"/>
  <c r="BN8" i="17"/>
  <c r="BN8" i="16"/>
  <c r="BM14" i="19"/>
  <c r="BN8" i="13"/>
  <c r="BO7" i="15"/>
  <c r="BO7" i="14"/>
  <c r="BO7" i="16"/>
  <c r="BO7" i="17"/>
  <c r="BN7" i="19"/>
  <c r="BN13" i="19"/>
  <c r="BO7" i="13"/>
  <c r="BH16" i="2"/>
  <c r="BI15" i="2"/>
  <c r="BG14" i="2"/>
  <c r="BF53" i="6"/>
  <c r="BF9" i="6"/>
  <c r="BD77" i="18"/>
  <c r="BM6" i="17"/>
  <c r="BF23" i="6"/>
  <c r="BD29" i="45"/>
  <c r="BL6" i="19"/>
  <c r="BF37" i="6"/>
  <c r="BD99" i="18"/>
  <c r="BD88" i="18"/>
  <c r="BF58" i="6"/>
  <c r="BL12" i="19"/>
  <c r="BF44" i="6"/>
  <c r="BD66" i="18"/>
  <c r="BM6" i="13"/>
  <c r="BM6" i="16"/>
  <c r="BM6" i="15"/>
  <c r="BM6" i="14"/>
  <c r="CA5" i="7" l="1"/>
  <c r="CA9" i="7"/>
  <c r="BO13" i="19"/>
  <c r="BP7" i="17"/>
  <c r="BO7" i="19"/>
  <c r="BP7" i="16"/>
  <c r="BP7" i="15"/>
  <c r="BP7" i="14"/>
  <c r="BP7" i="13"/>
  <c r="BJ15" i="2"/>
  <c r="BI16" i="2"/>
  <c r="BN8" i="19"/>
  <c r="BO8" i="16"/>
  <c r="BN14" i="19"/>
  <c r="BO8" i="17"/>
  <c r="BO8" i="15"/>
  <c r="BO8" i="14"/>
  <c r="BO8" i="13"/>
  <c r="BG58" i="6"/>
  <c r="BE99" i="18"/>
  <c r="BE66" i="18"/>
  <c r="BM12" i="19"/>
  <c r="BE88" i="18"/>
  <c r="BE29" i="45"/>
  <c r="BN6" i="17"/>
  <c r="BG23" i="6"/>
  <c r="BG44" i="6"/>
  <c r="BE77" i="18"/>
  <c r="BG9" i="6"/>
  <c r="BM6" i="19"/>
  <c r="BG53" i="6"/>
  <c r="BG37" i="6"/>
  <c r="BN6" i="13"/>
  <c r="BN6" i="15"/>
  <c r="BN6" i="14"/>
  <c r="BN6" i="16"/>
  <c r="BH14" i="2"/>
  <c r="CB5" i="7" l="1"/>
  <c r="CB9" i="7"/>
  <c r="BP8" i="14"/>
  <c r="BP8" i="15"/>
  <c r="BO8" i="19"/>
  <c r="BP8" i="16"/>
  <c r="BO14" i="19"/>
  <c r="BP8" i="17"/>
  <c r="BP8" i="13"/>
  <c r="BQ7" i="14"/>
  <c r="BQ7" i="13"/>
  <c r="BQ7" i="16"/>
  <c r="BP13" i="19"/>
  <c r="BQ7" i="15"/>
  <c r="BQ7" i="17"/>
  <c r="BP7" i="19"/>
  <c r="BK15" i="2"/>
  <c r="BJ16" i="2"/>
  <c r="BJ14" i="2" s="1"/>
  <c r="BH53" i="6"/>
  <c r="BH23" i="6"/>
  <c r="BN12" i="19"/>
  <c r="BF88" i="18"/>
  <c r="BH9" i="6"/>
  <c r="BN6" i="19"/>
  <c r="BF66" i="18"/>
  <c r="BF77" i="18"/>
  <c r="BO6" i="17"/>
  <c r="BH44" i="6"/>
  <c r="BF99" i="18"/>
  <c r="BH58" i="6"/>
  <c r="BF29" i="45"/>
  <c r="BH37" i="6"/>
  <c r="BO6" i="15"/>
  <c r="BO6" i="16"/>
  <c r="BO6" i="14"/>
  <c r="BO6" i="13"/>
  <c r="BI14" i="2"/>
  <c r="CD5" i="7" l="1"/>
  <c r="CD9" i="7"/>
  <c r="CC5" i="7"/>
  <c r="CC9" i="7"/>
  <c r="BH99" i="18"/>
  <c r="BQ6" i="17"/>
  <c r="BH29" i="45"/>
  <c r="BP12" i="19"/>
  <c r="BJ44" i="6"/>
  <c r="BH88" i="18"/>
  <c r="BJ9" i="6"/>
  <c r="BJ53" i="6"/>
  <c r="BH77" i="18"/>
  <c r="BJ23" i="6"/>
  <c r="BJ58" i="6"/>
  <c r="BH66" i="18"/>
  <c r="BJ37" i="6"/>
  <c r="BP6" i="19"/>
  <c r="BQ6" i="16"/>
  <c r="BQ6" i="13"/>
  <c r="BQ6" i="14"/>
  <c r="BQ6" i="15"/>
  <c r="BQ8" i="14"/>
  <c r="BP8" i="19"/>
  <c r="BQ8" i="15"/>
  <c r="BQ8" i="16"/>
  <c r="BQ8" i="17"/>
  <c r="BP14" i="19"/>
  <c r="BQ8" i="13"/>
  <c r="BR7" i="13"/>
  <c r="BR7" i="17"/>
  <c r="BQ13" i="19"/>
  <c r="BQ7" i="19"/>
  <c r="BR7" i="16"/>
  <c r="BR7" i="15"/>
  <c r="BR7" i="14"/>
  <c r="BK16" i="2"/>
  <c r="BL15" i="2"/>
  <c r="BI9" i="6"/>
  <c r="BI23" i="6"/>
  <c r="BI44" i="6"/>
  <c r="BG66" i="18"/>
  <c r="BG77" i="18"/>
  <c r="BP6" i="17"/>
  <c r="BI37" i="6"/>
  <c r="BO12" i="19"/>
  <c r="BI58" i="6"/>
  <c r="BG88" i="18"/>
  <c r="BG29" i="45"/>
  <c r="BG99" i="18"/>
  <c r="BI53" i="6"/>
  <c r="BO6" i="19"/>
  <c r="BP6" i="14"/>
  <c r="BP6" i="15"/>
  <c r="BP6" i="16"/>
  <c r="BP6" i="13"/>
  <c r="BQ14" i="19" l="1"/>
  <c r="BR8" i="17"/>
  <c r="BR8" i="15"/>
  <c r="BR8" i="14"/>
  <c r="BQ8" i="19"/>
  <c r="BR8" i="16"/>
  <c r="BR8" i="13"/>
  <c r="BR7" i="19"/>
  <c r="BS7" i="15"/>
  <c r="BS7" i="17"/>
  <c r="BR13" i="19"/>
  <c r="BS7" i="16"/>
  <c r="BS7" i="14"/>
  <c r="BS7" i="13"/>
  <c r="BM15" i="2"/>
  <c r="BL16" i="2"/>
  <c r="BK14" i="2"/>
  <c r="CE5" i="7" l="1"/>
  <c r="CE9" i="7"/>
  <c r="BS8" i="14"/>
  <c r="BS8" i="17"/>
  <c r="BS8" i="16"/>
  <c r="BR14" i="19"/>
  <c r="BR8" i="19"/>
  <c r="BS8" i="15"/>
  <c r="BS8" i="13"/>
  <c r="BL14" i="2"/>
  <c r="BQ6" i="19"/>
  <c r="BI77" i="18"/>
  <c r="BI66" i="18"/>
  <c r="BQ12" i="19"/>
  <c r="BK44" i="6"/>
  <c r="BK37" i="6"/>
  <c r="BK9" i="6"/>
  <c r="BI88" i="18"/>
  <c r="BI29" i="45"/>
  <c r="BK23" i="6"/>
  <c r="BR6" i="17"/>
  <c r="BK53" i="6"/>
  <c r="BI99" i="18"/>
  <c r="BK58" i="6"/>
  <c r="BR6" i="14"/>
  <c r="BR6" i="13"/>
  <c r="BR6" i="16"/>
  <c r="BR6" i="15"/>
  <c r="BT7" i="15"/>
  <c r="BS13" i="19"/>
  <c r="BT7" i="13"/>
  <c r="BS7" i="19"/>
  <c r="BT7" i="17"/>
  <c r="BT7" i="14"/>
  <c r="BT7" i="16"/>
  <c r="BM16" i="2"/>
  <c r="BM14" i="2" s="1"/>
  <c r="BN15" i="2"/>
  <c r="CF5" i="7" l="1"/>
  <c r="CF9" i="7"/>
  <c r="CG5" i="7"/>
  <c r="CG9" i="7"/>
  <c r="BU7" i="16"/>
  <c r="BU7" i="17"/>
  <c r="BT7" i="19"/>
  <c r="BU7" i="15"/>
  <c r="BT13" i="19"/>
  <c r="BU7" i="14"/>
  <c r="BU7" i="13"/>
  <c r="BO15" i="2"/>
  <c r="BN16" i="2"/>
  <c r="BT8" i="16"/>
  <c r="BT8" i="17"/>
  <c r="BS14" i="19"/>
  <c r="BS8" i="19"/>
  <c r="BT8" i="15"/>
  <c r="BT8" i="14"/>
  <c r="BT8" i="13"/>
  <c r="BL9" i="6"/>
  <c r="BS6" i="17"/>
  <c r="BL44" i="6"/>
  <c r="BJ88" i="18"/>
  <c r="BJ99" i="18"/>
  <c r="BL53" i="6"/>
  <c r="BJ66" i="18"/>
  <c r="BR6" i="19"/>
  <c r="BL23" i="6"/>
  <c r="BL58" i="6"/>
  <c r="BJ29" i="45"/>
  <c r="BL37" i="6"/>
  <c r="BR12" i="19"/>
  <c r="BJ77" i="18"/>
  <c r="BS6" i="14"/>
  <c r="BS6" i="13"/>
  <c r="BS6" i="16"/>
  <c r="BS6" i="15"/>
  <c r="BM58" i="6"/>
  <c r="BM53" i="6"/>
  <c r="BM23" i="6"/>
  <c r="BK77" i="18"/>
  <c r="BK99" i="18"/>
  <c r="BM9" i="6"/>
  <c r="BK88" i="18"/>
  <c r="BM37" i="6"/>
  <c r="BK66" i="18"/>
  <c r="BS6" i="19"/>
  <c r="BK29" i="45"/>
  <c r="BS12" i="19"/>
  <c r="BT6" i="17"/>
  <c r="BM44" i="6"/>
  <c r="BT6" i="16"/>
  <c r="BT6" i="14"/>
  <c r="BT6" i="15"/>
  <c r="BT6" i="13"/>
  <c r="BT8" i="19" l="1"/>
  <c r="BU8" i="17"/>
  <c r="BU8" i="16"/>
  <c r="BT14" i="19"/>
  <c r="BU8" i="15"/>
  <c r="BU8" i="14"/>
  <c r="BU8" i="13"/>
  <c r="BV7" i="13"/>
  <c r="BU7" i="19"/>
  <c r="BV7" i="16"/>
  <c r="BV7" i="14"/>
  <c r="BV7" i="17"/>
  <c r="BV7" i="15"/>
  <c r="BU13" i="19"/>
  <c r="BO16" i="2"/>
  <c r="BP15" i="2"/>
  <c r="BN14" i="2"/>
  <c r="CH9" i="7" l="1"/>
  <c r="CH5" i="7"/>
  <c r="BN44" i="6"/>
  <c r="BN53" i="6"/>
  <c r="BL77" i="18"/>
  <c r="BL66" i="18"/>
  <c r="BN23" i="6"/>
  <c r="BN58" i="6"/>
  <c r="BL88" i="18"/>
  <c r="BN37" i="6"/>
  <c r="BL29" i="45"/>
  <c r="BL99" i="18"/>
  <c r="BU6" i="17"/>
  <c r="BT12" i="19"/>
  <c r="BN9" i="6"/>
  <c r="BT6" i="19"/>
  <c r="BU6" i="15"/>
  <c r="BU6" i="16"/>
  <c r="BU6" i="14"/>
  <c r="BU6" i="13"/>
  <c r="BV7" i="19"/>
  <c r="BW7" i="13"/>
  <c r="BV13" i="19"/>
  <c r="BW7" i="16"/>
  <c r="BW7" i="17"/>
  <c r="BW7" i="15"/>
  <c r="BW7" i="14"/>
  <c r="BP16" i="2"/>
  <c r="BQ15" i="2"/>
  <c r="BV8" i="16"/>
  <c r="BU8" i="19"/>
  <c r="BV8" i="14"/>
  <c r="BV8" i="15"/>
  <c r="BU14" i="19"/>
  <c r="BV8" i="17"/>
  <c r="BV8" i="13"/>
  <c r="BO14" i="2"/>
  <c r="CI5" i="7" l="1"/>
  <c r="CI9" i="7"/>
  <c r="BV6" i="17"/>
  <c r="BO53" i="6"/>
  <c r="BM88" i="18"/>
  <c r="BM66" i="18"/>
  <c r="BU12" i="19"/>
  <c r="BU6" i="19"/>
  <c r="BM77" i="18"/>
  <c r="BM99" i="18"/>
  <c r="BO58" i="6"/>
  <c r="BO37" i="6"/>
  <c r="BO44" i="6"/>
  <c r="BO9" i="6"/>
  <c r="BO23" i="6"/>
  <c r="BM29" i="45"/>
  <c r="BV6" i="13"/>
  <c r="BV6" i="15"/>
  <c r="BV6" i="14"/>
  <c r="BV6" i="16"/>
  <c r="BW8" i="14"/>
  <c r="BV8" i="19"/>
  <c r="BW8" i="16"/>
  <c r="BW8" i="17"/>
  <c r="BW8" i="15"/>
  <c r="BV14" i="19"/>
  <c r="BW8" i="13"/>
  <c r="BW13" i="19"/>
  <c r="BX7" i="14"/>
  <c r="BX7" i="16"/>
  <c r="BX7" i="17"/>
  <c r="BX7" i="13"/>
  <c r="BW7" i="19"/>
  <c r="BX7" i="15"/>
  <c r="BR15" i="2"/>
  <c r="BQ16" i="2"/>
  <c r="BQ14" i="2" s="1"/>
  <c r="BP14" i="2"/>
  <c r="CK5" i="7" l="1"/>
  <c r="CK9" i="7"/>
  <c r="CJ5" i="7"/>
  <c r="CJ9" i="7"/>
  <c r="BW12" i="19"/>
  <c r="BX6" i="17"/>
  <c r="BO99" i="18"/>
  <c r="BO77" i="18"/>
  <c r="BW6" i="19"/>
  <c r="BQ44" i="6"/>
  <c r="BO88" i="18"/>
  <c r="BQ37" i="6"/>
  <c r="BQ58" i="6"/>
  <c r="BO29" i="45"/>
  <c r="BO66" i="18"/>
  <c r="BQ23" i="6"/>
  <c r="BQ9" i="6"/>
  <c r="BQ53" i="6"/>
  <c r="BX6" i="13"/>
  <c r="BX6" i="15"/>
  <c r="BX6" i="14"/>
  <c r="BX6" i="16"/>
  <c r="BY7" i="17"/>
  <c r="BY7" i="14"/>
  <c r="BY7" i="16"/>
  <c r="BY7" i="15"/>
  <c r="BY7" i="13"/>
  <c r="BX13" i="19"/>
  <c r="BX7" i="19"/>
  <c r="BS15" i="2"/>
  <c r="BR16" i="2"/>
  <c r="BR14" i="2" s="1"/>
  <c r="BP37" i="6"/>
  <c r="BN29" i="45"/>
  <c r="BP58" i="6"/>
  <c r="BV12" i="19"/>
  <c r="BV6" i="19"/>
  <c r="BN88" i="18"/>
  <c r="BP9" i="6"/>
  <c r="BP53" i="6"/>
  <c r="BP44" i="6"/>
  <c r="BN77" i="18"/>
  <c r="BN99" i="18"/>
  <c r="BW6" i="17"/>
  <c r="BN66" i="18"/>
  <c r="BW6" i="16"/>
  <c r="BP23" i="6"/>
  <c r="BW6" i="13"/>
  <c r="BW6" i="15"/>
  <c r="BW6" i="14"/>
  <c r="BW14" i="19"/>
  <c r="BX8" i="16"/>
  <c r="BX8" i="17"/>
  <c r="BW8" i="19"/>
  <c r="BX8" i="15"/>
  <c r="BX8" i="14"/>
  <c r="BX8" i="13"/>
  <c r="CL9" i="7" l="1"/>
  <c r="CL5" i="7"/>
  <c r="BR9" i="6"/>
  <c r="BX6" i="19"/>
  <c r="BR53" i="6"/>
  <c r="BR58" i="6"/>
  <c r="BP77" i="18"/>
  <c r="BY6" i="17"/>
  <c r="BP66" i="18"/>
  <c r="BP29" i="45"/>
  <c r="BX12" i="19"/>
  <c r="BR23" i="6"/>
  <c r="BP99" i="18"/>
  <c r="BR37" i="6"/>
  <c r="BP88" i="18"/>
  <c r="BR44" i="6"/>
  <c r="BY6" i="14"/>
  <c r="BY6" i="16"/>
  <c r="BY6" i="15"/>
  <c r="BY6" i="13"/>
  <c r="BZ7" i="13"/>
  <c r="BZ7" i="15"/>
  <c r="BZ7" i="16"/>
  <c r="BY7" i="19"/>
  <c r="BY13" i="19"/>
  <c r="BZ7" i="17"/>
  <c r="BZ7" i="14"/>
  <c r="BT15" i="2"/>
  <c r="BS16" i="2"/>
  <c r="BX8" i="19"/>
  <c r="BY8" i="16"/>
  <c r="BX14" i="19"/>
  <c r="BY8" i="15"/>
  <c r="BY8" i="17"/>
  <c r="BY8" i="14"/>
  <c r="BY8" i="13"/>
  <c r="BZ8" i="14" l="1"/>
  <c r="BZ8" i="17"/>
  <c r="BZ8" i="15"/>
  <c r="BZ8" i="16"/>
  <c r="BY8" i="19"/>
  <c r="BY14" i="19"/>
  <c r="BZ8" i="13"/>
  <c r="CA7" i="13"/>
  <c r="BZ13" i="19"/>
  <c r="BZ7" i="19"/>
  <c r="CA7" i="16"/>
  <c r="CA7" i="14"/>
  <c r="CA7" i="17"/>
  <c r="CA7" i="15"/>
  <c r="BT16" i="2"/>
  <c r="BT14" i="2" s="1"/>
  <c r="BU15" i="2"/>
  <c r="BS14" i="2"/>
  <c r="CN5" i="7" l="1"/>
  <c r="CN9" i="7"/>
  <c r="CM9" i="7"/>
  <c r="CM5" i="7"/>
  <c r="CA8" i="16"/>
  <c r="CA8" i="15"/>
  <c r="CA8" i="17"/>
  <c r="BZ14" i="19"/>
  <c r="CA8" i="14"/>
  <c r="BZ8" i="19"/>
  <c r="CA8" i="13"/>
  <c r="BS37" i="6"/>
  <c r="BQ77" i="18"/>
  <c r="BQ88" i="18"/>
  <c r="BY12" i="19"/>
  <c r="BY6" i="19"/>
  <c r="BQ99" i="18"/>
  <c r="BZ6" i="17"/>
  <c r="BS9" i="6"/>
  <c r="BS53" i="6"/>
  <c r="BQ29" i="45"/>
  <c r="BS44" i="6"/>
  <c r="BS23" i="6"/>
  <c r="BS58" i="6"/>
  <c r="BQ66" i="18"/>
  <c r="BZ6" i="16"/>
  <c r="BZ6" i="13"/>
  <c r="BZ6" i="15"/>
  <c r="BZ6" i="14"/>
  <c r="BT37" i="6"/>
  <c r="BR99" i="18"/>
  <c r="BR29" i="45"/>
  <c r="BR77" i="18"/>
  <c r="BT53" i="6"/>
  <c r="CA6" i="17"/>
  <c r="BT58" i="6"/>
  <c r="BR88" i="18"/>
  <c r="BT9" i="6"/>
  <c r="BZ6" i="19"/>
  <c r="BT44" i="6"/>
  <c r="BT23" i="6"/>
  <c r="BR66" i="18"/>
  <c r="BZ12" i="19"/>
  <c r="CA6" i="16"/>
  <c r="CA6" i="13"/>
  <c r="CA6" i="15"/>
  <c r="CA6" i="14"/>
  <c r="CB7" i="15"/>
  <c r="CA7" i="19"/>
  <c r="CB7" i="13"/>
  <c r="CB7" i="17"/>
  <c r="CB7" i="16"/>
  <c r="CA13" i="19"/>
  <c r="CB7" i="14"/>
  <c r="BU16" i="2"/>
  <c r="BV15" i="2"/>
  <c r="CA8" i="19" l="1"/>
  <c r="CB8" i="16"/>
  <c r="CA14" i="19"/>
  <c r="CB8" i="17"/>
  <c r="CB8" i="14"/>
  <c r="CB8" i="15"/>
  <c r="CB8" i="13"/>
  <c r="CC7" i="17"/>
  <c r="CC7" i="13"/>
  <c r="CC7" i="15"/>
  <c r="CB7" i="19"/>
  <c r="CC7" i="14"/>
  <c r="CB13" i="19"/>
  <c r="CC7" i="16"/>
  <c r="BW15" i="2"/>
  <c r="BV16" i="2"/>
  <c r="BV14" i="2" s="1"/>
  <c r="BU14" i="2"/>
  <c r="CO5" i="7" l="1"/>
  <c r="CO9" i="7"/>
  <c r="CP5" i="7"/>
  <c r="CP9" i="7"/>
  <c r="CD7" i="14"/>
  <c r="CD7" i="15"/>
  <c r="CC7" i="19"/>
  <c r="CD7" i="13"/>
  <c r="CC13" i="19"/>
  <c r="CD7" i="17"/>
  <c r="CD7" i="16"/>
  <c r="BW16" i="2"/>
  <c r="BX15" i="2"/>
  <c r="BT29" i="45"/>
  <c r="BT99" i="18"/>
  <c r="BT88" i="18"/>
  <c r="BV58" i="6"/>
  <c r="BT66" i="18"/>
  <c r="BV44" i="6"/>
  <c r="BV53" i="6"/>
  <c r="BV23" i="6"/>
  <c r="CB6" i="19"/>
  <c r="BV37" i="6"/>
  <c r="CC6" i="17"/>
  <c r="CB12" i="19"/>
  <c r="BV9" i="6"/>
  <c r="BT77" i="18"/>
  <c r="CC6" i="13"/>
  <c r="CC6" i="15"/>
  <c r="CC6" i="16"/>
  <c r="CC6" i="14"/>
  <c r="BU58" i="6"/>
  <c r="CA12" i="19"/>
  <c r="BU37" i="6"/>
  <c r="BS88" i="18"/>
  <c r="BU53" i="6"/>
  <c r="BS77" i="18"/>
  <c r="BU44" i="6"/>
  <c r="CA6" i="19"/>
  <c r="CB6" i="17"/>
  <c r="BS99" i="18"/>
  <c r="BU23" i="6"/>
  <c r="BS66" i="18"/>
  <c r="BS29" i="45"/>
  <c r="BU9" i="6"/>
  <c r="CB6" i="15"/>
  <c r="CB6" i="13"/>
  <c r="CB6" i="14"/>
  <c r="CB6" i="16"/>
  <c r="CC8" i="17"/>
  <c r="CC8" i="15"/>
  <c r="CB14" i="19"/>
  <c r="CC8" i="14"/>
  <c r="CC8" i="16"/>
  <c r="CB8" i="19"/>
  <c r="CC8" i="13"/>
  <c r="CE7" i="13" l="1"/>
  <c r="CE7" i="14"/>
  <c r="CE7" i="17"/>
  <c r="CE7" i="15"/>
  <c r="CD13" i="19"/>
  <c r="CE7" i="16"/>
  <c r="CD7" i="19"/>
  <c r="BY15" i="2"/>
  <c r="BX16" i="2"/>
  <c r="BX14" i="2" s="1"/>
  <c r="CC14" i="19"/>
  <c r="CD8" i="17"/>
  <c r="CD8" i="15"/>
  <c r="CC8" i="19"/>
  <c r="CD8" i="14"/>
  <c r="CD8" i="16"/>
  <c r="CD8" i="13"/>
  <c r="BW14" i="2"/>
  <c r="CR5" i="7" l="1"/>
  <c r="CR9" i="7"/>
  <c r="CQ5" i="7"/>
  <c r="CQ9" i="7"/>
  <c r="BX9" i="6"/>
  <c r="CD6" i="19"/>
  <c r="BV88" i="18"/>
  <c r="BV66" i="18"/>
  <c r="BX53" i="6"/>
  <c r="BV77" i="18"/>
  <c r="BV29" i="45"/>
  <c r="CE6" i="17"/>
  <c r="BX44" i="6"/>
  <c r="BX23" i="6"/>
  <c r="BX58" i="6"/>
  <c r="BV99" i="18"/>
  <c r="CD12" i="19"/>
  <c r="BX37" i="6"/>
  <c r="CE6" i="13"/>
  <c r="CE6" i="16"/>
  <c r="CE6" i="14"/>
  <c r="CE6" i="15"/>
  <c r="BU77" i="18"/>
  <c r="BW23" i="6"/>
  <c r="BU29" i="45"/>
  <c r="BU99" i="18"/>
  <c r="BW37" i="6"/>
  <c r="CD6" i="17"/>
  <c r="BW9" i="6"/>
  <c r="BW44" i="6"/>
  <c r="BU66" i="18"/>
  <c r="CC6" i="19"/>
  <c r="BU88" i="18"/>
  <c r="CC12" i="19"/>
  <c r="BW58" i="6"/>
  <c r="BW53" i="6"/>
  <c r="CD6" i="15"/>
  <c r="CD6" i="16"/>
  <c r="CD6" i="13"/>
  <c r="CD6" i="14"/>
  <c r="CD8" i="19"/>
  <c r="CE8" i="17"/>
  <c r="CE8" i="14"/>
  <c r="CE8" i="15"/>
  <c r="CE8" i="16"/>
  <c r="CD14" i="19"/>
  <c r="CE8" i="13"/>
  <c r="CF7" i="14"/>
  <c r="CF7" i="17"/>
  <c r="CF7" i="15"/>
  <c r="CE13" i="19"/>
  <c r="CE7" i="19"/>
  <c r="CF7" i="13"/>
  <c r="CF7" i="16"/>
  <c r="BZ15" i="2"/>
  <c r="BY16" i="2"/>
  <c r="CE8" i="19" l="1"/>
  <c r="CF8" i="15"/>
  <c r="CF8" i="17"/>
  <c r="CE14" i="19"/>
  <c r="CF8" i="14"/>
  <c r="CF8" i="16"/>
  <c r="CF8" i="13"/>
  <c r="BY14" i="2"/>
  <c r="CF7" i="19"/>
  <c r="CF13" i="19"/>
  <c r="CG7" i="17"/>
  <c r="CG7" i="16"/>
  <c r="CG7" i="14"/>
  <c r="CG7" i="13"/>
  <c r="CG7" i="15"/>
  <c r="CA15" i="2"/>
  <c r="BZ16" i="2"/>
  <c r="CS5" i="7" l="1"/>
  <c r="CS9" i="7"/>
  <c r="BW77" i="18"/>
  <c r="BY23" i="6"/>
  <c r="BW99" i="18"/>
  <c r="BW29" i="45"/>
  <c r="CF6" i="17"/>
  <c r="BY53" i="6"/>
  <c r="BY9" i="6"/>
  <c r="BY37" i="6"/>
  <c r="CE6" i="19"/>
  <c r="CE12" i="19"/>
  <c r="BW88" i="18"/>
  <c r="BY44" i="6"/>
  <c r="BW66" i="18"/>
  <c r="BY58" i="6"/>
  <c r="CF6" i="15"/>
  <c r="CF6" i="13"/>
  <c r="CF6" i="14"/>
  <c r="CF6" i="16"/>
  <c r="CH7" i="14"/>
  <c r="CH7" i="13"/>
  <c r="CH7" i="16"/>
  <c r="CH7" i="15"/>
  <c r="CG13" i="19"/>
  <c r="CH7" i="17"/>
  <c r="CG7" i="19"/>
  <c r="CA16" i="2"/>
  <c r="CB15" i="2"/>
  <c r="CG8" i="16"/>
  <c r="CG8" i="15"/>
  <c r="CG8" i="14"/>
  <c r="CF8" i="19"/>
  <c r="CG8" i="17"/>
  <c r="CF14" i="19"/>
  <c r="CG8" i="13"/>
  <c r="BZ14" i="2"/>
  <c r="CT9" i="7" l="1"/>
  <c r="CT5" i="7"/>
  <c r="CH7" i="19"/>
  <c r="CI7" i="14"/>
  <c r="CI7" i="17"/>
  <c r="CH13" i="19"/>
  <c r="CI7" i="16"/>
  <c r="CI7" i="15"/>
  <c r="CI7" i="13"/>
  <c r="CB16" i="2"/>
  <c r="CB14" i="2" s="1"/>
  <c r="CC15" i="2"/>
  <c r="BX66" i="18"/>
  <c r="CF6" i="19"/>
  <c r="BX88" i="18"/>
  <c r="BZ37" i="6"/>
  <c r="CG6" i="17"/>
  <c r="BX29" i="45"/>
  <c r="CF12" i="19"/>
  <c r="BZ9" i="6"/>
  <c r="BZ53" i="6"/>
  <c r="BX77" i="18"/>
  <c r="BZ44" i="6"/>
  <c r="BX99" i="18"/>
  <c r="BZ23" i="6"/>
  <c r="BZ58" i="6"/>
  <c r="CG6" i="14"/>
  <c r="CG6" i="15"/>
  <c r="CG6" i="16"/>
  <c r="CG6" i="13"/>
  <c r="CH8" i="16"/>
  <c r="CH8" i="17"/>
  <c r="CG8" i="19"/>
  <c r="CH8" i="14"/>
  <c r="CG14" i="19"/>
  <c r="CH8" i="15"/>
  <c r="CH8" i="13"/>
  <c r="CA14" i="2"/>
  <c r="CV5" i="7" l="1"/>
  <c r="CV9" i="7"/>
  <c r="CU9" i="7"/>
  <c r="CU5" i="7"/>
  <c r="CI6" i="17"/>
  <c r="CH6" i="19"/>
  <c r="CB58" i="6"/>
  <c r="BZ29" i="45"/>
  <c r="BZ77" i="18"/>
  <c r="BZ99" i="18"/>
  <c r="CH12" i="19"/>
  <c r="CB23" i="6"/>
  <c r="CB44" i="6"/>
  <c r="CB37" i="6"/>
  <c r="CB53" i="6"/>
  <c r="BZ66" i="18"/>
  <c r="CB9" i="6"/>
  <c r="BZ88" i="18"/>
  <c r="CI6" i="15"/>
  <c r="CI6" i="14"/>
  <c r="CI6" i="13"/>
  <c r="CI6" i="16"/>
  <c r="CJ7" i="16"/>
  <c r="CJ7" i="13"/>
  <c r="CJ7" i="17"/>
  <c r="CJ7" i="15"/>
  <c r="CI13" i="19"/>
  <c r="CI7" i="19"/>
  <c r="CJ7" i="14"/>
  <c r="CC16" i="2"/>
  <c r="CD15" i="2"/>
  <c r="CH6" i="17"/>
  <c r="CG6" i="19"/>
  <c r="BY66" i="18"/>
  <c r="BY99" i="18"/>
  <c r="CA44" i="6"/>
  <c r="BY29" i="45"/>
  <c r="CA53" i="6"/>
  <c r="CA23" i="6"/>
  <c r="CG12" i="19"/>
  <c r="BY88" i="18"/>
  <c r="CA37" i="6"/>
  <c r="CA9" i="6"/>
  <c r="BY77" i="18"/>
  <c r="CA58" i="6"/>
  <c r="CH6" i="16"/>
  <c r="CH6" i="14"/>
  <c r="CH6" i="15"/>
  <c r="CH6" i="13"/>
  <c r="CI8" i="16"/>
  <c r="CH14" i="19"/>
  <c r="CH8" i="19"/>
  <c r="CI8" i="14"/>
  <c r="CI8" i="17"/>
  <c r="CI8" i="15"/>
  <c r="CI8" i="13"/>
  <c r="CK7" i="13" l="1"/>
  <c r="CJ7" i="19"/>
  <c r="CK7" i="16"/>
  <c r="CK7" i="17"/>
  <c r="CK7" i="14"/>
  <c r="CK7" i="15"/>
  <c r="CJ13" i="19"/>
  <c r="CE15" i="2"/>
  <c r="CD16" i="2"/>
  <c r="CI8" i="19"/>
  <c r="CJ8" i="17"/>
  <c r="CJ8" i="15"/>
  <c r="CI14" i="19"/>
  <c r="CJ8" i="14"/>
  <c r="CJ8" i="16"/>
  <c r="CJ8" i="13"/>
  <c r="CC14" i="2"/>
  <c r="CW5" i="7" l="1"/>
  <c r="CW9" i="7"/>
  <c r="CL7" i="13"/>
  <c r="CK13" i="19"/>
  <c r="CL7" i="17"/>
  <c r="CL7" i="14"/>
  <c r="CK7" i="19"/>
  <c r="CL7" i="15"/>
  <c r="CL7" i="16"/>
  <c r="CE16" i="2"/>
  <c r="CE14" i="2" s="1"/>
  <c r="CF15" i="2"/>
  <c r="CC37" i="6"/>
  <c r="CA29" i="45"/>
  <c r="CA88" i="18"/>
  <c r="CA66" i="18"/>
  <c r="CC23" i="6"/>
  <c r="CC58" i="6"/>
  <c r="CA77" i="18"/>
  <c r="CC9" i="6"/>
  <c r="CI12" i="19"/>
  <c r="CC44" i="6"/>
  <c r="CJ6" i="17"/>
  <c r="CC53" i="6"/>
  <c r="CI6" i="19"/>
  <c r="CA99" i="18"/>
  <c r="CJ6" i="15"/>
  <c r="CJ6" i="14"/>
  <c r="CJ6" i="13"/>
  <c r="CJ6" i="16"/>
  <c r="CK8" i="17"/>
  <c r="CJ14" i="19"/>
  <c r="CJ8" i="19"/>
  <c r="CK8" i="15"/>
  <c r="CK8" i="14"/>
  <c r="CK8" i="16"/>
  <c r="CK8" i="13"/>
  <c r="CD14" i="2"/>
  <c r="CX9" i="7" l="1"/>
  <c r="CX5" i="7"/>
  <c r="CY5" i="7"/>
  <c r="CY9" i="7"/>
  <c r="CC99" i="18"/>
  <c r="CC77" i="18"/>
  <c r="CC88" i="18"/>
  <c r="CE23" i="6"/>
  <c r="CC29" i="45"/>
  <c r="CK6" i="19"/>
  <c r="CL6" i="17"/>
  <c r="CE9" i="6"/>
  <c r="CC66" i="18"/>
  <c r="CE44" i="6"/>
  <c r="CE37" i="6"/>
  <c r="CE53" i="6"/>
  <c r="CK12" i="19"/>
  <c r="CE58" i="6"/>
  <c r="CL6" i="15"/>
  <c r="CL6" i="16"/>
  <c r="CL6" i="14"/>
  <c r="CL6" i="13"/>
  <c r="CL8" i="15"/>
  <c r="CL8" i="14"/>
  <c r="CK8" i="19"/>
  <c r="CK14" i="19"/>
  <c r="CL8" i="16"/>
  <c r="CL8" i="17"/>
  <c r="CL8" i="13"/>
  <c r="CM7" i="16"/>
  <c r="CL13" i="19"/>
  <c r="CM7" i="14"/>
  <c r="CM7" i="13"/>
  <c r="CM7" i="17"/>
  <c r="CL7" i="19"/>
  <c r="CM7" i="15"/>
  <c r="CG15" i="2"/>
  <c r="CF16" i="2"/>
  <c r="CB88" i="18"/>
  <c r="CJ6" i="19"/>
  <c r="CB99" i="18"/>
  <c r="CD53" i="6"/>
  <c r="CD23" i="6"/>
  <c r="CB66" i="18"/>
  <c r="CJ12" i="19"/>
  <c r="CB29" i="45"/>
  <c r="CD37" i="6"/>
  <c r="CB77" i="18"/>
  <c r="CD9" i="6"/>
  <c r="CK6" i="17"/>
  <c r="CD44" i="6"/>
  <c r="CD58" i="6"/>
  <c r="CK6" i="15"/>
  <c r="CK6" i="16"/>
  <c r="CK6" i="14"/>
  <c r="CK6" i="13"/>
  <c r="CN7" i="13" l="1"/>
  <c r="CN7" i="17"/>
  <c r="CN7" i="16"/>
  <c r="CM13" i="19"/>
  <c r="CN7" i="14"/>
  <c r="CM7" i="19"/>
  <c r="CN7" i="15"/>
  <c r="CG16" i="2"/>
  <c r="CH15" i="2"/>
  <c r="CM8" i="14"/>
  <c r="CM8" i="17"/>
  <c r="CM8" i="16"/>
  <c r="CL14" i="19"/>
  <c r="CL8" i="19"/>
  <c r="CM8" i="15"/>
  <c r="CM8" i="13"/>
  <c r="CF14" i="2"/>
  <c r="CZ5" i="7" l="1"/>
  <c r="CZ9" i="7"/>
  <c r="CN8" i="15"/>
  <c r="CN8" i="16"/>
  <c r="CM14" i="19"/>
  <c r="CM8" i="19"/>
  <c r="CN8" i="14"/>
  <c r="CN8" i="17"/>
  <c r="CN8" i="13"/>
  <c r="CG14" i="2"/>
  <c r="CF53" i="6"/>
  <c r="CD77" i="18"/>
  <c r="CF44" i="6"/>
  <c r="CD99" i="18"/>
  <c r="CF37" i="6"/>
  <c r="CD88" i="18"/>
  <c r="CD66" i="18"/>
  <c r="CF58" i="6"/>
  <c r="CM6" i="17"/>
  <c r="CL6" i="19"/>
  <c r="CL12" i="19"/>
  <c r="CF9" i="6"/>
  <c r="CD29" i="45"/>
  <c r="CF23" i="6"/>
  <c r="CM6" i="13"/>
  <c r="CM6" i="14"/>
  <c r="CM6" i="15"/>
  <c r="CM6" i="16"/>
  <c r="CO7" i="14"/>
  <c r="CO7" i="17"/>
  <c r="CO7" i="15"/>
  <c r="CO7" i="13"/>
  <c r="CO7" i="16"/>
  <c r="CN7" i="19"/>
  <c r="CN13" i="19"/>
  <c r="CH16" i="2"/>
  <c r="CH14" i="2" s="1"/>
  <c r="CI15" i="2"/>
  <c r="DB5" i="7" l="1"/>
  <c r="DB9" i="7"/>
  <c r="DA9" i="7"/>
  <c r="DA5" i="7"/>
  <c r="CF29" i="45"/>
  <c r="CO6" i="17"/>
  <c r="CF77" i="18"/>
  <c r="CH44" i="6"/>
  <c r="CF99" i="18"/>
  <c r="CH23" i="6"/>
  <c r="CF66" i="18"/>
  <c r="CH9" i="6"/>
  <c r="CN12" i="19"/>
  <c r="CF88" i="18"/>
  <c r="CH37" i="6"/>
  <c r="CH58" i="6"/>
  <c r="CN6" i="19"/>
  <c r="CH53" i="6"/>
  <c r="CO6" i="16"/>
  <c r="CO6" i="13"/>
  <c r="CO6" i="15"/>
  <c r="CO6" i="14"/>
  <c r="CP7" i="15"/>
  <c r="CO7" i="19"/>
  <c r="CO13" i="19"/>
  <c r="CP7" i="13"/>
  <c r="CP7" i="16"/>
  <c r="CP7" i="14"/>
  <c r="CP7" i="17"/>
  <c r="CI16" i="2"/>
  <c r="CI14" i="2" s="1"/>
  <c r="CJ15" i="2"/>
  <c r="CN8" i="19"/>
  <c r="CO8" i="14"/>
  <c r="CN14" i="19"/>
  <c r="CO8" i="15"/>
  <c r="CO8" i="16"/>
  <c r="CO8" i="17"/>
  <c r="CO8" i="13"/>
  <c r="CN6" i="17"/>
  <c r="CM12" i="19"/>
  <c r="CE77" i="18"/>
  <c r="CE99" i="18"/>
  <c r="CE88" i="18"/>
  <c r="CG37" i="6"/>
  <c r="CE29" i="45"/>
  <c r="CG23" i="6"/>
  <c r="CM6" i="19"/>
  <c r="CG44" i="6"/>
  <c r="CE66" i="18"/>
  <c r="CG58" i="6"/>
  <c r="CG53" i="6"/>
  <c r="CG9" i="6"/>
  <c r="CN6" i="14"/>
  <c r="CN6" i="15"/>
  <c r="CN6" i="13"/>
  <c r="CN6" i="16"/>
  <c r="DC5" i="7" l="1"/>
  <c r="DC9" i="7"/>
  <c r="CP13" i="19"/>
  <c r="CQ7" i="16"/>
  <c r="CP7" i="19"/>
  <c r="CQ7" i="14"/>
  <c r="CQ7" i="17"/>
  <c r="CQ7" i="15"/>
  <c r="CQ7" i="13"/>
  <c r="CK15" i="2"/>
  <c r="CJ16" i="2"/>
  <c r="CJ14" i="2" s="1"/>
  <c r="CI23" i="6"/>
  <c r="CG88" i="18"/>
  <c r="CG29" i="45"/>
  <c r="CG66" i="18"/>
  <c r="CP6" i="17"/>
  <c r="CI53" i="6"/>
  <c r="CI9" i="6"/>
  <c r="CI58" i="6"/>
  <c r="CG99" i="18"/>
  <c r="CI37" i="6"/>
  <c r="CO12" i="19"/>
  <c r="CI44" i="6"/>
  <c r="CO6" i="19"/>
  <c r="CG77" i="18"/>
  <c r="CP6" i="14"/>
  <c r="CP6" i="15"/>
  <c r="CP6" i="16"/>
  <c r="CP6" i="13"/>
  <c r="CP8" i="17"/>
  <c r="CP8" i="16"/>
  <c r="CP8" i="15"/>
  <c r="CP8" i="14"/>
  <c r="CO8" i="19"/>
  <c r="CO14" i="19"/>
  <c r="CP8" i="13"/>
  <c r="DD5" i="7" l="1"/>
  <c r="DD9" i="7"/>
  <c r="CH77" i="18"/>
  <c r="CJ58" i="6"/>
  <c r="CJ53" i="6"/>
  <c r="CH99" i="18"/>
  <c r="CH88" i="18"/>
  <c r="CH29" i="45"/>
  <c r="CP12" i="19"/>
  <c r="CH66" i="18"/>
  <c r="CJ44" i="6"/>
  <c r="CJ9" i="6"/>
  <c r="CP6" i="19"/>
  <c r="CJ23" i="6"/>
  <c r="CJ37" i="6"/>
  <c r="CQ6" i="17"/>
  <c r="CQ6" i="16"/>
  <c r="CQ6" i="15"/>
  <c r="CQ6" i="14"/>
  <c r="CQ6" i="13"/>
  <c r="CR7" i="17"/>
  <c r="CR7" i="13"/>
  <c r="CR7" i="16"/>
  <c r="CQ13" i="19"/>
  <c r="CQ7" i="19"/>
  <c r="CR7" i="15"/>
  <c r="CR7" i="14"/>
  <c r="CL15" i="2"/>
  <c r="CK16" i="2"/>
  <c r="CP8" i="19"/>
  <c r="CQ8" i="15"/>
  <c r="CP14" i="19"/>
  <c r="CQ8" i="17"/>
  <c r="CQ8" i="14"/>
  <c r="CQ8" i="16"/>
  <c r="CQ8" i="13"/>
  <c r="CR8" i="14" l="1"/>
  <c r="CQ14" i="19"/>
  <c r="CR8" i="15"/>
  <c r="CR8" i="17"/>
  <c r="CR8" i="16"/>
  <c r="CQ8" i="19"/>
  <c r="CR8" i="13"/>
  <c r="CR13" i="19"/>
  <c r="CS7" i="13"/>
  <c r="CS7" i="15"/>
  <c r="CS7" i="16"/>
  <c r="CR7" i="19"/>
  <c r="CS7" i="17"/>
  <c r="CS7" i="14"/>
  <c r="CL16" i="2"/>
  <c r="CL14" i="2" s="1"/>
  <c r="CM15" i="2"/>
  <c r="CK14" i="2"/>
  <c r="DF5" i="7" l="1"/>
  <c r="DF9" i="7"/>
  <c r="DE5" i="7"/>
  <c r="DE9" i="7"/>
  <c r="CS6" i="17"/>
  <c r="CJ77" i="18"/>
  <c r="CJ66" i="18"/>
  <c r="CL9" i="6"/>
  <c r="CJ99" i="18"/>
  <c r="CL58" i="6"/>
  <c r="CJ29" i="45"/>
  <c r="CJ88" i="18"/>
  <c r="CL44" i="6"/>
  <c r="CL37" i="6"/>
  <c r="CL53" i="6"/>
  <c r="CR6" i="19"/>
  <c r="CL23" i="6"/>
  <c r="CR12" i="19"/>
  <c r="CS6" i="13"/>
  <c r="CS6" i="14"/>
  <c r="CS6" i="16"/>
  <c r="CS6" i="15"/>
  <c r="CS13" i="19"/>
  <c r="CT7" i="15"/>
  <c r="CS7" i="19"/>
  <c r="CT7" i="17"/>
  <c r="CT7" i="13"/>
  <c r="CT7" i="16"/>
  <c r="CT7" i="14"/>
  <c r="CM16" i="2"/>
  <c r="CM14" i="2" s="1"/>
  <c r="CN15" i="2"/>
  <c r="CI99" i="18"/>
  <c r="CI66" i="18"/>
  <c r="CK58" i="6"/>
  <c r="CI88" i="18"/>
  <c r="CK23" i="6"/>
  <c r="CR6" i="17"/>
  <c r="CI77" i="18"/>
  <c r="CQ6" i="19"/>
  <c r="CK53" i="6"/>
  <c r="CI29" i="45"/>
  <c r="CK44" i="6"/>
  <c r="CQ12" i="19"/>
  <c r="CK9" i="6"/>
  <c r="CK37" i="6"/>
  <c r="CR6" i="13"/>
  <c r="CR6" i="16"/>
  <c r="CR6" i="14"/>
  <c r="CR6" i="15"/>
  <c r="CS8" i="15"/>
  <c r="CR14" i="19"/>
  <c r="CS8" i="16"/>
  <c r="CS8" i="17"/>
  <c r="CR8" i="19"/>
  <c r="CS8" i="14"/>
  <c r="CS8" i="13"/>
  <c r="DG5" i="7" l="1"/>
  <c r="DG9" i="7"/>
  <c r="CT6" i="17"/>
  <c r="CM9" i="6"/>
  <c r="CK29" i="45"/>
  <c r="CK66" i="18"/>
  <c r="CM58" i="6"/>
  <c r="CM44" i="6"/>
  <c r="CM37" i="6"/>
  <c r="CK99" i="18"/>
  <c r="CS12" i="19"/>
  <c r="CK88" i="18"/>
  <c r="CK77" i="18"/>
  <c r="CS6" i="19"/>
  <c r="CM23" i="6"/>
  <c r="CM53" i="6"/>
  <c r="CT6" i="16"/>
  <c r="CT6" i="14"/>
  <c r="CT6" i="15"/>
  <c r="CT6" i="13"/>
  <c r="CU7" i="13"/>
  <c r="CU7" i="15"/>
  <c r="CU7" i="16"/>
  <c r="CT13" i="19"/>
  <c r="CU7" i="14"/>
  <c r="CU7" i="17"/>
  <c r="CT7" i="19"/>
  <c r="CN16" i="2"/>
  <c r="CO15" i="2"/>
  <c r="CT8" i="14"/>
  <c r="CT8" i="15"/>
  <c r="CS8" i="19"/>
  <c r="CT8" i="16"/>
  <c r="CS14" i="19"/>
  <c r="CT8" i="17"/>
  <c r="CT8" i="13"/>
  <c r="CU13" i="19" l="1"/>
  <c r="CV7" i="14"/>
  <c r="CV7" i="15"/>
  <c r="CV7" i="16"/>
  <c r="CU7" i="19"/>
  <c r="CV7" i="17"/>
  <c r="CV7" i="13"/>
  <c r="CO16" i="2"/>
  <c r="CP15" i="2"/>
  <c r="CU8" i="15"/>
  <c r="CU8" i="14"/>
  <c r="CU8" i="17"/>
  <c r="CU8" i="16"/>
  <c r="CT14" i="19"/>
  <c r="CT8" i="19"/>
  <c r="CU8" i="13"/>
  <c r="CN14" i="2"/>
  <c r="DH5" i="7" l="1"/>
  <c r="DH9" i="7"/>
  <c r="CW7" i="17"/>
  <c r="CW7" i="16"/>
  <c r="CV13" i="19"/>
  <c r="CW7" i="14"/>
  <c r="CV7" i="19"/>
  <c r="CW7" i="15"/>
  <c r="CW7" i="13"/>
  <c r="CQ15" i="2"/>
  <c r="CP16" i="2"/>
  <c r="CV8" i="14"/>
  <c r="CV8" i="16"/>
  <c r="CV8" i="17"/>
  <c r="CV8" i="15"/>
  <c r="CU14" i="19"/>
  <c r="CU8" i="19"/>
  <c r="CV8" i="13"/>
  <c r="CO14" i="2"/>
  <c r="CT12" i="19"/>
  <c r="CL66" i="18"/>
  <c r="CN53" i="6"/>
  <c r="CN44" i="6"/>
  <c r="CT6" i="19"/>
  <c r="CL77" i="18"/>
  <c r="CN23" i="6"/>
  <c r="CL88" i="18"/>
  <c r="CU6" i="17"/>
  <c r="CL99" i="18"/>
  <c r="CN9" i="6"/>
  <c r="CN58" i="6"/>
  <c r="CN37" i="6"/>
  <c r="CL29" i="45"/>
  <c r="CU6" i="15"/>
  <c r="CU6" i="14"/>
  <c r="CU6" i="16"/>
  <c r="CU6" i="13"/>
  <c r="DI5" i="7" l="1"/>
  <c r="DI9" i="7"/>
  <c r="CW8" i="16"/>
  <c r="CW8" i="14"/>
  <c r="CV8" i="19"/>
  <c r="CW8" i="17"/>
  <c r="CV14" i="19"/>
  <c r="CW8" i="15"/>
  <c r="CW8" i="13"/>
  <c r="CW7" i="19"/>
  <c r="CW13" i="19"/>
  <c r="CX7" i="16"/>
  <c r="CX7" i="14"/>
  <c r="CX7" i="17"/>
  <c r="CX7" i="13"/>
  <c r="CX7" i="15"/>
  <c r="CQ16" i="2"/>
  <c r="CQ14" i="2" s="1"/>
  <c r="CM66" i="18"/>
  <c r="CM29" i="45"/>
  <c r="CO37" i="6"/>
  <c r="CO23" i="6"/>
  <c r="CO53" i="6"/>
  <c r="CU12" i="19"/>
  <c r="CO9" i="6"/>
  <c r="CM88" i="18"/>
  <c r="CV6" i="17"/>
  <c r="CU6" i="19"/>
  <c r="CM77" i="18"/>
  <c r="CO58" i="6"/>
  <c r="CM99" i="18"/>
  <c r="CO44" i="6"/>
  <c r="CV6" i="15"/>
  <c r="CV6" i="16"/>
  <c r="CV6" i="13"/>
  <c r="CV6" i="14"/>
  <c r="CP14" i="2"/>
  <c r="F17" i="48" l="1"/>
  <c r="DJ9" i="7"/>
  <c r="DJ5" i="7"/>
  <c r="DK5" i="7"/>
  <c r="DK9" i="7"/>
  <c r="F34" i="48"/>
  <c r="CX8" i="17"/>
  <c r="CW14" i="19"/>
  <c r="CX8" i="15"/>
  <c r="CX8" i="16"/>
  <c r="CX8" i="14"/>
  <c r="CW8" i="19"/>
  <c r="CX8" i="13"/>
  <c r="CP53" i="6"/>
  <c r="CN77" i="18"/>
  <c r="CP9" i="6"/>
  <c r="CN29" i="45"/>
  <c r="CP23" i="6"/>
  <c r="CN99" i="18"/>
  <c r="CN66" i="18"/>
  <c r="CP58" i="6"/>
  <c r="CV12" i="19"/>
  <c r="CP37" i="6"/>
  <c r="CW6" i="17"/>
  <c r="CV6" i="19"/>
  <c r="CN88" i="18"/>
  <c r="CP44" i="6"/>
  <c r="CW6" i="13"/>
  <c r="CW6" i="14"/>
  <c r="CW6" i="15"/>
  <c r="CW6" i="16"/>
  <c r="CQ23" i="6"/>
  <c r="CO29" i="45"/>
  <c r="CQ53" i="6"/>
  <c r="CQ37" i="6"/>
  <c r="CO77" i="18"/>
  <c r="CQ9" i="6"/>
  <c r="CX6" i="17"/>
  <c r="CO66" i="18"/>
  <c r="CQ44" i="6"/>
  <c r="CO88" i="18"/>
  <c r="CO99" i="18"/>
  <c r="CW12" i="19"/>
  <c r="CQ58" i="6"/>
  <c r="CW6" i="19"/>
  <c r="CX6" i="13"/>
  <c r="CX6" i="15"/>
  <c r="CX6" i="14"/>
  <c r="CX6" i="16"/>
  <c r="N5" i="1"/>
  <c r="J25" i="6" l="1"/>
  <c r="CG26" i="6"/>
  <c r="F25" i="6"/>
  <c r="BL26" i="6"/>
  <c r="BG26" i="6"/>
  <c r="N26" i="6"/>
  <c r="AC26" i="6"/>
  <c r="CC26" i="6"/>
  <c r="BS25" i="6"/>
  <c r="I26" i="6"/>
  <c r="BH26" i="6"/>
  <c r="AF25" i="6"/>
  <c r="H26" i="6"/>
  <c r="CI26" i="6"/>
  <c r="AD25" i="6"/>
  <c r="L25" i="6"/>
  <c r="CG25" i="6"/>
  <c r="AT26" i="6"/>
  <c r="K26" i="6"/>
  <c r="BH25" i="6"/>
  <c r="S25" i="6"/>
  <c r="AY25" i="6"/>
  <c r="G25" i="6"/>
  <c r="X26" i="6"/>
  <c r="W26" i="6"/>
  <c r="CF25" i="6"/>
  <c r="CO26" i="6"/>
  <c r="BU25" i="6"/>
  <c r="CD26" i="6"/>
  <c r="Y26" i="6"/>
  <c r="V26" i="6"/>
  <c r="CL26" i="6"/>
  <c r="AR26" i="6"/>
  <c r="CB26" i="6"/>
  <c r="BO26" i="6"/>
  <c r="M26" i="6"/>
  <c r="BK26" i="6"/>
  <c r="X25" i="6"/>
  <c r="T26" i="6"/>
  <c r="BR25" i="6"/>
  <c r="CJ25" i="6"/>
  <c r="O26" i="6"/>
  <c r="BU26" i="6"/>
  <c r="AH25" i="6"/>
  <c r="CH26" i="6"/>
  <c r="V25" i="6"/>
  <c r="P25" i="6"/>
  <c r="AM25" i="6"/>
  <c r="R26" i="6"/>
  <c r="BL25" i="6"/>
  <c r="CH25" i="6"/>
  <c r="AQ25" i="6"/>
  <c r="CK25" i="6"/>
  <c r="BC26" i="6"/>
  <c r="BB26" i="6"/>
  <c r="CA26" i="6"/>
  <c r="U26" i="6"/>
  <c r="CB25" i="6"/>
  <c r="CP26" i="6"/>
  <c r="BA26" i="6"/>
  <c r="BY25" i="6"/>
  <c r="CM26" i="6"/>
  <c r="AS26" i="6"/>
  <c r="AX26" i="6"/>
  <c r="AK26" i="6"/>
  <c r="BF26" i="6"/>
  <c r="CN26" i="6"/>
  <c r="AN26" i="6"/>
  <c r="J26" i="6"/>
  <c r="CD25" i="6"/>
  <c r="BT26" i="6"/>
  <c r="K25" i="6"/>
  <c r="AC25" i="6"/>
  <c r="BD25" i="6"/>
  <c r="AG25" i="6"/>
  <c r="AG26" i="6"/>
  <c r="BF25" i="6"/>
  <c r="Z25" i="6"/>
  <c r="BK25" i="6"/>
  <c r="AA26" i="6"/>
  <c r="AT25" i="6"/>
  <c r="BI26" i="6"/>
  <c r="CE25" i="6"/>
  <c r="AI25" i="6"/>
  <c r="AK25" i="6"/>
  <c r="AY26" i="6"/>
  <c r="S26" i="6"/>
  <c r="BZ25" i="6"/>
  <c r="BJ25" i="6"/>
  <c r="AJ25" i="6"/>
  <c r="BI25" i="6"/>
  <c r="BX25" i="6"/>
  <c r="CO25" i="6"/>
  <c r="BO25" i="6"/>
  <c r="AE26" i="6"/>
  <c r="P26" i="6"/>
  <c r="AE25" i="6"/>
  <c r="N25" i="6"/>
  <c r="BN26" i="6"/>
  <c r="CC25" i="6"/>
  <c r="T25" i="6"/>
  <c r="BD26" i="6"/>
  <c r="L26" i="6"/>
  <c r="AB25" i="6"/>
  <c r="CL25" i="6"/>
  <c r="AP25" i="6"/>
  <c r="R25" i="6"/>
  <c r="CJ26" i="6"/>
  <c r="CF26" i="6"/>
  <c r="BV25" i="6"/>
  <c r="Q26" i="6"/>
  <c r="CM25" i="6"/>
  <c r="CA25" i="6"/>
  <c r="AU26" i="6"/>
  <c r="CQ26" i="6"/>
  <c r="BP25" i="6"/>
  <c r="CP25" i="6"/>
  <c r="AQ26" i="6"/>
  <c r="AZ26" i="6"/>
  <c r="BE26" i="6"/>
  <c r="AN25" i="6"/>
  <c r="BN25" i="6"/>
  <c r="O25" i="6"/>
  <c r="G26" i="6"/>
  <c r="AA25" i="6"/>
  <c r="BQ25" i="6"/>
  <c r="AX25" i="6"/>
  <c r="AH26" i="6"/>
  <c r="AZ25" i="6"/>
  <c r="AW26" i="6"/>
  <c r="AV25" i="6"/>
  <c r="BG25" i="6"/>
  <c r="AR25" i="6"/>
  <c r="H25" i="6"/>
  <c r="BX26" i="6"/>
  <c r="BE25" i="6"/>
  <c r="BJ26" i="6"/>
  <c r="CZ27" i="15"/>
  <c r="CZ28" i="15"/>
  <c r="CZ20" i="15"/>
  <c r="CZ30" i="15"/>
  <c r="CZ24" i="15"/>
  <c r="CZ38" i="15"/>
  <c r="CZ23" i="15"/>
  <c r="CZ31" i="15"/>
  <c r="CZ36" i="15"/>
  <c r="CZ32" i="15"/>
  <c r="CZ29" i="15"/>
  <c r="CZ22" i="15"/>
  <c r="CZ18" i="15"/>
  <c r="CZ33" i="15"/>
  <c r="CZ21" i="15"/>
  <c r="CZ26" i="15"/>
  <c r="CZ34" i="15"/>
  <c r="CZ35" i="15"/>
  <c r="CZ37" i="15"/>
  <c r="CZ19" i="15"/>
  <c r="CZ25" i="15"/>
  <c r="BS24" i="6"/>
  <c r="CM24" i="6"/>
  <c r="Q24" i="6"/>
  <c r="R24" i="6"/>
  <c r="I24" i="6"/>
  <c r="X24" i="6"/>
  <c r="AV24" i="6"/>
  <c r="BT24" i="6"/>
  <c r="BM24" i="6"/>
  <c r="BG24" i="6"/>
  <c r="N24" i="6"/>
  <c r="T24" i="6"/>
  <c r="CK24" i="6"/>
  <c r="AX24" i="6"/>
  <c r="BQ24" i="6"/>
  <c r="G24" i="6"/>
  <c r="AY24" i="6"/>
  <c r="J24" i="6"/>
  <c r="BN24" i="6"/>
  <c r="BF24" i="6"/>
  <c r="BA24" i="6"/>
  <c r="AE24" i="6"/>
  <c r="BP24" i="6"/>
  <c r="P24" i="6"/>
  <c r="AB24" i="6"/>
  <c r="F24" i="6"/>
  <c r="BH24" i="6"/>
  <c r="BI24" i="6"/>
  <c r="AT24" i="6"/>
  <c r="AK24" i="6"/>
  <c r="BB24" i="6"/>
  <c r="BC24" i="6"/>
  <c r="AG24" i="6"/>
  <c r="Y24" i="6"/>
  <c r="BY24" i="6"/>
  <c r="CF24" i="6"/>
  <c r="CJ24" i="6"/>
  <c r="AP24" i="6"/>
  <c r="BW24" i="6"/>
  <c r="AD24" i="6"/>
  <c r="W24" i="6"/>
  <c r="AN24" i="6"/>
  <c r="AW24" i="6"/>
  <c r="AL24" i="6"/>
  <c r="BR24" i="6"/>
  <c r="AC24" i="6"/>
  <c r="M24" i="6"/>
  <c r="AF24" i="6"/>
  <c r="CG24" i="6"/>
  <c r="BK24" i="6"/>
  <c r="AU24" i="6"/>
  <c r="CA24" i="6"/>
  <c r="O24" i="6"/>
  <c r="CO24" i="6"/>
  <c r="U24" i="6"/>
  <c r="CC24" i="6"/>
  <c r="AO24" i="6"/>
  <c r="BD24" i="6"/>
  <c r="AR24" i="6"/>
  <c r="AZ24" i="6"/>
  <c r="BO24" i="6"/>
  <c r="BU24" i="6"/>
  <c r="S24" i="6"/>
  <c r="BX24" i="6"/>
  <c r="AI24" i="6"/>
  <c r="AJ24" i="6"/>
  <c r="AQ24" i="6"/>
  <c r="AM24" i="6"/>
  <c r="CP24" i="6"/>
  <c r="CB24" i="6"/>
  <c r="CQ24" i="6"/>
  <c r="CD24" i="6"/>
  <c r="CI24" i="6"/>
  <c r="H24" i="6"/>
  <c r="K24" i="6"/>
  <c r="BV24" i="6"/>
  <c r="V24" i="6"/>
  <c r="L24" i="6"/>
  <c r="AA24" i="6"/>
  <c r="BZ24" i="6"/>
  <c r="CN24" i="6"/>
  <c r="CL24" i="6"/>
  <c r="AH24" i="6"/>
  <c r="BJ24" i="6"/>
  <c r="BL24" i="6"/>
  <c r="CE24" i="6"/>
  <c r="AS24" i="6"/>
  <c r="Z24" i="6"/>
  <c r="CH24" i="6"/>
  <c r="BE24" i="6"/>
  <c r="CZ21" i="13"/>
  <c r="CZ22" i="13"/>
  <c r="CZ37" i="13"/>
  <c r="CZ36" i="13"/>
  <c r="CZ25" i="13"/>
  <c r="CZ27" i="13"/>
  <c r="CZ34" i="13"/>
  <c r="CZ18" i="13"/>
  <c r="CZ20" i="13"/>
  <c r="CZ33" i="13"/>
  <c r="CZ19" i="13"/>
  <c r="CZ29" i="13"/>
  <c r="CZ32" i="13"/>
  <c r="CZ24" i="13"/>
  <c r="CZ38" i="13"/>
  <c r="CZ23" i="13"/>
  <c r="CZ26" i="13"/>
  <c r="CZ35" i="13"/>
  <c r="CZ28" i="13"/>
  <c r="CZ31" i="13"/>
  <c r="CZ30" i="13"/>
  <c r="CZ25" i="16"/>
  <c r="CZ38" i="16"/>
  <c r="CZ32" i="16"/>
  <c r="CZ24" i="16"/>
  <c r="CZ37" i="16"/>
  <c r="CZ27" i="16"/>
  <c r="CZ23" i="16"/>
  <c r="CZ21" i="16"/>
  <c r="CZ36" i="16"/>
  <c r="CZ19" i="16"/>
  <c r="CZ34" i="16"/>
  <c r="CZ29" i="16"/>
  <c r="CZ31" i="16"/>
  <c r="CZ22" i="16"/>
  <c r="CZ26" i="16"/>
  <c r="CZ18" i="16"/>
  <c r="CZ30" i="16"/>
  <c r="CZ33" i="16"/>
  <c r="CZ35" i="16"/>
  <c r="CZ28" i="16"/>
  <c r="CZ20" i="16"/>
  <c r="CZ33" i="17"/>
  <c r="CZ37" i="17"/>
  <c r="CZ38" i="17"/>
  <c r="CZ27" i="17"/>
  <c r="CZ36" i="17"/>
  <c r="CZ30" i="17"/>
  <c r="CZ24" i="17"/>
  <c r="CZ34" i="17"/>
  <c r="CZ18" i="17"/>
  <c r="CZ31" i="17"/>
  <c r="CZ25" i="17"/>
  <c r="CZ26" i="17"/>
  <c r="CZ28" i="17"/>
  <c r="CZ29" i="17"/>
  <c r="CZ35" i="17"/>
  <c r="CZ19" i="17"/>
  <c r="CZ23" i="17"/>
  <c r="CZ20" i="17"/>
  <c r="CZ22" i="17"/>
  <c r="CZ32" i="17"/>
  <c r="CZ21" i="17"/>
  <c r="CZ24" i="14"/>
  <c r="CZ37" i="14"/>
  <c r="CZ35" i="14"/>
  <c r="CZ34" i="14"/>
  <c r="CZ20" i="14"/>
  <c r="CZ18" i="14"/>
  <c r="CZ19" i="14"/>
  <c r="CZ38" i="14"/>
  <c r="CZ25" i="14"/>
  <c r="CZ23" i="14"/>
  <c r="CZ32" i="14"/>
  <c r="CZ21" i="14"/>
  <c r="CZ22" i="14"/>
  <c r="CZ30" i="14"/>
  <c r="CZ27" i="14"/>
  <c r="CZ28" i="14"/>
  <c r="CZ36" i="14"/>
  <c r="CZ33" i="14"/>
  <c r="CZ29" i="14"/>
  <c r="CZ26" i="14"/>
  <c r="CZ31" i="14"/>
  <c r="J15" i="13" l="1"/>
  <c r="J17" i="13"/>
  <c r="J16" i="13"/>
  <c r="J13" i="13"/>
  <c r="J10" i="13"/>
  <c r="J11" i="13"/>
  <c r="J14" i="13"/>
  <c r="J12" i="13"/>
  <c r="J9" i="13"/>
  <c r="CY9" i="19"/>
  <c r="CI16" i="13" l="1"/>
  <c r="CI16" i="14" s="1"/>
  <c r="CI16" i="15" s="1"/>
  <c r="CH16" i="13"/>
  <c r="CH16" i="14" s="1"/>
  <c r="CH16" i="15" s="1"/>
  <c r="AR16" i="13"/>
  <c r="AR16" i="14" s="1"/>
  <c r="AR16" i="15" s="1"/>
  <c r="CF16" i="13"/>
  <c r="CF16" i="14" s="1"/>
  <c r="CF16" i="15" s="1"/>
  <c r="BV16" i="13"/>
  <c r="BV16" i="14" s="1"/>
  <c r="BV16" i="15" s="1"/>
  <c r="R16" i="13"/>
  <c r="R16" i="14" s="1"/>
  <c r="R16" i="15" s="1"/>
  <c r="BE16" i="13"/>
  <c r="BE16" i="14" s="1"/>
  <c r="BE16" i="15" s="1"/>
  <c r="BA16" i="13"/>
  <c r="BA16" i="14" s="1"/>
  <c r="BA16" i="15" s="1"/>
  <c r="CJ16" i="13"/>
  <c r="CJ16" i="14" s="1"/>
  <c r="CJ16" i="15" s="1"/>
  <c r="AP16" i="13"/>
  <c r="AP16" i="14" s="1"/>
  <c r="AP16" i="15" s="1"/>
  <c r="BM16" i="13"/>
  <c r="BM16" i="14" s="1"/>
  <c r="BM16" i="15" s="1"/>
  <c r="U16" i="13"/>
  <c r="U16" i="14" s="1"/>
  <c r="U16" i="15" s="1"/>
  <c r="AD16" i="13"/>
  <c r="AD16" i="14" s="1"/>
  <c r="AD16" i="15" s="1"/>
  <c r="AC16" i="13"/>
  <c r="AC16" i="14" s="1"/>
  <c r="AC16" i="15" s="1"/>
  <c r="BF16" i="13"/>
  <c r="BF16" i="14" s="1"/>
  <c r="BF16" i="15" s="1"/>
  <c r="BT16" i="13"/>
  <c r="BT16" i="14" s="1"/>
  <c r="BT16" i="15" s="1"/>
  <c r="CU16" i="13"/>
  <c r="CU16" i="14" s="1"/>
  <c r="CU16" i="15" s="1"/>
  <c r="CE16" i="13"/>
  <c r="CE16" i="14" s="1"/>
  <c r="CE16" i="15" s="1"/>
  <c r="M16" i="13"/>
  <c r="BL16" i="13"/>
  <c r="BL16" i="14" s="1"/>
  <c r="BL16" i="15" s="1"/>
  <c r="CL16" i="13"/>
  <c r="CL16" i="14" s="1"/>
  <c r="CL16" i="15" s="1"/>
  <c r="AF16" i="13"/>
  <c r="AF16" i="14" s="1"/>
  <c r="AF16" i="15" s="1"/>
  <c r="CV16" i="13"/>
  <c r="CV16" i="14" s="1"/>
  <c r="CV16" i="15" s="1"/>
  <c r="AG16" i="13"/>
  <c r="AG16" i="14" s="1"/>
  <c r="AG16" i="15" s="1"/>
  <c r="BR16" i="13"/>
  <c r="BR16" i="14" s="1"/>
  <c r="BR16" i="15" s="1"/>
  <c r="BK16" i="13"/>
  <c r="BK16" i="14" s="1"/>
  <c r="BK16" i="15" s="1"/>
  <c r="T16" i="13"/>
  <c r="T16" i="14" s="1"/>
  <c r="T16" i="15" s="1"/>
  <c r="BW16" i="13"/>
  <c r="BW16" i="14" s="1"/>
  <c r="BW16" i="15" s="1"/>
  <c r="AT16" i="13"/>
  <c r="AT16" i="14" s="1"/>
  <c r="AT16" i="15" s="1"/>
  <c r="CW16" i="13"/>
  <c r="CW16" i="14" s="1"/>
  <c r="CW16" i="15" s="1"/>
  <c r="AK16" i="13"/>
  <c r="AK16" i="14" s="1"/>
  <c r="AK16" i="15" s="1"/>
  <c r="CM16" i="13"/>
  <c r="CM16" i="14" s="1"/>
  <c r="CM16" i="15" s="1"/>
  <c r="AI16" i="13"/>
  <c r="AI16" i="14" s="1"/>
  <c r="AI16" i="15" s="1"/>
  <c r="CS16" i="13"/>
  <c r="CS16" i="14" s="1"/>
  <c r="CS16" i="15" s="1"/>
  <c r="BJ16" i="13"/>
  <c r="BJ16" i="14" s="1"/>
  <c r="BJ16" i="15" s="1"/>
  <c r="CK16" i="13"/>
  <c r="CK16" i="14" s="1"/>
  <c r="CK16" i="15" s="1"/>
  <c r="AA16" i="13"/>
  <c r="AA16" i="14" s="1"/>
  <c r="AA16" i="15" s="1"/>
  <c r="BZ16" i="13"/>
  <c r="BZ16" i="14" s="1"/>
  <c r="BZ16" i="15" s="1"/>
  <c r="AW16" i="13"/>
  <c r="AW16" i="14" s="1"/>
  <c r="AW16" i="15" s="1"/>
  <c r="CB16" i="13"/>
  <c r="CB16" i="14" s="1"/>
  <c r="CB16" i="15" s="1"/>
  <c r="BN16" i="13"/>
  <c r="BN16" i="14" s="1"/>
  <c r="BN16" i="15" s="1"/>
  <c r="AM16" i="13"/>
  <c r="AM16" i="14" s="1"/>
  <c r="AM16" i="15" s="1"/>
  <c r="AE16" i="13"/>
  <c r="AE16" i="14" s="1"/>
  <c r="AE16" i="15" s="1"/>
  <c r="CC16" i="13"/>
  <c r="CC16" i="14" s="1"/>
  <c r="CC16" i="15" s="1"/>
  <c r="CQ16" i="13"/>
  <c r="CQ16" i="14" s="1"/>
  <c r="CQ16" i="15" s="1"/>
  <c r="Y16" i="13"/>
  <c r="Y16" i="14" s="1"/>
  <c r="Y16" i="15" s="1"/>
  <c r="X16" i="13"/>
  <c r="X16" i="14" s="1"/>
  <c r="X16" i="15" s="1"/>
  <c r="BQ16" i="13"/>
  <c r="BQ16" i="14" s="1"/>
  <c r="BQ16" i="15" s="1"/>
  <c r="N16" i="13"/>
  <c r="N16" i="14" s="1"/>
  <c r="N16" i="15" s="1"/>
  <c r="CN16" i="13"/>
  <c r="CN16" i="14" s="1"/>
  <c r="CN16" i="15" s="1"/>
  <c r="BO16" i="13"/>
  <c r="BO16" i="14" s="1"/>
  <c r="BO16" i="15" s="1"/>
  <c r="AL16" i="13"/>
  <c r="AL16" i="14" s="1"/>
  <c r="AL16" i="15" s="1"/>
  <c r="BG16" i="13"/>
  <c r="BG16" i="14" s="1"/>
  <c r="BG16" i="15" s="1"/>
  <c r="CT16" i="13"/>
  <c r="CT16" i="14" s="1"/>
  <c r="CT16" i="15" s="1"/>
  <c r="CR16" i="13"/>
  <c r="CR16" i="14" s="1"/>
  <c r="CR16" i="15" s="1"/>
  <c r="O16" i="13"/>
  <c r="O16" i="14" s="1"/>
  <c r="O16" i="15" s="1"/>
  <c r="AQ16" i="13"/>
  <c r="AQ16" i="14" s="1"/>
  <c r="AQ16" i="15" s="1"/>
  <c r="AN16" i="13"/>
  <c r="AN16" i="14" s="1"/>
  <c r="AN16" i="15" s="1"/>
  <c r="CD16" i="13"/>
  <c r="CD16" i="14" s="1"/>
  <c r="CD16" i="15" s="1"/>
  <c r="AU16" i="13"/>
  <c r="AU16" i="14" s="1"/>
  <c r="AU16" i="15" s="1"/>
  <c r="Q16" i="13"/>
  <c r="Q16" i="14" s="1"/>
  <c r="Q16" i="15" s="1"/>
  <c r="AS16" i="13"/>
  <c r="AS16" i="14" s="1"/>
  <c r="AS16" i="15" s="1"/>
  <c r="BU16" i="13"/>
  <c r="BU16" i="14" s="1"/>
  <c r="BU16" i="15" s="1"/>
  <c r="AO16" i="13"/>
  <c r="AO16" i="14" s="1"/>
  <c r="AO16" i="15" s="1"/>
  <c r="BH16" i="13"/>
  <c r="BH16" i="14" s="1"/>
  <c r="BH16" i="15" s="1"/>
  <c r="P16" i="13"/>
  <c r="P16" i="14" s="1"/>
  <c r="P16" i="15" s="1"/>
  <c r="BS16" i="13"/>
  <c r="BS16" i="14" s="1"/>
  <c r="BS16" i="15" s="1"/>
  <c r="BP16" i="13"/>
  <c r="BP16" i="14" s="1"/>
  <c r="BP16" i="15" s="1"/>
  <c r="CA16" i="13"/>
  <c r="CA16" i="14" s="1"/>
  <c r="CA16" i="15" s="1"/>
  <c r="W16" i="13"/>
  <c r="S16" i="13"/>
  <c r="S16" i="14" s="1"/>
  <c r="S16" i="15" s="1"/>
  <c r="AV16" i="13"/>
  <c r="AV16" i="14" s="1"/>
  <c r="AV16" i="15" s="1"/>
  <c r="CX16" i="13"/>
  <c r="CX16" i="14" s="1"/>
  <c r="CX16" i="15" s="1"/>
  <c r="CG16" i="13"/>
  <c r="CG16" i="14" s="1"/>
  <c r="CG16" i="15" s="1"/>
  <c r="AZ16" i="13"/>
  <c r="AZ16" i="14" s="1"/>
  <c r="AZ16" i="15" s="1"/>
  <c r="AH16" i="13"/>
  <c r="AH16" i="14" s="1"/>
  <c r="AH16" i="15" s="1"/>
  <c r="AX16" i="13"/>
  <c r="AX16" i="14" s="1"/>
  <c r="AX16" i="15" s="1"/>
  <c r="AJ16" i="13"/>
  <c r="AJ16" i="14" s="1"/>
  <c r="AJ16" i="15" s="1"/>
  <c r="CP16" i="13"/>
  <c r="CP16" i="14" s="1"/>
  <c r="CP16" i="15" s="1"/>
  <c r="V16" i="13"/>
  <c r="V16" i="14" s="1"/>
  <c r="V16" i="15" s="1"/>
  <c r="Z16" i="13"/>
  <c r="Z16" i="14" s="1"/>
  <c r="Z16" i="15" s="1"/>
  <c r="BI16" i="13"/>
  <c r="BI16" i="14" s="1"/>
  <c r="BI16" i="15" s="1"/>
  <c r="AY16" i="13"/>
  <c r="AY16" i="14" s="1"/>
  <c r="AY16" i="15" s="1"/>
  <c r="BY16" i="13"/>
  <c r="BY16" i="14" s="1"/>
  <c r="BY16" i="15" s="1"/>
  <c r="BX16" i="13"/>
  <c r="BX16" i="14" s="1"/>
  <c r="BX16" i="15" s="1"/>
  <c r="BD16" i="13"/>
  <c r="BD16" i="14" s="1"/>
  <c r="BD16" i="15" s="1"/>
  <c r="CO16" i="13"/>
  <c r="CO16" i="14" s="1"/>
  <c r="CO16" i="15" s="1"/>
  <c r="AB16" i="13"/>
  <c r="AB16" i="14" s="1"/>
  <c r="AB16" i="15" s="1"/>
  <c r="BB16" i="13"/>
  <c r="BB16" i="14" s="1"/>
  <c r="BB16" i="15" s="1"/>
  <c r="BC16" i="13"/>
  <c r="BC16" i="14" s="1"/>
  <c r="BC16" i="15" s="1"/>
  <c r="CJ17" i="13"/>
  <c r="CJ17" i="14" s="1"/>
  <c r="CJ17" i="15" s="1"/>
  <c r="AK17" i="13"/>
  <c r="AK17" i="14" s="1"/>
  <c r="AK17" i="15" s="1"/>
  <c r="BV17" i="13"/>
  <c r="BV17" i="14" s="1"/>
  <c r="BV17" i="15" s="1"/>
  <c r="CH17" i="13"/>
  <c r="CH17" i="14" s="1"/>
  <c r="CH17" i="15" s="1"/>
  <c r="AE17" i="13"/>
  <c r="AE17" i="14" s="1"/>
  <c r="AE17" i="15" s="1"/>
  <c r="BS17" i="13"/>
  <c r="BS17" i="14" s="1"/>
  <c r="BS17" i="15" s="1"/>
  <c r="Z17" i="13"/>
  <c r="Z17" i="14" s="1"/>
  <c r="Z17" i="15" s="1"/>
  <c r="AF17" i="13"/>
  <c r="AF17" i="14" s="1"/>
  <c r="AF17" i="15" s="1"/>
  <c r="BZ17" i="13"/>
  <c r="BZ17" i="14" s="1"/>
  <c r="BZ17" i="15" s="1"/>
  <c r="AZ17" i="13"/>
  <c r="AZ17" i="14" s="1"/>
  <c r="AZ17" i="15" s="1"/>
  <c r="AL17" i="13"/>
  <c r="AL17" i="14" s="1"/>
  <c r="AL17" i="15" s="1"/>
  <c r="AW17" i="13"/>
  <c r="AW17" i="14" s="1"/>
  <c r="AW17" i="15" s="1"/>
  <c r="BR17" i="13"/>
  <c r="BR17" i="14" s="1"/>
  <c r="BR17" i="15" s="1"/>
  <c r="O17" i="13"/>
  <c r="O17" i="14" s="1"/>
  <c r="O17" i="15" s="1"/>
  <c r="BX17" i="13"/>
  <c r="BX17" i="14" s="1"/>
  <c r="BX17" i="15" s="1"/>
  <c r="CX17" i="13"/>
  <c r="CX17" i="14" s="1"/>
  <c r="CX17" i="15" s="1"/>
  <c r="AH17" i="13"/>
  <c r="AH17" i="14" s="1"/>
  <c r="AH17" i="15" s="1"/>
  <c r="Y17" i="13"/>
  <c r="Y17" i="14" s="1"/>
  <c r="Y17" i="15" s="1"/>
  <c r="CP17" i="13"/>
  <c r="CP17" i="14" s="1"/>
  <c r="CP17" i="15" s="1"/>
  <c r="AY17" i="13"/>
  <c r="AY17" i="14" s="1"/>
  <c r="AY17" i="15" s="1"/>
  <c r="BI17" i="13"/>
  <c r="BI17" i="14" s="1"/>
  <c r="BI17" i="15" s="1"/>
  <c r="Q17" i="13"/>
  <c r="Q17" i="14" s="1"/>
  <c r="Q17" i="15" s="1"/>
  <c r="AP17" i="13"/>
  <c r="AP17" i="14" s="1"/>
  <c r="AP17" i="15" s="1"/>
  <c r="CA17" i="13"/>
  <c r="CA17" i="14" s="1"/>
  <c r="CA17" i="15" s="1"/>
  <c r="BN17" i="13"/>
  <c r="BN17" i="14" s="1"/>
  <c r="BN17" i="15" s="1"/>
  <c r="CI17" i="13"/>
  <c r="CI17" i="14" s="1"/>
  <c r="CI17" i="15" s="1"/>
  <c r="BH17" i="13"/>
  <c r="BH17" i="14" s="1"/>
  <c r="BH17" i="15" s="1"/>
  <c r="BE17" i="13"/>
  <c r="BE17" i="14" s="1"/>
  <c r="BE17" i="15" s="1"/>
  <c r="AN17" i="13"/>
  <c r="AN17" i="14" s="1"/>
  <c r="AN17" i="15" s="1"/>
  <c r="CL17" i="13"/>
  <c r="CL17" i="14" s="1"/>
  <c r="CL17" i="15" s="1"/>
  <c r="M17" i="13"/>
  <c r="BW17" i="13"/>
  <c r="BW17" i="14" s="1"/>
  <c r="BW17" i="15" s="1"/>
  <c r="AV17" i="13"/>
  <c r="AV17" i="14" s="1"/>
  <c r="AV17" i="15" s="1"/>
  <c r="AJ17" i="13"/>
  <c r="AJ17" i="14" s="1"/>
  <c r="AJ17" i="15" s="1"/>
  <c r="AB17" i="13"/>
  <c r="AB17" i="14" s="1"/>
  <c r="AB17" i="15" s="1"/>
  <c r="CG17" i="13"/>
  <c r="CG17" i="14" s="1"/>
  <c r="CG17" i="15" s="1"/>
  <c r="BF17" i="13"/>
  <c r="BF17" i="14" s="1"/>
  <c r="BF17" i="15" s="1"/>
  <c r="AX17" i="13"/>
  <c r="AX17" i="14" s="1"/>
  <c r="AX17" i="15" s="1"/>
  <c r="AQ17" i="13"/>
  <c r="AQ17" i="14" s="1"/>
  <c r="AQ17" i="15" s="1"/>
  <c r="P17" i="13"/>
  <c r="P17" i="14" s="1"/>
  <c r="P17" i="15" s="1"/>
  <c r="AM17" i="13"/>
  <c r="AM17" i="14" s="1"/>
  <c r="AM17" i="15" s="1"/>
  <c r="CT17" i="13"/>
  <c r="CT17" i="14" s="1"/>
  <c r="CT17" i="15" s="1"/>
  <c r="AI17" i="13"/>
  <c r="AI17" i="14" s="1"/>
  <c r="AI17" i="15" s="1"/>
  <c r="BD17" i="13"/>
  <c r="BD17" i="14" s="1"/>
  <c r="BD17" i="15" s="1"/>
  <c r="BM17" i="13"/>
  <c r="BM17" i="14" s="1"/>
  <c r="BM17" i="15" s="1"/>
  <c r="CU17" i="13"/>
  <c r="CU17" i="14" s="1"/>
  <c r="CU17" i="15" s="1"/>
  <c r="BJ17" i="13"/>
  <c r="BJ17" i="14" s="1"/>
  <c r="BJ17" i="15" s="1"/>
  <c r="U17" i="13"/>
  <c r="U17" i="14" s="1"/>
  <c r="U17" i="15" s="1"/>
  <c r="BU17" i="13"/>
  <c r="BU17" i="14" s="1"/>
  <c r="BU17" i="15" s="1"/>
  <c r="BA17" i="13"/>
  <c r="BA17" i="14" s="1"/>
  <c r="BA17" i="15" s="1"/>
  <c r="CD17" i="13"/>
  <c r="CD17" i="14" s="1"/>
  <c r="CD17" i="15" s="1"/>
  <c r="BT17" i="13"/>
  <c r="BT17" i="14" s="1"/>
  <c r="BT17" i="15" s="1"/>
  <c r="CO17" i="13"/>
  <c r="CO17" i="14" s="1"/>
  <c r="CO17" i="15" s="1"/>
  <c r="BB17" i="13"/>
  <c r="BB17" i="14" s="1"/>
  <c r="BB17" i="15" s="1"/>
  <c r="BK17" i="13"/>
  <c r="BK17" i="14" s="1"/>
  <c r="BK17" i="15" s="1"/>
  <c r="BY17" i="13"/>
  <c r="BY17" i="14" s="1"/>
  <c r="BY17" i="15" s="1"/>
  <c r="AR17" i="13"/>
  <c r="AR17" i="14" s="1"/>
  <c r="AR17" i="15" s="1"/>
  <c r="V17" i="13"/>
  <c r="V17" i="14" s="1"/>
  <c r="V17" i="15" s="1"/>
  <c r="BQ17" i="13"/>
  <c r="BQ17" i="14" s="1"/>
  <c r="BQ17" i="15" s="1"/>
  <c r="AD17" i="13"/>
  <c r="AD17" i="14" s="1"/>
  <c r="AD17" i="15" s="1"/>
  <c r="X17" i="13"/>
  <c r="X17" i="14" s="1"/>
  <c r="X17" i="15" s="1"/>
  <c r="N17" i="13"/>
  <c r="N17" i="14" s="1"/>
  <c r="N17" i="15" s="1"/>
  <c r="BG17" i="13"/>
  <c r="BG17" i="14" s="1"/>
  <c r="BG17" i="15" s="1"/>
  <c r="CF17" i="13"/>
  <c r="CF17" i="14" s="1"/>
  <c r="CF17" i="15" s="1"/>
  <c r="AA17" i="13"/>
  <c r="AA17" i="14" s="1"/>
  <c r="AA17" i="15" s="1"/>
  <c r="CR17" i="13"/>
  <c r="CR17" i="14" s="1"/>
  <c r="CR17" i="15" s="1"/>
  <c r="CC17" i="13"/>
  <c r="CC17" i="14" s="1"/>
  <c r="CC17" i="15" s="1"/>
  <c r="R17" i="13"/>
  <c r="R17" i="14" s="1"/>
  <c r="R17" i="15" s="1"/>
  <c r="S17" i="13"/>
  <c r="S17" i="14" s="1"/>
  <c r="S17" i="15" s="1"/>
  <c r="CW17" i="13"/>
  <c r="CW17" i="14" s="1"/>
  <c r="CW17" i="15" s="1"/>
  <c r="BO17" i="13"/>
  <c r="BO17" i="14" s="1"/>
  <c r="BO17" i="15" s="1"/>
  <c r="W17" i="13"/>
  <c r="AS17" i="13"/>
  <c r="AS17" i="14" s="1"/>
  <c r="AS17" i="15" s="1"/>
  <c r="CS17" i="13"/>
  <c r="CS17" i="14" s="1"/>
  <c r="CS17" i="15" s="1"/>
  <c r="BL17" i="13"/>
  <c r="BL17" i="14" s="1"/>
  <c r="BL17" i="15" s="1"/>
  <c r="CM17" i="13"/>
  <c r="CM17" i="14" s="1"/>
  <c r="CM17" i="15" s="1"/>
  <c r="AU17" i="13"/>
  <c r="AU17" i="14" s="1"/>
  <c r="AU17" i="15" s="1"/>
  <c r="AT17" i="13"/>
  <c r="AT17" i="14" s="1"/>
  <c r="AT17" i="15" s="1"/>
  <c r="CQ17" i="13"/>
  <c r="CQ17" i="14" s="1"/>
  <c r="CQ17" i="15" s="1"/>
  <c r="CN17" i="13"/>
  <c r="CN17" i="14" s="1"/>
  <c r="CN17" i="15" s="1"/>
  <c r="AG17" i="13"/>
  <c r="AG17" i="14" s="1"/>
  <c r="AG17" i="15" s="1"/>
  <c r="CB17" i="13"/>
  <c r="CB17" i="14" s="1"/>
  <c r="CB17" i="15" s="1"/>
  <c r="AC17" i="13"/>
  <c r="AC17" i="14" s="1"/>
  <c r="AC17" i="15" s="1"/>
  <c r="AO17" i="13"/>
  <c r="AO17" i="14" s="1"/>
  <c r="AO17" i="15" s="1"/>
  <c r="BC17" i="13"/>
  <c r="BC17" i="14" s="1"/>
  <c r="BC17" i="15" s="1"/>
  <c r="CV17" i="13"/>
  <c r="CV17" i="14" s="1"/>
  <c r="CV17" i="15" s="1"/>
  <c r="BP17" i="13"/>
  <c r="BP17" i="14" s="1"/>
  <c r="BP17" i="15" s="1"/>
  <c r="CE17" i="13"/>
  <c r="CE17" i="14" s="1"/>
  <c r="CE17" i="15" s="1"/>
  <c r="T17" i="13"/>
  <c r="T17" i="14" s="1"/>
  <c r="T17" i="15" s="1"/>
  <c r="CK17" i="13"/>
  <c r="CK17" i="14" s="1"/>
  <c r="CK17" i="15" s="1"/>
  <c r="BM15" i="13"/>
  <c r="BM15" i="14" s="1"/>
  <c r="BM15" i="15" s="1"/>
  <c r="Y15" i="13"/>
  <c r="Y15" i="14" s="1"/>
  <c r="Y15" i="15" s="1"/>
  <c r="BZ15" i="13"/>
  <c r="BZ15" i="14" s="1"/>
  <c r="BZ15" i="15" s="1"/>
  <c r="AY15" i="13"/>
  <c r="AY15" i="14" s="1"/>
  <c r="AY15" i="15" s="1"/>
  <c r="CH15" i="13"/>
  <c r="CH15" i="14" s="1"/>
  <c r="CH15" i="15" s="1"/>
  <c r="CS15" i="13"/>
  <c r="CS15" i="14" s="1"/>
  <c r="CS15" i="15" s="1"/>
  <c r="BG15" i="13"/>
  <c r="BG15" i="14" s="1"/>
  <c r="BG15" i="15" s="1"/>
  <c r="S15" i="13"/>
  <c r="S15" i="14" s="1"/>
  <c r="S15" i="15" s="1"/>
  <c r="AH15" i="13"/>
  <c r="AH15" i="14" s="1"/>
  <c r="AH15" i="15" s="1"/>
  <c r="CD15" i="13"/>
  <c r="CD15" i="14" s="1"/>
  <c r="CD15" i="15" s="1"/>
  <c r="BH15" i="13"/>
  <c r="BH15" i="14" s="1"/>
  <c r="BH15" i="15" s="1"/>
  <c r="AC15" i="13"/>
  <c r="AC15" i="14" s="1"/>
  <c r="AC15" i="15" s="1"/>
  <c r="CR15" i="13"/>
  <c r="CR15" i="14" s="1"/>
  <c r="CR15" i="15" s="1"/>
  <c r="BX15" i="13"/>
  <c r="BX15" i="14" s="1"/>
  <c r="BX15" i="15" s="1"/>
  <c r="CK15" i="13"/>
  <c r="CK15" i="14" s="1"/>
  <c r="CK15" i="15" s="1"/>
  <c r="M15" i="13"/>
  <c r="AB15" i="13"/>
  <c r="AB15" i="14" s="1"/>
  <c r="AB15" i="15" s="1"/>
  <c r="CW15" i="13"/>
  <c r="CW15" i="14" s="1"/>
  <c r="CW15" i="15" s="1"/>
  <c r="CE15" i="13"/>
  <c r="CE15" i="14" s="1"/>
  <c r="CE15" i="15" s="1"/>
  <c r="CG15" i="13"/>
  <c r="CG15" i="14" s="1"/>
  <c r="CG15" i="15" s="1"/>
  <c r="CV15" i="13"/>
  <c r="CV15" i="14" s="1"/>
  <c r="CV15" i="15" s="1"/>
  <c r="AQ15" i="13"/>
  <c r="AQ15" i="14" s="1"/>
  <c r="AQ15" i="15" s="1"/>
  <c r="V15" i="13"/>
  <c r="V15" i="14" s="1"/>
  <c r="V15" i="15" s="1"/>
  <c r="AJ15" i="13"/>
  <c r="AJ15" i="14" s="1"/>
  <c r="AJ15" i="15" s="1"/>
  <c r="CF15" i="13"/>
  <c r="CF15" i="14" s="1"/>
  <c r="CF15" i="15" s="1"/>
  <c r="AS15" i="13"/>
  <c r="AS15" i="14" s="1"/>
  <c r="AS15" i="15" s="1"/>
  <c r="CT15" i="13"/>
  <c r="CT15" i="14" s="1"/>
  <c r="CT15" i="15" s="1"/>
  <c r="CC15" i="13"/>
  <c r="CC15" i="14" s="1"/>
  <c r="CC15" i="15" s="1"/>
  <c r="BK15" i="13"/>
  <c r="BK15" i="14" s="1"/>
  <c r="BK15" i="15" s="1"/>
  <c r="BR15" i="13"/>
  <c r="BR15" i="14" s="1"/>
  <c r="BR15" i="15" s="1"/>
  <c r="AK15" i="13"/>
  <c r="AK15" i="14" s="1"/>
  <c r="AK15" i="15" s="1"/>
  <c r="P15" i="13"/>
  <c r="P15" i="14" s="1"/>
  <c r="P15" i="15" s="1"/>
  <c r="AD15" i="13"/>
  <c r="AD15" i="14" s="1"/>
  <c r="AD15" i="15" s="1"/>
  <c r="AZ15" i="13"/>
  <c r="AZ15" i="14" s="1"/>
  <c r="AZ15" i="15" s="1"/>
  <c r="Z15" i="13"/>
  <c r="Z15" i="14" s="1"/>
  <c r="Z15" i="15" s="1"/>
  <c r="CJ15" i="13"/>
  <c r="CJ15" i="14" s="1"/>
  <c r="CJ15" i="15" s="1"/>
  <c r="CX15" i="13"/>
  <c r="CX15" i="14" s="1"/>
  <c r="CX15" i="15" s="1"/>
  <c r="AT15" i="13"/>
  <c r="AT15" i="14" s="1"/>
  <c r="AT15" i="15" s="1"/>
  <c r="X15" i="13"/>
  <c r="X15" i="14" s="1"/>
  <c r="X15" i="15" s="1"/>
  <c r="BT15" i="13"/>
  <c r="BT15" i="14" s="1"/>
  <c r="BT15" i="15" s="1"/>
  <c r="AG15" i="13"/>
  <c r="AG15" i="14" s="1"/>
  <c r="AG15" i="15" s="1"/>
  <c r="BO15" i="13"/>
  <c r="BO15" i="14" s="1"/>
  <c r="BO15" i="15" s="1"/>
  <c r="BQ15" i="13"/>
  <c r="BQ15" i="14" s="1"/>
  <c r="BQ15" i="15" s="1"/>
  <c r="AR15" i="13"/>
  <c r="AR15" i="14" s="1"/>
  <c r="AR15" i="15" s="1"/>
  <c r="AW15" i="13"/>
  <c r="AW15" i="14" s="1"/>
  <c r="AW15" i="15" s="1"/>
  <c r="AN15" i="13"/>
  <c r="AN15" i="14" s="1"/>
  <c r="AN15" i="15" s="1"/>
  <c r="R15" i="13"/>
  <c r="R15" i="14" s="1"/>
  <c r="R15" i="15" s="1"/>
  <c r="O15" i="13"/>
  <c r="O15" i="14" s="1"/>
  <c r="O15" i="15" s="1"/>
  <c r="AM15" i="13"/>
  <c r="AM15" i="14" s="1"/>
  <c r="AM15" i="15" s="1"/>
  <c r="W15" i="13"/>
  <c r="CL15" i="13"/>
  <c r="CL15" i="14" s="1"/>
  <c r="CL15" i="15" s="1"/>
  <c r="CI15" i="13"/>
  <c r="CI15" i="14" s="1"/>
  <c r="CI15" i="15" s="1"/>
  <c r="AV15" i="13"/>
  <c r="AV15" i="14" s="1"/>
  <c r="AV15" i="15" s="1"/>
  <c r="CN15" i="13"/>
  <c r="CN15" i="14" s="1"/>
  <c r="CN15" i="15" s="1"/>
  <c r="BE15" i="13"/>
  <c r="BE15" i="14" s="1"/>
  <c r="BE15" i="15" s="1"/>
  <c r="BS15" i="13"/>
  <c r="BS15" i="14" s="1"/>
  <c r="BS15" i="15" s="1"/>
  <c r="CO15" i="13"/>
  <c r="CO15" i="14" s="1"/>
  <c r="CO15" i="15" s="1"/>
  <c r="T15" i="13"/>
  <c r="T15" i="14" s="1"/>
  <c r="T15" i="15" s="1"/>
  <c r="N15" i="13"/>
  <c r="N15" i="14" s="1"/>
  <c r="N15" i="15" s="1"/>
  <c r="BB15" i="13"/>
  <c r="BB15" i="14" s="1"/>
  <c r="BB15" i="15" s="1"/>
  <c r="AP15" i="13"/>
  <c r="AP15" i="14" s="1"/>
  <c r="AP15" i="15" s="1"/>
  <c r="CB15" i="13"/>
  <c r="CB15" i="14" s="1"/>
  <c r="CB15" i="15" s="1"/>
  <c r="BA15" i="13"/>
  <c r="BA15" i="14" s="1"/>
  <c r="BA15" i="15" s="1"/>
  <c r="BI15" i="13"/>
  <c r="BI15" i="14" s="1"/>
  <c r="BI15" i="15" s="1"/>
  <c r="BV15" i="13"/>
  <c r="BV15" i="14" s="1"/>
  <c r="BV15" i="15" s="1"/>
  <c r="BW15" i="13"/>
  <c r="BW15" i="14" s="1"/>
  <c r="BW15" i="15" s="1"/>
  <c r="BD15" i="13"/>
  <c r="BD15" i="14" s="1"/>
  <c r="BD15" i="15" s="1"/>
  <c r="BJ15" i="13"/>
  <c r="BJ15" i="14" s="1"/>
  <c r="BJ15" i="15" s="1"/>
  <c r="AU15" i="13"/>
  <c r="AU15" i="14" s="1"/>
  <c r="AU15" i="15" s="1"/>
  <c r="CQ15" i="13"/>
  <c r="CQ15" i="14" s="1"/>
  <c r="CQ15" i="15" s="1"/>
  <c r="BC15" i="13"/>
  <c r="BC15" i="14" s="1"/>
  <c r="BC15" i="15" s="1"/>
  <c r="BP15" i="13"/>
  <c r="BP15" i="14" s="1"/>
  <c r="BP15" i="15" s="1"/>
  <c r="CM15" i="13"/>
  <c r="CM15" i="14" s="1"/>
  <c r="CM15" i="15" s="1"/>
  <c r="Q15" i="13"/>
  <c r="Q15" i="14" s="1"/>
  <c r="Q15" i="15" s="1"/>
  <c r="BY15" i="13"/>
  <c r="BY15" i="14" s="1"/>
  <c r="BY15" i="15" s="1"/>
  <c r="AA15" i="13"/>
  <c r="AA15" i="14" s="1"/>
  <c r="AA15" i="15" s="1"/>
  <c r="AO15" i="13"/>
  <c r="AO15" i="14" s="1"/>
  <c r="AO15" i="15" s="1"/>
  <c r="BU15" i="13"/>
  <c r="BU15" i="14" s="1"/>
  <c r="BU15" i="15" s="1"/>
  <c r="BN15" i="13"/>
  <c r="BN15" i="14" s="1"/>
  <c r="BN15" i="15" s="1"/>
  <c r="CU15" i="13"/>
  <c r="CU15" i="14" s="1"/>
  <c r="CU15" i="15" s="1"/>
  <c r="AF15" i="13"/>
  <c r="AF15" i="14" s="1"/>
  <c r="AF15" i="15" s="1"/>
  <c r="U15" i="13"/>
  <c r="U15" i="14" s="1"/>
  <c r="U15" i="15" s="1"/>
  <c r="AI15" i="13"/>
  <c r="AI15" i="14" s="1"/>
  <c r="AI15" i="15" s="1"/>
  <c r="AE15" i="13"/>
  <c r="AE15" i="14" s="1"/>
  <c r="AE15" i="15" s="1"/>
  <c r="CA15" i="13"/>
  <c r="CA15" i="14" s="1"/>
  <c r="CA15" i="15" s="1"/>
  <c r="BF15" i="13"/>
  <c r="BF15" i="14" s="1"/>
  <c r="BF15" i="15" s="1"/>
  <c r="AL15" i="13"/>
  <c r="AL15" i="14" s="1"/>
  <c r="AL15" i="15" s="1"/>
  <c r="CP15" i="13"/>
  <c r="CP15" i="14" s="1"/>
  <c r="CP15" i="15" s="1"/>
  <c r="AX15" i="13"/>
  <c r="AX15" i="14" s="1"/>
  <c r="AX15" i="15" s="1"/>
  <c r="BL15" i="13"/>
  <c r="BL15" i="14" s="1"/>
  <c r="BL15" i="15" s="1"/>
  <c r="M14" i="13"/>
  <c r="S14" i="13"/>
  <c r="S14" i="14" s="1"/>
  <c r="S14" i="15" s="1"/>
  <c r="Y14" i="13"/>
  <c r="Y14" i="14" s="1"/>
  <c r="Y14" i="15" s="1"/>
  <c r="AE14" i="13"/>
  <c r="AE14" i="14" s="1"/>
  <c r="AE14" i="15" s="1"/>
  <c r="AK14" i="13"/>
  <c r="AK14" i="14" s="1"/>
  <c r="AK14" i="15" s="1"/>
  <c r="AQ14" i="13"/>
  <c r="AQ14" i="14" s="1"/>
  <c r="AQ14" i="15" s="1"/>
  <c r="AW14" i="13"/>
  <c r="AW14" i="14" s="1"/>
  <c r="AW14" i="15" s="1"/>
  <c r="BC14" i="13"/>
  <c r="BC14" i="14" s="1"/>
  <c r="BC14" i="15" s="1"/>
  <c r="BI14" i="13"/>
  <c r="BI14" i="14" s="1"/>
  <c r="BI14" i="15" s="1"/>
  <c r="BO14" i="13"/>
  <c r="BO14" i="14" s="1"/>
  <c r="BO14" i="15" s="1"/>
  <c r="BU14" i="13"/>
  <c r="BU14" i="14" s="1"/>
  <c r="BU14" i="15" s="1"/>
  <c r="CA14" i="13"/>
  <c r="CA14" i="14" s="1"/>
  <c r="CA14" i="15" s="1"/>
  <c r="CG14" i="13"/>
  <c r="CG14" i="14" s="1"/>
  <c r="CG14" i="15" s="1"/>
  <c r="CM14" i="13"/>
  <c r="CM14" i="14" s="1"/>
  <c r="CM14" i="15" s="1"/>
  <c r="CS14" i="13"/>
  <c r="CS14" i="14" s="1"/>
  <c r="CS14" i="15" s="1"/>
  <c r="P14" i="13"/>
  <c r="P14" i="14" s="1"/>
  <c r="P14" i="15" s="1"/>
  <c r="V14" i="13"/>
  <c r="V14" i="14" s="1"/>
  <c r="V14" i="15" s="1"/>
  <c r="AB14" i="13"/>
  <c r="AB14" i="14" s="1"/>
  <c r="AB14" i="15" s="1"/>
  <c r="AH14" i="13"/>
  <c r="AH14" i="14" s="1"/>
  <c r="AH14" i="15" s="1"/>
  <c r="AN14" i="13"/>
  <c r="AN14" i="14" s="1"/>
  <c r="AN14" i="15" s="1"/>
  <c r="AT14" i="13"/>
  <c r="AT14" i="14" s="1"/>
  <c r="AT14" i="15" s="1"/>
  <c r="AZ14" i="13"/>
  <c r="AZ14" i="14" s="1"/>
  <c r="AZ14" i="15" s="1"/>
  <c r="BF14" i="13"/>
  <c r="BF14" i="14" s="1"/>
  <c r="BF14" i="15" s="1"/>
  <c r="BL14" i="13"/>
  <c r="BL14" i="14" s="1"/>
  <c r="BL14" i="15" s="1"/>
  <c r="BR14" i="13"/>
  <c r="BR14" i="14" s="1"/>
  <c r="BR14" i="15" s="1"/>
  <c r="BX14" i="13"/>
  <c r="BX14" i="14" s="1"/>
  <c r="BX14" i="15" s="1"/>
  <c r="CD14" i="13"/>
  <c r="CD14" i="14" s="1"/>
  <c r="CD14" i="15" s="1"/>
  <c r="CJ14" i="13"/>
  <c r="CJ14" i="14" s="1"/>
  <c r="CJ14" i="15" s="1"/>
  <c r="CP14" i="13"/>
  <c r="CP14" i="14" s="1"/>
  <c r="CP14" i="15" s="1"/>
  <c r="CV14" i="13"/>
  <c r="CV14" i="14" s="1"/>
  <c r="CV14" i="15" s="1"/>
  <c r="T14" i="13"/>
  <c r="T14" i="14" s="1"/>
  <c r="T14" i="15" s="1"/>
  <c r="AC14" i="13"/>
  <c r="AC14" i="14" s="1"/>
  <c r="AC14" i="15" s="1"/>
  <c r="AL14" i="13"/>
  <c r="AL14" i="14" s="1"/>
  <c r="AL14" i="15" s="1"/>
  <c r="AU14" i="13"/>
  <c r="AU14" i="14" s="1"/>
  <c r="AU14" i="15" s="1"/>
  <c r="BD14" i="13"/>
  <c r="BD14" i="14" s="1"/>
  <c r="BD14" i="15" s="1"/>
  <c r="BM14" i="13"/>
  <c r="BM14" i="14" s="1"/>
  <c r="BM14" i="15" s="1"/>
  <c r="BV14" i="13"/>
  <c r="BV14" i="14" s="1"/>
  <c r="BV14" i="15" s="1"/>
  <c r="CE14" i="13"/>
  <c r="CE14" i="14" s="1"/>
  <c r="CE14" i="15" s="1"/>
  <c r="CN14" i="13"/>
  <c r="CN14" i="14" s="1"/>
  <c r="CN14" i="15" s="1"/>
  <c r="CW14" i="13"/>
  <c r="CW14" i="14" s="1"/>
  <c r="CW14" i="15" s="1"/>
  <c r="AF14" i="13"/>
  <c r="AF14" i="14" s="1"/>
  <c r="AF14" i="15" s="1"/>
  <c r="Q14" i="13"/>
  <c r="Q14" i="14" s="1"/>
  <c r="Q14" i="15" s="1"/>
  <c r="BJ14" i="13"/>
  <c r="BJ14" i="14" s="1"/>
  <c r="BJ14" i="15" s="1"/>
  <c r="U14" i="13"/>
  <c r="U14" i="14" s="1"/>
  <c r="U14" i="15" s="1"/>
  <c r="AM14" i="13"/>
  <c r="AM14" i="14" s="1"/>
  <c r="AM14" i="15" s="1"/>
  <c r="AV14" i="13"/>
  <c r="AV14" i="14" s="1"/>
  <c r="AV14" i="15" s="1"/>
  <c r="BE14" i="13"/>
  <c r="BE14" i="14" s="1"/>
  <c r="BE14" i="15" s="1"/>
  <c r="BN14" i="13"/>
  <c r="BN14" i="14" s="1"/>
  <c r="BN14" i="15" s="1"/>
  <c r="BW14" i="13"/>
  <c r="BW14" i="14" s="1"/>
  <c r="BW14" i="15" s="1"/>
  <c r="CO14" i="13"/>
  <c r="CO14" i="14" s="1"/>
  <c r="CO14" i="15" s="1"/>
  <c r="CX14" i="13"/>
  <c r="CX14" i="14" s="1"/>
  <c r="CX14" i="15" s="1"/>
  <c r="N14" i="13"/>
  <c r="AO14" i="13"/>
  <c r="AO14" i="14" s="1"/>
  <c r="AO14" i="15" s="1"/>
  <c r="BP14" i="13"/>
  <c r="BP14" i="14" s="1"/>
  <c r="BP14" i="15" s="1"/>
  <c r="BY14" i="13"/>
  <c r="BY14" i="14" s="1"/>
  <c r="BY14" i="15" s="1"/>
  <c r="AI14" i="13"/>
  <c r="AI14" i="14" s="1"/>
  <c r="AI14" i="15" s="1"/>
  <c r="BS14" i="13"/>
  <c r="BS14" i="14" s="1"/>
  <c r="BS14" i="15" s="1"/>
  <c r="CB14" i="13"/>
  <c r="CB14" i="14" s="1"/>
  <c r="CB14" i="15" s="1"/>
  <c r="AX14" i="13"/>
  <c r="AX14" i="14" s="1"/>
  <c r="AX14" i="15" s="1"/>
  <c r="CQ14" i="13"/>
  <c r="CQ14" i="14" s="1"/>
  <c r="CQ14" i="15" s="1"/>
  <c r="AR14" i="13"/>
  <c r="AR14" i="14" s="1"/>
  <c r="AR14" i="15" s="1"/>
  <c r="CT14" i="13"/>
  <c r="CT14" i="14" s="1"/>
  <c r="CT14" i="15" s="1"/>
  <c r="O14" i="13"/>
  <c r="O14" i="14" s="1"/>
  <c r="O14" i="15" s="1"/>
  <c r="X14" i="13"/>
  <c r="X14" i="14" s="1"/>
  <c r="X14" i="15" s="1"/>
  <c r="AG14" i="13"/>
  <c r="AG14" i="14" s="1"/>
  <c r="AG14" i="15" s="1"/>
  <c r="AP14" i="13"/>
  <c r="AP14" i="14" s="1"/>
  <c r="AP14" i="15" s="1"/>
  <c r="AY14" i="13"/>
  <c r="AY14" i="14" s="1"/>
  <c r="AY14" i="15" s="1"/>
  <c r="BH14" i="13"/>
  <c r="BH14" i="14" s="1"/>
  <c r="BH14" i="15" s="1"/>
  <c r="BQ14" i="13"/>
  <c r="BQ14" i="14" s="1"/>
  <c r="BQ14" i="15" s="1"/>
  <c r="BZ14" i="13"/>
  <c r="BZ14" i="14" s="1"/>
  <c r="BZ14" i="15" s="1"/>
  <c r="CI14" i="13"/>
  <c r="CI14" i="14" s="1"/>
  <c r="CI14" i="15" s="1"/>
  <c r="CR14" i="13"/>
  <c r="CR14" i="14" s="1"/>
  <c r="CR14" i="15" s="1"/>
  <c r="R14" i="13"/>
  <c r="R14" i="14" s="1"/>
  <c r="R14" i="15" s="1"/>
  <c r="AA14" i="13"/>
  <c r="AA14" i="14" s="1"/>
  <c r="AA14" i="15" s="1"/>
  <c r="AJ14" i="13"/>
  <c r="AJ14" i="14" s="1"/>
  <c r="AJ14" i="15" s="1"/>
  <c r="AS14" i="13"/>
  <c r="AS14" i="14" s="1"/>
  <c r="AS14" i="15" s="1"/>
  <c r="BB14" i="13"/>
  <c r="BB14" i="14" s="1"/>
  <c r="BB14" i="15" s="1"/>
  <c r="BK14" i="13"/>
  <c r="BK14" i="14" s="1"/>
  <c r="BK14" i="15" s="1"/>
  <c r="BT14" i="13"/>
  <c r="BT14" i="14" s="1"/>
  <c r="BT14" i="15" s="1"/>
  <c r="CC14" i="13"/>
  <c r="CC14" i="14" s="1"/>
  <c r="CC14" i="15" s="1"/>
  <c r="CL14" i="13"/>
  <c r="CL14" i="14" s="1"/>
  <c r="CL14" i="15" s="1"/>
  <c r="CU14" i="13"/>
  <c r="CU14" i="14" s="1"/>
  <c r="CU14" i="15" s="1"/>
  <c r="AD14" i="13"/>
  <c r="AD14" i="14" s="1"/>
  <c r="AD14" i="15" s="1"/>
  <c r="CF14" i="13"/>
  <c r="CF14" i="14" s="1"/>
  <c r="CF14" i="15" s="1"/>
  <c r="W14" i="13"/>
  <c r="W14" i="14" s="1"/>
  <c r="W14" i="15" s="1"/>
  <c r="BG14" i="13"/>
  <c r="BG14" i="14" s="1"/>
  <c r="BG14" i="15" s="1"/>
  <c r="CH14" i="13"/>
  <c r="CH14" i="14" s="1"/>
  <c r="CH14" i="15" s="1"/>
  <c r="Z14" i="13"/>
  <c r="Z14" i="14" s="1"/>
  <c r="Z14" i="15" s="1"/>
  <c r="BA14" i="13"/>
  <c r="BA14" i="14" s="1"/>
  <c r="BA14" i="15" s="1"/>
  <c r="CK14" i="13"/>
  <c r="CK14" i="14" s="1"/>
  <c r="CK14" i="15" s="1"/>
  <c r="M12" i="13"/>
  <c r="S12" i="13"/>
  <c r="S12" i="14" s="1"/>
  <c r="S12" i="15" s="1"/>
  <c r="Y12" i="13"/>
  <c r="Y12" i="14" s="1"/>
  <c r="Y12" i="15" s="1"/>
  <c r="AE12" i="13"/>
  <c r="AE12" i="14" s="1"/>
  <c r="AE12" i="15" s="1"/>
  <c r="AK12" i="13"/>
  <c r="AK12" i="14" s="1"/>
  <c r="AK12" i="15" s="1"/>
  <c r="AQ12" i="13"/>
  <c r="AQ12" i="14" s="1"/>
  <c r="AQ12" i="15" s="1"/>
  <c r="AW12" i="13"/>
  <c r="AW12" i="14" s="1"/>
  <c r="AW12" i="15" s="1"/>
  <c r="BC12" i="13"/>
  <c r="BC12" i="14" s="1"/>
  <c r="BC12" i="15" s="1"/>
  <c r="BI12" i="13"/>
  <c r="BI12" i="14" s="1"/>
  <c r="BI12" i="15" s="1"/>
  <c r="BO12" i="13"/>
  <c r="BO12" i="14" s="1"/>
  <c r="BO12" i="15" s="1"/>
  <c r="BU12" i="13"/>
  <c r="BU12" i="14" s="1"/>
  <c r="BU12" i="15" s="1"/>
  <c r="CA12" i="13"/>
  <c r="CA12" i="14" s="1"/>
  <c r="CA12" i="15" s="1"/>
  <c r="CG12" i="13"/>
  <c r="CG12" i="14" s="1"/>
  <c r="CG12" i="15" s="1"/>
  <c r="CM12" i="13"/>
  <c r="CM12" i="14" s="1"/>
  <c r="CM12" i="15" s="1"/>
  <c r="CS12" i="13"/>
  <c r="CS12" i="14" s="1"/>
  <c r="CS12" i="15" s="1"/>
  <c r="P12" i="13"/>
  <c r="P12" i="14" s="1"/>
  <c r="P12" i="15" s="1"/>
  <c r="V12" i="13"/>
  <c r="V12" i="14" s="1"/>
  <c r="V12" i="15" s="1"/>
  <c r="AB12" i="13"/>
  <c r="AB12" i="14" s="1"/>
  <c r="AB12" i="15" s="1"/>
  <c r="AH12" i="13"/>
  <c r="AH12" i="14" s="1"/>
  <c r="AH12" i="15" s="1"/>
  <c r="AN12" i="13"/>
  <c r="AN12" i="14" s="1"/>
  <c r="AN12" i="15" s="1"/>
  <c r="AT12" i="13"/>
  <c r="AT12" i="14" s="1"/>
  <c r="AT12" i="15" s="1"/>
  <c r="AZ12" i="13"/>
  <c r="AZ12" i="14" s="1"/>
  <c r="AZ12" i="15" s="1"/>
  <c r="BF12" i="13"/>
  <c r="BF12" i="14" s="1"/>
  <c r="BF12" i="15" s="1"/>
  <c r="BL12" i="13"/>
  <c r="BL12" i="14" s="1"/>
  <c r="BL12" i="15" s="1"/>
  <c r="BR12" i="13"/>
  <c r="BR12" i="14" s="1"/>
  <c r="BR12" i="15" s="1"/>
  <c r="BX12" i="13"/>
  <c r="BX12" i="14" s="1"/>
  <c r="BX12" i="15" s="1"/>
  <c r="CD12" i="13"/>
  <c r="CD12" i="14" s="1"/>
  <c r="CD12" i="15" s="1"/>
  <c r="CJ12" i="13"/>
  <c r="CJ12" i="14" s="1"/>
  <c r="CJ12" i="15" s="1"/>
  <c r="CP12" i="13"/>
  <c r="CP12" i="14" s="1"/>
  <c r="CP12" i="15" s="1"/>
  <c r="CV12" i="13"/>
  <c r="CV12" i="14" s="1"/>
  <c r="CV12" i="15" s="1"/>
  <c r="T12" i="13"/>
  <c r="T12" i="14" s="1"/>
  <c r="T12" i="15" s="1"/>
  <c r="AC12" i="13"/>
  <c r="AC12" i="14" s="1"/>
  <c r="AC12" i="15" s="1"/>
  <c r="AL12" i="13"/>
  <c r="AL12" i="14" s="1"/>
  <c r="AL12" i="15" s="1"/>
  <c r="AU12" i="13"/>
  <c r="AU12" i="14" s="1"/>
  <c r="AU12" i="15" s="1"/>
  <c r="BD12" i="13"/>
  <c r="BD12" i="14" s="1"/>
  <c r="BD12" i="15" s="1"/>
  <c r="BM12" i="13"/>
  <c r="BM12" i="14" s="1"/>
  <c r="BM12" i="15" s="1"/>
  <c r="BV12" i="13"/>
  <c r="BV12" i="14" s="1"/>
  <c r="BV12" i="15" s="1"/>
  <c r="CE12" i="13"/>
  <c r="CE12" i="14" s="1"/>
  <c r="CE12" i="15" s="1"/>
  <c r="CN12" i="13"/>
  <c r="CN12" i="14" s="1"/>
  <c r="CN12" i="15" s="1"/>
  <c r="CW12" i="13"/>
  <c r="CW12" i="14" s="1"/>
  <c r="CW12" i="15" s="1"/>
  <c r="AX12" i="13"/>
  <c r="AX12" i="14" s="1"/>
  <c r="AX12" i="15" s="1"/>
  <c r="CQ12" i="13"/>
  <c r="CQ12" i="14" s="1"/>
  <c r="CQ12" i="15" s="1"/>
  <c r="Z12" i="13"/>
  <c r="Z12" i="14" s="1"/>
  <c r="Z12" i="15" s="1"/>
  <c r="CB12" i="13"/>
  <c r="CB12" i="14" s="1"/>
  <c r="CB12" i="15" s="1"/>
  <c r="U12" i="13"/>
  <c r="U12" i="14" s="1"/>
  <c r="U12" i="15" s="1"/>
  <c r="AD12" i="13"/>
  <c r="AD12" i="14" s="1"/>
  <c r="AD12" i="15" s="1"/>
  <c r="AM12" i="13"/>
  <c r="AM12" i="14" s="1"/>
  <c r="AM12" i="15" s="1"/>
  <c r="AV12" i="13"/>
  <c r="AV12" i="14" s="1"/>
  <c r="AV12" i="15" s="1"/>
  <c r="BE12" i="13"/>
  <c r="BE12" i="14" s="1"/>
  <c r="BE12" i="15" s="1"/>
  <c r="BN12" i="13"/>
  <c r="BN12" i="14" s="1"/>
  <c r="BN12" i="15" s="1"/>
  <c r="BW12" i="13"/>
  <c r="BW12" i="14" s="1"/>
  <c r="BW12" i="15" s="1"/>
  <c r="CF12" i="13"/>
  <c r="CF12" i="14" s="1"/>
  <c r="CF12" i="15" s="1"/>
  <c r="CO12" i="13"/>
  <c r="CO12" i="14" s="1"/>
  <c r="CO12" i="15" s="1"/>
  <c r="CX12" i="13"/>
  <c r="CX12" i="14" s="1"/>
  <c r="CX12" i="15" s="1"/>
  <c r="AO12" i="13"/>
  <c r="AO12" i="14" s="1"/>
  <c r="AO12" i="15" s="1"/>
  <c r="BP12" i="13"/>
  <c r="BP12" i="14" s="1"/>
  <c r="BP12" i="15" s="1"/>
  <c r="AI12" i="13"/>
  <c r="AI12" i="14" s="1"/>
  <c r="AI12" i="15" s="1"/>
  <c r="BS12" i="13"/>
  <c r="BS12" i="14" s="1"/>
  <c r="BS12" i="15" s="1"/>
  <c r="W12" i="13"/>
  <c r="W12" i="14" s="1"/>
  <c r="W12" i="15" s="1"/>
  <c r="BY12" i="13"/>
  <c r="BY12" i="14" s="1"/>
  <c r="BY12" i="15" s="1"/>
  <c r="Q12" i="13"/>
  <c r="Q12" i="14" s="1"/>
  <c r="Q12" i="15" s="1"/>
  <c r="BA12" i="13"/>
  <c r="BA12" i="14" s="1"/>
  <c r="BA12" i="15" s="1"/>
  <c r="CK12" i="13"/>
  <c r="CK12" i="14" s="1"/>
  <c r="CK12" i="15" s="1"/>
  <c r="O12" i="13"/>
  <c r="O12" i="14" s="1"/>
  <c r="O12" i="15" s="1"/>
  <c r="X12" i="13"/>
  <c r="X12" i="14" s="1"/>
  <c r="X12" i="15" s="1"/>
  <c r="AG12" i="13"/>
  <c r="AG12" i="14" s="1"/>
  <c r="AG12" i="15" s="1"/>
  <c r="AP12" i="13"/>
  <c r="AP12" i="14" s="1"/>
  <c r="AP12" i="15" s="1"/>
  <c r="AY12" i="13"/>
  <c r="AY12" i="14" s="1"/>
  <c r="AY12" i="15" s="1"/>
  <c r="BH12" i="13"/>
  <c r="BH12" i="14" s="1"/>
  <c r="BH12" i="15" s="1"/>
  <c r="BQ12" i="13"/>
  <c r="BQ12" i="14" s="1"/>
  <c r="BQ12" i="15" s="1"/>
  <c r="BZ12" i="13"/>
  <c r="BZ12" i="14" s="1"/>
  <c r="BZ12" i="15" s="1"/>
  <c r="CI12" i="13"/>
  <c r="CI12" i="14" s="1"/>
  <c r="CI12" i="15" s="1"/>
  <c r="CR12" i="13"/>
  <c r="CR12" i="14" s="1"/>
  <c r="CR12" i="15" s="1"/>
  <c r="R12" i="13"/>
  <c r="R12" i="14" s="1"/>
  <c r="R12" i="15" s="1"/>
  <c r="AA12" i="13"/>
  <c r="AA12" i="14" s="1"/>
  <c r="AA12" i="15" s="1"/>
  <c r="AJ12" i="13"/>
  <c r="AJ12" i="14" s="1"/>
  <c r="AJ12" i="15" s="1"/>
  <c r="AS12" i="13"/>
  <c r="AS12" i="14" s="1"/>
  <c r="AS12" i="15" s="1"/>
  <c r="BB12" i="13"/>
  <c r="BB12" i="14" s="1"/>
  <c r="BB12" i="15" s="1"/>
  <c r="BK12" i="13"/>
  <c r="BK12" i="14" s="1"/>
  <c r="BK12" i="15" s="1"/>
  <c r="BT12" i="13"/>
  <c r="BT12" i="14" s="1"/>
  <c r="BT12" i="15" s="1"/>
  <c r="CC12" i="13"/>
  <c r="CC12" i="14" s="1"/>
  <c r="CC12" i="15" s="1"/>
  <c r="CL12" i="13"/>
  <c r="CL12" i="14" s="1"/>
  <c r="CL12" i="15" s="1"/>
  <c r="CU12" i="13"/>
  <c r="CU12" i="14" s="1"/>
  <c r="CU12" i="15" s="1"/>
  <c r="N12" i="13"/>
  <c r="AF12" i="13"/>
  <c r="AF12" i="14" s="1"/>
  <c r="AF12" i="15" s="1"/>
  <c r="BG12" i="13"/>
  <c r="BG12" i="14" s="1"/>
  <c r="BG12" i="15" s="1"/>
  <c r="CH12" i="13"/>
  <c r="CH12" i="14" s="1"/>
  <c r="CH12" i="15" s="1"/>
  <c r="AR12" i="13"/>
  <c r="AR12" i="14" s="1"/>
  <c r="AR12" i="15" s="1"/>
  <c r="BJ12" i="13"/>
  <c r="BJ12" i="14" s="1"/>
  <c r="BJ12" i="15" s="1"/>
  <c r="CT12" i="13"/>
  <c r="CT12" i="14" s="1"/>
  <c r="CT12" i="15" s="1"/>
  <c r="M10" i="13"/>
  <c r="S10" i="13"/>
  <c r="S10" i="14" s="1"/>
  <c r="S10" i="15" s="1"/>
  <c r="Y10" i="13"/>
  <c r="Y10" i="14" s="1"/>
  <c r="Y10" i="15" s="1"/>
  <c r="AE10" i="13"/>
  <c r="AE10" i="14" s="1"/>
  <c r="AE10" i="15" s="1"/>
  <c r="AK10" i="13"/>
  <c r="AK10" i="14" s="1"/>
  <c r="AK10" i="15" s="1"/>
  <c r="AQ10" i="13"/>
  <c r="AQ10" i="14" s="1"/>
  <c r="AQ10" i="15" s="1"/>
  <c r="AW10" i="13"/>
  <c r="AW10" i="14" s="1"/>
  <c r="AW10" i="15" s="1"/>
  <c r="BC10" i="13"/>
  <c r="BC10" i="14" s="1"/>
  <c r="BC10" i="15" s="1"/>
  <c r="BI10" i="13"/>
  <c r="BI10" i="14" s="1"/>
  <c r="BI10" i="15" s="1"/>
  <c r="BO10" i="13"/>
  <c r="BO10" i="14" s="1"/>
  <c r="BO10" i="15" s="1"/>
  <c r="BU10" i="13"/>
  <c r="BU10" i="14" s="1"/>
  <c r="BU10" i="15" s="1"/>
  <c r="CA10" i="13"/>
  <c r="CA10" i="14" s="1"/>
  <c r="CA10" i="15" s="1"/>
  <c r="CG10" i="13"/>
  <c r="CG10" i="14" s="1"/>
  <c r="CG10" i="15" s="1"/>
  <c r="CM10" i="13"/>
  <c r="CM10" i="14" s="1"/>
  <c r="CM10" i="15" s="1"/>
  <c r="CS10" i="13"/>
  <c r="CS10" i="14" s="1"/>
  <c r="CS10" i="15" s="1"/>
  <c r="N10" i="13"/>
  <c r="T10" i="13"/>
  <c r="T10" i="14" s="1"/>
  <c r="T10" i="15" s="1"/>
  <c r="Z10" i="13"/>
  <c r="Z10" i="14" s="1"/>
  <c r="Z10" i="15" s="1"/>
  <c r="AF10" i="13"/>
  <c r="AF10" i="14" s="1"/>
  <c r="AF10" i="15" s="1"/>
  <c r="AL10" i="13"/>
  <c r="AL10" i="14" s="1"/>
  <c r="AL10" i="15" s="1"/>
  <c r="AR10" i="13"/>
  <c r="AR10" i="14" s="1"/>
  <c r="AR10" i="15" s="1"/>
  <c r="AX10" i="13"/>
  <c r="AX10" i="14" s="1"/>
  <c r="AX10" i="15" s="1"/>
  <c r="BD10" i="13"/>
  <c r="BD10" i="14" s="1"/>
  <c r="BD10" i="15" s="1"/>
  <c r="BJ10" i="13"/>
  <c r="BJ10" i="14" s="1"/>
  <c r="BJ10" i="15" s="1"/>
  <c r="BP10" i="13"/>
  <c r="BP10" i="14" s="1"/>
  <c r="BP10" i="15" s="1"/>
  <c r="P10" i="13"/>
  <c r="P10" i="14" s="1"/>
  <c r="P10" i="15" s="1"/>
  <c r="V10" i="13"/>
  <c r="V10" i="14" s="1"/>
  <c r="V10" i="15" s="1"/>
  <c r="AB10" i="13"/>
  <c r="AB10" i="14" s="1"/>
  <c r="AB10" i="15" s="1"/>
  <c r="AH10" i="13"/>
  <c r="AH10" i="14" s="1"/>
  <c r="AH10" i="15" s="1"/>
  <c r="AN10" i="13"/>
  <c r="AN10" i="14" s="1"/>
  <c r="AN10" i="15" s="1"/>
  <c r="AT10" i="13"/>
  <c r="AT10" i="14" s="1"/>
  <c r="AT10" i="15" s="1"/>
  <c r="AZ10" i="13"/>
  <c r="AZ10" i="14" s="1"/>
  <c r="AZ10" i="15" s="1"/>
  <c r="BF10" i="13"/>
  <c r="BF10" i="14" s="1"/>
  <c r="BF10" i="15" s="1"/>
  <c r="BL10" i="13"/>
  <c r="BL10" i="14" s="1"/>
  <c r="BL10" i="15" s="1"/>
  <c r="BR10" i="13"/>
  <c r="BR10" i="14" s="1"/>
  <c r="BR10" i="15" s="1"/>
  <c r="BX10" i="13"/>
  <c r="BX10" i="14" s="1"/>
  <c r="BX10" i="15" s="1"/>
  <c r="CD10" i="13"/>
  <c r="CD10" i="14" s="1"/>
  <c r="CD10" i="15" s="1"/>
  <c r="CJ10" i="13"/>
  <c r="CJ10" i="14" s="1"/>
  <c r="CJ10" i="15" s="1"/>
  <c r="CP10" i="13"/>
  <c r="CP10" i="14" s="1"/>
  <c r="CP10" i="15" s="1"/>
  <c r="CV10" i="13"/>
  <c r="CV10" i="14" s="1"/>
  <c r="CV10" i="15" s="1"/>
  <c r="Q10" i="13"/>
  <c r="Q10" i="14" s="1"/>
  <c r="Q10" i="15" s="1"/>
  <c r="W10" i="13"/>
  <c r="W10" i="14" s="1"/>
  <c r="W10" i="15" s="1"/>
  <c r="AC10" i="13"/>
  <c r="AC10" i="14" s="1"/>
  <c r="AC10" i="15" s="1"/>
  <c r="AI10" i="13"/>
  <c r="AI10" i="14" s="1"/>
  <c r="AI10" i="15" s="1"/>
  <c r="AO10" i="13"/>
  <c r="AO10" i="14" s="1"/>
  <c r="AO10" i="15" s="1"/>
  <c r="AU10" i="13"/>
  <c r="AU10" i="14" s="1"/>
  <c r="AU10" i="15" s="1"/>
  <c r="O10" i="13"/>
  <c r="O10" i="14" s="1"/>
  <c r="O10" i="15" s="1"/>
  <c r="AG10" i="13"/>
  <c r="AG10" i="14" s="1"/>
  <c r="AG10" i="15" s="1"/>
  <c r="AY10" i="13"/>
  <c r="AY10" i="14" s="1"/>
  <c r="AY10" i="15" s="1"/>
  <c r="BK10" i="13"/>
  <c r="BK10" i="14" s="1"/>
  <c r="BK10" i="15" s="1"/>
  <c r="BV10" i="13"/>
  <c r="BV10" i="14" s="1"/>
  <c r="BV10" i="15" s="1"/>
  <c r="CE10" i="13"/>
  <c r="CE10" i="14" s="1"/>
  <c r="CE10" i="15" s="1"/>
  <c r="CN10" i="13"/>
  <c r="CN10" i="14" s="1"/>
  <c r="CN10" i="15" s="1"/>
  <c r="CW10" i="13"/>
  <c r="CW10" i="14" s="1"/>
  <c r="CW10" i="15" s="1"/>
  <c r="AM10" i="13"/>
  <c r="AM10" i="14" s="1"/>
  <c r="AM10" i="15" s="1"/>
  <c r="BG10" i="13"/>
  <c r="BG10" i="14" s="1"/>
  <c r="BG10" i="15" s="1"/>
  <c r="CB10" i="13"/>
  <c r="CB10" i="14" s="1"/>
  <c r="CB10" i="15" s="1"/>
  <c r="R10" i="13"/>
  <c r="R10" i="14" s="1"/>
  <c r="R10" i="15" s="1"/>
  <c r="AJ10" i="13"/>
  <c r="AJ10" i="14" s="1"/>
  <c r="AJ10" i="15" s="1"/>
  <c r="BA10" i="13"/>
  <c r="BA10" i="14" s="1"/>
  <c r="BA10" i="15" s="1"/>
  <c r="BM10" i="13"/>
  <c r="BM10" i="14" s="1"/>
  <c r="BM10" i="15" s="1"/>
  <c r="BW10" i="13"/>
  <c r="BW10" i="14" s="1"/>
  <c r="BW10" i="15" s="1"/>
  <c r="CO10" i="13"/>
  <c r="CO10" i="14" s="1"/>
  <c r="CO10" i="15" s="1"/>
  <c r="CX10" i="13"/>
  <c r="CX10" i="14" s="1"/>
  <c r="CX10" i="15" s="1"/>
  <c r="U10" i="13"/>
  <c r="U10" i="14" s="1"/>
  <c r="U10" i="15" s="1"/>
  <c r="BS10" i="13"/>
  <c r="BS10" i="14" s="1"/>
  <c r="BS10" i="15" s="1"/>
  <c r="BN10" i="13"/>
  <c r="BN10" i="14" s="1"/>
  <c r="BN10" i="15" s="1"/>
  <c r="BY10" i="13"/>
  <c r="BY10" i="14" s="1"/>
  <c r="BY10" i="15" s="1"/>
  <c r="CH10" i="13"/>
  <c r="CH10" i="14" s="1"/>
  <c r="CH10" i="15" s="1"/>
  <c r="CQ10" i="13"/>
  <c r="CQ10" i="14" s="1"/>
  <c r="CQ10" i="15" s="1"/>
  <c r="AA10" i="13"/>
  <c r="AA10" i="14" s="1"/>
  <c r="AA10" i="15" s="1"/>
  <c r="CT10" i="13"/>
  <c r="CT10" i="14" s="1"/>
  <c r="CT10" i="15" s="1"/>
  <c r="X10" i="13"/>
  <c r="X10" i="14" s="1"/>
  <c r="X10" i="15" s="1"/>
  <c r="AP10" i="13"/>
  <c r="AP10" i="14" s="1"/>
  <c r="AP10" i="15" s="1"/>
  <c r="BE10" i="13"/>
  <c r="BE10" i="14" s="1"/>
  <c r="BE10" i="15" s="1"/>
  <c r="BQ10" i="13"/>
  <c r="BQ10" i="14" s="1"/>
  <c r="BQ10" i="15" s="1"/>
  <c r="BZ10" i="13"/>
  <c r="BZ10" i="14" s="1"/>
  <c r="BZ10" i="15" s="1"/>
  <c r="CI10" i="13"/>
  <c r="CI10" i="14" s="1"/>
  <c r="CI10" i="15" s="1"/>
  <c r="CR10" i="13"/>
  <c r="CR10" i="14" s="1"/>
  <c r="CR10" i="15" s="1"/>
  <c r="AD10" i="13"/>
  <c r="AD10" i="14" s="1"/>
  <c r="AD10" i="15" s="1"/>
  <c r="AV10" i="13"/>
  <c r="AV10" i="14" s="1"/>
  <c r="AV10" i="15" s="1"/>
  <c r="BH10" i="13"/>
  <c r="BH10" i="14" s="1"/>
  <c r="BH10" i="15" s="1"/>
  <c r="BT10" i="13"/>
  <c r="BT10" i="14" s="1"/>
  <c r="BT10" i="15" s="1"/>
  <c r="CC10" i="13"/>
  <c r="CC10" i="14" s="1"/>
  <c r="CC10" i="15" s="1"/>
  <c r="CL10" i="13"/>
  <c r="CL10" i="14" s="1"/>
  <c r="CL10" i="15" s="1"/>
  <c r="CU10" i="13"/>
  <c r="CU10" i="14" s="1"/>
  <c r="CU10" i="15" s="1"/>
  <c r="CF10" i="13"/>
  <c r="CF10" i="14" s="1"/>
  <c r="CF10" i="15" s="1"/>
  <c r="BB10" i="13"/>
  <c r="BB10" i="14" s="1"/>
  <c r="BB10" i="15" s="1"/>
  <c r="AS10" i="13"/>
  <c r="AS10" i="14" s="1"/>
  <c r="AS10" i="15" s="1"/>
  <c r="CK10" i="13"/>
  <c r="CK10" i="14" s="1"/>
  <c r="CK10" i="15" s="1"/>
  <c r="M11" i="13"/>
  <c r="S11" i="13"/>
  <c r="S11" i="14" s="1"/>
  <c r="S11" i="15" s="1"/>
  <c r="Y11" i="13"/>
  <c r="Y11" i="14" s="1"/>
  <c r="Y11" i="15" s="1"/>
  <c r="AE11" i="13"/>
  <c r="AE11" i="14" s="1"/>
  <c r="AE11" i="15" s="1"/>
  <c r="AK11" i="13"/>
  <c r="AK11" i="14" s="1"/>
  <c r="AK11" i="15" s="1"/>
  <c r="AQ11" i="13"/>
  <c r="AQ11" i="14" s="1"/>
  <c r="AQ11" i="15" s="1"/>
  <c r="AW11" i="13"/>
  <c r="AW11" i="14" s="1"/>
  <c r="AW11" i="15" s="1"/>
  <c r="BC11" i="13"/>
  <c r="BC11" i="14" s="1"/>
  <c r="BC11" i="15" s="1"/>
  <c r="BI11" i="13"/>
  <c r="BI11" i="14" s="1"/>
  <c r="BI11" i="15" s="1"/>
  <c r="BO11" i="13"/>
  <c r="BO11" i="14" s="1"/>
  <c r="BO11" i="15" s="1"/>
  <c r="BU11" i="13"/>
  <c r="BU11" i="14" s="1"/>
  <c r="BU11" i="15" s="1"/>
  <c r="CA11" i="13"/>
  <c r="CA11" i="14" s="1"/>
  <c r="CA11" i="15" s="1"/>
  <c r="CG11" i="13"/>
  <c r="CG11" i="14" s="1"/>
  <c r="CG11" i="15" s="1"/>
  <c r="CM11" i="13"/>
  <c r="CM11" i="14" s="1"/>
  <c r="CM11" i="15" s="1"/>
  <c r="CS11" i="13"/>
  <c r="CS11" i="14" s="1"/>
  <c r="CS11" i="15" s="1"/>
  <c r="P11" i="13"/>
  <c r="P11" i="14" s="1"/>
  <c r="P11" i="15" s="1"/>
  <c r="V11" i="13"/>
  <c r="V11" i="14" s="1"/>
  <c r="V11" i="15" s="1"/>
  <c r="AB11" i="13"/>
  <c r="AB11" i="14" s="1"/>
  <c r="AB11" i="15" s="1"/>
  <c r="AH11" i="13"/>
  <c r="AH11" i="14" s="1"/>
  <c r="AH11" i="15" s="1"/>
  <c r="AN11" i="13"/>
  <c r="AN11" i="14" s="1"/>
  <c r="AN11" i="15" s="1"/>
  <c r="AT11" i="13"/>
  <c r="AT11" i="14" s="1"/>
  <c r="AT11" i="15" s="1"/>
  <c r="AZ11" i="13"/>
  <c r="AZ11" i="14" s="1"/>
  <c r="AZ11" i="15" s="1"/>
  <c r="BF11" i="13"/>
  <c r="BF11" i="14" s="1"/>
  <c r="BF11" i="15" s="1"/>
  <c r="BL11" i="13"/>
  <c r="BL11" i="14" s="1"/>
  <c r="BL11" i="15" s="1"/>
  <c r="BR11" i="13"/>
  <c r="BR11" i="14" s="1"/>
  <c r="BR11" i="15" s="1"/>
  <c r="BX11" i="13"/>
  <c r="BX11" i="14" s="1"/>
  <c r="BX11" i="15" s="1"/>
  <c r="CD11" i="13"/>
  <c r="CD11" i="14" s="1"/>
  <c r="CD11" i="15" s="1"/>
  <c r="CJ11" i="13"/>
  <c r="CJ11" i="14" s="1"/>
  <c r="CJ11" i="15" s="1"/>
  <c r="CP11" i="13"/>
  <c r="CP11" i="14" s="1"/>
  <c r="CP11" i="15" s="1"/>
  <c r="CV11" i="13"/>
  <c r="CV11" i="14" s="1"/>
  <c r="CV11" i="15" s="1"/>
  <c r="T11" i="13"/>
  <c r="T11" i="14" s="1"/>
  <c r="T11" i="15" s="1"/>
  <c r="AC11" i="13"/>
  <c r="AC11" i="14" s="1"/>
  <c r="AC11" i="15" s="1"/>
  <c r="AL11" i="13"/>
  <c r="AL11" i="14" s="1"/>
  <c r="AL11" i="15" s="1"/>
  <c r="AU11" i="13"/>
  <c r="AU11" i="14" s="1"/>
  <c r="AU11" i="15" s="1"/>
  <c r="BD11" i="13"/>
  <c r="BD11" i="14" s="1"/>
  <c r="BD11" i="15" s="1"/>
  <c r="BM11" i="13"/>
  <c r="BM11" i="14" s="1"/>
  <c r="BM11" i="15" s="1"/>
  <c r="BV11" i="13"/>
  <c r="BV11" i="14" s="1"/>
  <c r="BV11" i="15" s="1"/>
  <c r="CE11" i="13"/>
  <c r="CE11" i="14" s="1"/>
  <c r="CE11" i="15" s="1"/>
  <c r="CN11" i="13"/>
  <c r="CN11" i="14" s="1"/>
  <c r="CN11" i="15" s="1"/>
  <c r="CW11" i="13"/>
  <c r="CW11" i="14" s="1"/>
  <c r="CW11" i="15" s="1"/>
  <c r="BY11" i="13"/>
  <c r="BY11" i="14" s="1"/>
  <c r="BY11" i="15" s="1"/>
  <c r="Q11" i="13"/>
  <c r="Q11" i="14" s="1"/>
  <c r="Q11" i="15" s="1"/>
  <c r="AR11" i="13"/>
  <c r="AR11" i="14" s="1"/>
  <c r="AR11" i="15" s="1"/>
  <c r="BS11" i="13"/>
  <c r="BS11" i="14" s="1"/>
  <c r="BS11" i="15" s="1"/>
  <c r="U11" i="13"/>
  <c r="U11" i="14" s="1"/>
  <c r="U11" i="15" s="1"/>
  <c r="AD11" i="13"/>
  <c r="AD11" i="14" s="1"/>
  <c r="AD11" i="15" s="1"/>
  <c r="AM11" i="13"/>
  <c r="AM11" i="14" s="1"/>
  <c r="AM11" i="15" s="1"/>
  <c r="AV11" i="13"/>
  <c r="AV11" i="14" s="1"/>
  <c r="AV11" i="15" s="1"/>
  <c r="BE11" i="13"/>
  <c r="BE11" i="14" s="1"/>
  <c r="BE11" i="15" s="1"/>
  <c r="BN11" i="13"/>
  <c r="BN11" i="14" s="1"/>
  <c r="BN11" i="15" s="1"/>
  <c r="BW11" i="13"/>
  <c r="BW11" i="14" s="1"/>
  <c r="BW11" i="15" s="1"/>
  <c r="CF11" i="13"/>
  <c r="CF11" i="14" s="1"/>
  <c r="CF11" i="15" s="1"/>
  <c r="CO11" i="13"/>
  <c r="CO11" i="14" s="1"/>
  <c r="CO11" i="15" s="1"/>
  <c r="CX11" i="13"/>
  <c r="CX11" i="14" s="1"/>
  <c r="CX11" i="15" s="1"/>
  <c r="AX11" i="13"/>
  <c r="AX11" i="14" s="1"/>
  <c r="AX11" i="15" s="1"/>
  <c r="CQ11" i="13"/>
  <c r="CQ11" i="14" s="1"/>
  <c r="CQ11" i="15" s="1"/>
  <c r="Z11" i="13"/>
  <c r="Z11" i="14" s="1"/>
  <c r="Z11" i="15" s="1"/>
  <c r="BJ11" i="13"/>
  <c r="BJ11" i="14" s="1"/>
  <c r="BJ11" i="15" s="1"/>
  <c r="CK11" i="13"/>
  <c r="CK11" i="14" s="1"/>
  <c r="CK11" i="15" s="1"/>
  <c r="N11" i="13"/>
  <c r="W11" i="13"/>
  <c r="W11" i="14" s="1"/>
  <c r="W11" i="15" s="1"/>
  <c r="AO11" i="13"/>
  <c r="AO11" i="14" s="1"/>
  <c r="AO11" i="15" s="1"/>
  <c r="BG11" i="13"/>
  <c r="BG11" i="14" s="1"/>
  <c r="BG11" i="15" s="1"/>
  <c r="CH11" i="13"/>
  <c r="CH11" i="14" s="1"/>
  <c r="CH11" i="15" s="1"/>
  <c r="CB11" i="13"/>
  <c r="CB11" i="14" s="1"/>
  <c r="CB11" i="15" s="1"/>
  <c r="O11" i="13"/>
  <c r="O11" i="14" s="1"/>
  <c r="O11" i="15" s="1"/>
  <c r="X11" i="13"/>
  <c r="X11" i="14" s="1"/>
  <c r="X11" i="15" s="1"/>
  <c r="AG11" i="13"/>
  <c r="AG11" i="14" s="1"/>
  <c r="AG11" i="15" s="1"/>
  <c r="AP11" i="13"/>
  <c r="AP11" i="14" s="1"/>
  <c r="AP11" i="15" s="1"/>
  <c r="AY11" i="13"/>
  <c r="AY11" i="14" s="1"/>
  <c r="AY11" i="15" s="1"/>
  <c r="BH11" i="13"/>
  <c r="BH11" i="14" s="1"/>
  <c r="BH11" i="15" s="1"/>
  <c r="BQ11" i="13"/>
  <c r="BQ11" i="14" s="1"/>
  <c r="BQ11" i="15" s="1"/>
  <c r="BZ11" i="13"/>
  <c r="BZ11" i="14" s="1"/>
  <c r="BZ11" i="15" s="1"/>
  <c r="CI11" i="13"/>
  <c r="CI11" i="14" s="1"/>
  <c r="CI11" i="15" s="1"/>
  <c r="CR11" i="13"/>
  <c r="CR11" i="14" s="1"/>
  <c r="CR11" i="15" s="1"/>
  <c r="R11" i="13"/>
  <c r="R11" i="14" s="1"/>
  <c r="R11" i="15" s="1"/>
  <c r="AA11" i="13"/>
  <c r="AA11" i="14" s="1"/>
  <c r="AA11" i="15" s="1"/>
  <c r="AJ11" i="13"/>
  <c r="AJ11" i="14" s="1"/>
  <c r="AJ11" i="15" s="1"/>
  <c r="AS11" i="13"/>
  <c r="AS11" i="14" s="1"/>
  <c r="AS11" i="15" s="1"/>
  <c r="BB11" i="13"/>
  <c r="BB11" i="14" s="1"/>
  <c r="BB11" i="15" s="1"/>
  <c r="BK11" i="13"/>
  <c r="BK11" i="14" s="1"/>
  <c r="BK11" i="15" s="1"/>
  <c r="BT11" i="13"/>
  <c r="BT11" i="14" s="1"/>
  <c r="BT11" i="15" s="1"/>
  <c r="CC11" i="13"/>
  <c r="CC11" i="14" s="1"/>
  <c r="CC11" i="15" s="1"/>
  <c r="CL11" i="13"/>
  <c r="CL11" i="14" s="1"/>
  <c r="CL11" i="15" s="1"/>
  <c r="CU11" i="13"/>
  <c r="CU11" i="14" s="1"/>
  <c r="CU11" i="15" s="1"/>
  <c r="AF11" i="13"/>
  <c r="AF11" i="14" s="1"/>
  <c r="AF11" i="15" s="1"/>
  <c r="BP11" i="13"/>
  <c r="BP11" i="14" s="1"/>
  <c r="BP11" i="15" s="1"/>
  <c r="AI11" i="13"/>
  <c r="AI11" i="14" s="1"/>
  <c r="AI11" i="15" s="1"/>
  <c r="BA11" i="13"/>
  <c r="BA11" i="14" s="1"/>
  <c r="BA11" i="15" s="1"/>
  <c r="CT11" i="13"/>
  <c r="CT11" i="14" s="1"/>
  <c r="CT11" i="15" s="1"/>
  <c r="M13" i="13"/>
  <c r="S13" i="13"/>
  <c r="S13" i="14" s="1"/>
  <c r="S13" i="15" s="1"/>
  <c r="Y13" i="13"/>
  <c r="Y13" i="14" s="1"/>
  <c r="Y13" i="15" s="1"/>
  <c r="AE13" i="13"/>
  <c r="AE13" i="14" s="1"/>
  <c r="AE13" i="15" s="1"/>
  <c r="AK13" i="13"/>
  <c r="AK13" i="14" s="1"/>
  <c r="AK13" i="15" s="1"/>
  <c r="AQ13" i="13"/>
  <c r="AQ13" i="14" s="1"/>
  <c r="AQ13" i="15" s="1"/>
  <c r="AW13" i="13"/>
  <c r="AW13" i="14" s="1"/>
  <c r="AW13" i="15" s="1"/>
  <c r="BC13" i="13"/>
  <c r="BC13" i="14" s="1"/>
  <c r="BC13" i="15" s="1"/>
  <c r="BI13" i="13"/>
  <c r="BI13" i="14" s="1"/>
  <c r="BI13" i="15" s="1"/>
  <c r="BO13" i="13"/>
  <c r="BO13" i="14" s="1"/>
  <c r="BO13" i="15" s="1"/>
  <c r="BU13" i="13"/>
  <c r="BU13" i="14" s="1"/>
  <c r="BU13" i="15" s="1"/>
  <c r="CA13" i="13"/>
  <c r="CA13" i="14" s="1"/>
  <c r="CA13" i="15" s="1"/>
  <c r="CG13" i="13"/>
  <c r="CG13" i="14" s="1"/>
  <c r="CG13" i="15" s="1"/>
  <c r="CM13" i="13"/>
  <c r="CM13" i="14" s="1"/>
  <c r="CM13" i="15" s="1"/>
  <c r="CS13" i="13"/>
  <c r="CS13" i="14" s="1"/>
  <c r="CS13" i="15" s="1"/>
  <c r="P13" i="13"/>
  <c r="P13" i="14" s="1"/>
  <c r="P13" i="15" s="1"/>
  <c r="V13" i="13"/>
  <c r="V13" i="14" s="1"/>
  <c r="V13" i="15" s="1"/>
  <c r="AB13" i="13"/>
  <c r="AB13" i="14" s="1"/>
  <c r="AB13" i="15" s="1"/>
  <c r="AH13" i="13"/>
  <c r="AH13" i="14" s="1"/>
  <c r="AH13" i="15" s="1"/>
  <c r="AN13" i="13"/>
  <c r="AN13" i="14" s="1"/>
  <c r="AN13" i="15" s="1"/>
  <c r="AT13" i="13"/>
  <c r="AT13" i="14" s="1"/>
  <c r="AT13" i="15" s="1"/>
  <c r="AZ13" i="13"/>
  <c r="AZ13" i="14" s="1"/>
  <c r="AZ13" i="15" s="1"/>
  <c r="BF13" i="13"/>
  <c r="BF13" i="14" s="1"/>
  <c r="BF13" i="15" s="1"/>
  <c r="BL13" i="13"/>
  <c r="BL13" i="14" s="1"/>
  <c r="BL13" i="15" s="1"/>
  <c r="BR13" i="13"/>
  <c r="BR13" i="14" s="1"/>
  <c r="BR13" i="15" s="1"/>
  <c r="BX13" i="13"/>
  <c r="BX13" i="14" s="1"/>
  <c r="BX13" i="15" s="1"/>
  <c r="CD13" i="13"/>
  <c r="CD13" i="14" s="1"/>
  <c r="CD13" i="15" s="1"/>
  <c r="CJ13" i="13"/>
  <c r="CJ13" i="14" s="1"/>
  <c r="CJ13" i="15" s="1"/>
  <c r="CP13" i="13"/>
  <c r="CP13" i="14" s="1"/>
  <c r="CP13" i="15" s="1"/>
  <c r="CV13" i="13"/>
  <c r="CV13" i="14" s="1"/>
  <c r="CV13" i="15" s="1"/>
  <c r="T13" i="13"/>
  <c r="T13" i="14" s="1"/>
  <c r="T13" i="15" s="1"/>
  <c r="AC13" i="13"/>
  <c r="AC13" i="14" s="1"/>
  <c r="AC13" i="15" s="1"/>
  <c r="AL13" i="13"/>
  <c r="AL13" i="14" s="1"/>
  <c r="AL13" i="15" s="1"/>
  <c r="AU13" i="13"/>
  <c r="AU13" i="14" s="1"/>
  <c r="AU13" i="15" s="1"/>
  <c r="BD13" i="13"/>
  <c r="BD13" i="14" s="1"/>
  <c r="BD13" i="15" s="1"/>
  <c r="BM13" i="13"/>
  <c r="BM13" i="14" s="1"/>
  <c r="BM13" i="15" s="1"/>
  <c r="BV13" i="13"/>
  <c r="BV13" i="14" s="1"/>
  <c r="BV13" i="15" s="1"/>
  <c r="CE13" i="13"/>
  <c r="CE13" i="14" s="1"/>
  <c r="CE13" i="15" s="1"/>
  <c r="CN13" i="13"/>
  <c r="CN13" i="14" s="1"/>
  <c r="CN13" i="15" s="1"/>
  <c r="CW13" i="13"/>
  <c r="CW13" i="14" s="1"/>
  <c r="CW13" i="15" s="1"/>
  <c r="AF13" i="13"/>
  <c r="AF13" i="14" s="1"/>
  <c r="AF13" i="15" s="1"/>
  <c r="BG13" i="13"/>
  <c r="BG13" i="14" s="1"/>
  <c r="BG13" i="15" s="1"/>
  <c r="CH13" i="13"/>
  <c r="CH13" i="14" s="1"/>
  <c r="CH13" i="15" s="1"/>
  <c r="AI13" i="13"/>
  <c r="AI13" i="14" s="1"/>
  <c r="AI13" i="15" s="1"/>
  <c r="BS13" i="13"/>
  <c r="BS13" i="14" s="1"/>
  <c r="BS13" i="15" s="1"/>
  <c r="U13" i="13"/>
  <c r="U13" i="14" s="1"/>
  <c r="U13" i="15" s="1"/>
  <c r="AD13" i="13"/>
  <c r="AD13" i="14" s="1"/>
  <c r="AD13" i="15" s="1"/>
  <c r="AM13" i="13"/>
  <c r="AM13" i="14" s="1"/>
  <c r="AM13" i="15" s="1"/>
  <c r="AV13" i="13"/>
  <c r="AV13" i="14" s="1"/>
  <c r="AV13" i="15" s="1"/>
  <c r="BE13" i="13"/>
  <c r="BE13" i="14" s="1"/>
  <c r="BE13" i="15" s="1"/>
  <c r="BN13" i="13"/>
  <c r="BN13" i="14" s="1"/>
  <c r="BN13" i="15" s="1"/>
  <c r="BW13" i="13"/>
  <c r="BW13" i="14" s="1"/>
  <c r="BW13" i="15" s="1"/>
  <c r="CF13" i="13"/>
  <c r="CF13" i="14" s="1"/>
  <c r="CF13" i="15" s="1"/>
  <c r="CO13" i="13"/>
  <c r="CO13" i="14" s="1"/>
  <c r="CO13" i="15" s="1"/>
  <c r="CX13" i="13"/>
  <c r="CX13" i="14" s="1"/>
  <c r="CX13" i="15" s="1"/>
  <c r="N13" i="13"/>
  <c r="BP13" i="13"/>
  <c r="BP13" i="14" s="1"/>
  <c r="BP13" i="15" s="1"/>
  <c r="Q13" i="13"/>
  <c r="Q13" i="14" s="1"/>
  <c r="Q13" i="15" s="1"/>
  <c r="BA13" i="13"/>
  <c r="BA13" i="14" s="1"/>
  <c r="BA13" i="15" s="1"/>
  <c r="CK13" i="13"/>
  <c r="CK13" i="14" s="1"/>
  <c r="CK13" i="15" s="1"/>
  <c r="AO13" i="13"/>
  <c r="AO13" i="14" s="1"/>
  <c r="AO13" i="15" s="1"/>
  <c r="CQ13" i="13"/>
  <c r="CQ13" i="14" s="1"/>
  <c r="CQ13" i="15" s="1"/>
  <c r="Z13" i="13"/>
  <c r="Z13" i="14" s="1"/>
  <c r="Z13" i="15" s="1"/>
  <c r="AR13" i="13"/>
  <c r="AR13" i="14" s="1"/>
  <c r="AR13" i="15" s="1"/>
  <c r="CB13" i="13"/>
  <c r="CB13" i="14" s="1"/>
  <c r="CB13" i="15" s="1"/>
  <c r="CT13" i="13"/>
  <c r="CT13" i="14" s="1"/>
  <c r="CT13" i="15" s="1"/>
  <c r="O13" i="13"/>
  <c r="O13" i="14" s="1"/>
  <c r="O13" i="15" s="1"/>
  <c r="X13" i="13"/>
  <c r="X13" i="14" s="1"/>
  <c r="X13" i="15" s="1"/>
  <c r="AG13" i="13"/>
  <c r="AG13" i="14" s="1"/>
  <c r="AG13" i="15" s="1"/>
  <c r="AP13" i="13"/>
  <c r="AP13" i="14" s="1"/>
  <c r="AP13" i="15" s="1"/>
  <c r="AY13" i="13"/>
  <c r="AY13" i="14" s="1"/>
  <c r="AY13" i="15" s="1"/>
  <c r="BH13" i="13"/>
  <c r="BH13" i="14" s="1"/>
  <c r="BH13" i="15" s="1"/>
  <c r="BQ13" i="13"/>
  <c r="BQ13" i="14" s="1"/>
  <c r="BQ13" i="15" s="1"/>
  <c r="BZ13" i="13"/>
  <c r="BZ13" i="14" s="1"/>
  <c r="BZ13" i="15" s="1"/>
  <c r="CI13" i="13"/>
  <c r="CI13" i="14" s="1"/>
  <c r="CI13" i="15" s="1"/>
  <c r="CR13" i="13"/>
  <c r="CR13" i="14" s="1"/>
  <c r="CR13" i="15" s="1"/>
  <c r="R13" i="13"/>
  <c r="R13" i="14" s="1"/>
  <c r="R13" i="15" s="1"/>
  <c r="AA13" i="13"/>
  <c r="AA13" i="14" s="1"/>
  <c r="AA13" i="15" s="1"/>
  <c r="AJ13" i="13"/>
  <c r="AJ13" i="14" s="1"/>
  <c r="AJ13" i="15" s="1"/>
  <c r="AS13" i="13"/>
  <c r="AS13" i="14" s="1"/>
  <c r="AS13" i="15" s="1"/>
  <c r="BB13" i="13"/>
  <c r="BB13" i="14" s="1"/>
  <c r="BB13" i="15" s="1"/>
  <c r="BK13" i="13"/>
  <c r="BK13" i="14" s="1"/>
  <c r="BK13" i="15" s="1"/>
  <c r="BT13" i="13"/>
  <c r="BT13" i="14" s="1"/>
  <c r="BT13" i="15" s="1"/>
  <c r="CC13" i="13"/>
  <c r="CC13" i="14" s="1"/>
  <c r="CC13" i="15" s="1"/>
  <c r="CL13" i="13"/>
  <c r="CL13" i="14" s="1"/>
  <c r="CL13" i="15" s="1"/>
  <c r="CU13" i="13"/>
  <c r="CU13" i="14" s="1"/>
  <c r="CU13" i="15" s="1"/>
  <c r="W13" i="13"/>
  <c r="W13" i="14" s="1"/>
  <c r="W13" i="15" s="1"/>
  <c r="AX13" i="13"/>
  <c r="AX13" i="14" s="1"/>
  <c r="AX13" i="15" s="1"/>
  <c r="BY13" i="13"/>
  <c r="BY13" i="14" s="1"/>
  <c r="BY13" i="15" s="1"/>
  <c r="BJ13" i="13"/>
  <c r="BJ13" i="14" s="1"/>
  <c r="BJ13" i="15" s="1"/>
  <c r="M9" i="13"/>
  <c r="N9" i="13"/>
  <c r="T9" i="13"/>
  <c r="T9" i="14" s="1"/>
  <c r="T9" i="15" s="1"/>
  <c r="Z9" i="13"/>
  <c r="Z9" i="14" s="1"/>
  <c r="Z9" i="15" s="1"/>
  <c r="AF9" i="13"/>
  <c r="AF9" i="14" s="1"/>
  <c r="AF9" i="15" s="1"/>
  <c r="AL9" i="13"/>
  <c r="AL9" i="14" s="1"/>
  <c r="AL9" i="15" s="1"/>
  <c r="AR9" i="13"/>
  <c r="AR9" i="14" s="1"/>
  <c r="AR9" i="15" s="1"/>
  <c r="AX9" i="13"/>
  <c r="AX9" i="14" s="1"/>
  <c r="AX9" i="15" s="1"/>
  <c r="BD9" i="13"/>
  <c r="BD9" i="14" s="1"/>
  <c r="BD9" i="15" s="1"/>
  <c r="BJ9" i="13"/>
  <c r="BJ9" i="14" s="1"/>
  <c r="BJ9" i="15" s="1"/>
  <c r="BP9" i="13"/>
  <c r="BP9" i="14" s="1"/>
  <c r="BP9" i="15" s="1"/>
  <c r="BV9" i="13"/>
  <c r="BV9" i="14" s="1"/>
  <c r="BV9" i="15" s="1"/>
  <c r="CB9" i="13"/>
  <c r="CB9" i="14" s="1"/>
  <c r="CB9" i="15" s="1"/>
  <c r="CH9" i="13"/>
  <c r="CH9" i="14" s="1"/>
  <c r="CH9" i="15" s="1"/>
  <c r="CN9" i="13"/>
  <c r="CN9" i="14" s="1"/>
  <c r="CN9" i="15" s="1"/>
  <c r="CT9" i="13"/>
  <c r="CT9" i="14" s="1"/>
  <c r="CT9" i="15" s="1"/>
  <c r="O9" i="13"/>
  <c r="O9" i="14" s="1"/>
  <c r="O9" i="15" s="1"/>
  <c r="U9" i="13"/>
  <c r="U9" i="14" s="1"/>
  <c r="U9" i="15" s="1"/>
  <c r="AA9" i="13"/>
  <c r="AA9" i="14" s="1"/>
  <c r="AA9" i="15" s="1"/>
  <c r="AG9" i="13"/>
  <c r="AG9" i="14" s="1"/>
  <c r="AG9" i="15" s="1"/>
  <c r="AM9" i="13"/>
  <c r="AM9" i="14" s="1"/>
  <c r="AM9" i="15" s="1"/>
  <c r="AS9" i="13"/>
  <c r="AS9" i="14" s="1"/>
  <c r="AS9" i="15" s="1"/>
  <c r="AY9" i="13"/>
  <c r="AY9" i="14" s="1"/>
  <c r="AY9" i="15" s="1"/>
  <c r="BE9" i="13"/>
  <c r="BE9" i="14" s="1"/>
  <c r="BE9" i="15" s="1"/>
  <c r="BK9" i="13"/>
  <c r="BK9" i="14" s="1"/>
  <c r="BK9" i="15" s="1"/>
  <c r="BQ9" i="13"/>
  <c r="BQ9" i="14" s="1"/>
  <c r="BQ9" i="15" s="1"/>
  <c r="BW9" i="13"/>
  <c r="BW9" i="14" s="1"/>
  <c r="BW9" i="15" s="1"/>
  <c r="CC9" i="13"/>
  <c r="CC9" i="14" s="1"/>
  <c r="CC9" i="15" s="1"/>
  <c r="CI9" i="13"/>
  <c r="CI9" i="14" s="1"/>
  <c r="CI9" i="15" s="1"/>
  <c r="CO9" i="13"/>
  <c r="CO9" i="14" s="1"/>
  <c r="CO9" i="15" s="1"/>
  <c r="CU9" i="13"/>
  <c r="CU9" i="14" s="1"/>
  <c r="CU9" i="15" s="1"/>
  <c r="R9" i="13"/>
  <c r="R9" i="14" s="1"/>
  <c r="R9" i="15" s="1"/>
  <c r="X9" i="13"/>
  <c r="X9" i="14" s="1"/>
  <c r="X9" i="15" s="1"/>
  <c r="AD9" i="13"/>
  <c r="AD9" i="14" s="1"/>
  <c r="AD9" i="15" s="1"/>
  <c r="AJ9" i="13"/>
  <c r="AJ9" i="14" s="1"/>
  <c r="AJ9" i="15" s="1"/>
  <c r="AP9" i="13"/>
  <c r="AP9" i="14" s="1"/>
  <c r="AP9" i="15" s="1"/>
  <c r="AV9" i="13"/>
  <c r="AV9" i="14" s="1"/>
  <c r="AV9" i="15" s="1"/>
  <c r="BB9" i="13"/>
  <c r="BB9" i="14" s="1"/>
  <c r="BB9" i="15" s="1"/>
  <c r="BH9" i="13"/>
  <c r="BH9" i="14" s="1"/>
  <c r="BH9" i="15" s="1"/>
  <c r="BN9" i="13"/>
  <c r="BN9" i="14" s="1"/>
  <c r="BN9" i="15" s="1"/>
  <c r="BT9" i="13"/>
  <c r="BT9" i="14" s="1"/>
  <c r="BT9" i="15" s="1"/>
  <c r="BZ9" i="13"/>
  <c r="BZ9" i="14" s="1"/>
  <c r="BZ9" i="15" s="1"/>
  <c r="CF9" i="13"/>
  <c r="CF9" i="14" s="1"/>
  <c r="CF9" i="15" s="1"/>
  <c r="CL9" i="13"/>
  <c r="CL9" i="14" s="1"/>
  <c r="CL9" i="15" s="1"/>
  <c r="CR9" i="13"/>
  <c r="CR9" i="14" s="1"/>
  <c r="CR9" i="15" s="1"/>
  <c r="CX9" i="13"/>
  <c r="CX9" i="14" s="1"/>
  <c r="CX9" i="15" s="1"/>
  <c r="P9" i="13"/>
  <c r="P9" i="14" s="1"/>
  <c r="P9" i="15" s="1"/>
  <c r="AB9" i="13"/>
  <c r="AB9" i="14" s="1"/>
  <c r="AB9" i="15" s="1"/>
  <c r="AN9" i="13"/>
  <c r="AN9" i="14" s="1"/>
  <c r="AN9" i="15" s="1"/>
  <c r="AZ9" i="13"/>
  <c r="AZ9" i="14" s="1"/>
  <c r="AZ9" i="15" s="1"/>
  <c r="BL9" i="13"/>
  <c r="BL9" i="14" s="1"/>
  <c r="BL9" i="15" s="1"/>
  <c r="BX9" i="13"/>
  <c r="BX9" i="14" s="1"/>
  <c r="BX9" i="15" s="1"/>
  <c r="CJ9" i="13"/>
  <c r="CJ9" i="14" s="1"/>
  <c r="CJ9" i="15" s="1"/>
  <c r="CV9" i="13"/>
  <c r="CV9" i="14" s="1"/>
  <c r="CV9" i="15" s="1"/>
  <c r="S9" i="13"/>
  <c r="S9" i="14" s="1"/>
  <c r="S9" i="15" s="1"/>
  <c r="AQ9" i="13"/>
  <c r="AQ9" i="14" s="1"/>
  <c r="AQ9" i="15" s="1"/>
  <c r="BO9" i="13"/>
  <c r="BO9" i="14" s="1"/>
  <c r="BO9" i="15" s="1"/>
  <c r="CM9" i="13"/>
  <c r="CM9" i="14" s="1"/>
  <c r="CM9" i="15" s="1"/>
  <c r="Q9" i="13"/>
  <c r="Q9" i="14" s="1"/>
  <c r="Q9" i="15" s="1"/>
  <c r="AC9" i="13"/>
  <c r="AC9" i="14" s="1"/>
  <c r="AC9" i="15" s="1"/>
  <c r="AO9" i="13"/>
  <c r="AO9" i="14" s="1"/>
  <c r="AO9" i="15" s="1"/>
  <c r="BA9" i="13"/>
  <c r="BA9" i="14" s="1"/>
  <c r="BA9" i="15" s="1"/>
  <c r="BM9" i="13"/>
  <c r="BM9" i="14" s="1"/>
  <c r="BM9" i="15" s="1"/>
  <c r="BY9" i="13"/>
  <c r="BY9" i="14" s="1"/>
  <c r="BY9" i="15" s="1"/>
  <c r="CK9" i="13"/>
  <c r="CK9" i="14" s="1"/>
  <c r="CK9" i="15" s="1"/>
  <c r="CW9" i="13"/>
  <c r="CW9" i="14" s="1"/>
  <c r="CW9" i="15" s="1"/>
  <c r="AE9" i="13"/>
  <c r="AE9" i="14" s="1"/>
  <c r="AE9" i="15" s="1"/>
  <c r="BC9" i="13"/>
  <c r="BC9" i="14" s="1"/>
  <c r="BC9" i="15" s="1"/>
  <c r="CA9" i="13"/>
  <c r="CA9" i="14" s="1"/>
  <c r="CA9" i="15" s="1"/>
  <c r="V9" i="13"/>
  <c r="V9" i="14" s="1"/>
  <c r="V9" i="15" s="1"/>
  <c r="AH9" i="13"/>
  <c r="AH9" i="14" s="1"/>
  <c r="AH9" i="15" s="1"/>
  <c r="AT9" i="13"/>
  <c r="AT9" i="14" s="1"/>
  <c r="AT9" i="15" s="1"/>
  <c r="BF9" i="13"/>
  <c r="BF9" i="14" s="1"/>
  <c r="BF9" i="15" s="1"/>
  <c r="BR9" i="13"/>
  <c r="BR9" i="14" s="1"/>
  <c r="BR9" i="15" s="1"/>
  <c r="CD9" i="13"/>
  <c r="CD9" i="14" s="1"/>
  <c r="CD9" i="15" s="1"/>
  <c r="CP9" i="13"/>
  <c r="CP9" i="14" s="1"/>
  <c r="CP9" i="15" s="1"/>
  <c r="W9" i="13"/>
  <c r="W9" i="14" s="1"/>
  <c r="W9" i="15" s="1"/>
  <c r="AI9" i="13"/>
  <c r="AI9" i="14" s="1"/>
  <c r="AI9" i="15" s="1"/>
  <c r="AU9" i="13"/>
  <c r="AU9" i="14" s="1"/>
  <c r="AU9" i="15" s="1"/>
  <c r="BG9" i="13"/>
  <c r="BG9" i="14" s="1"/>
  <c r="BG9" i="15" s="1"/>
  <c r="BS9" i="13"/>
  <c r="BS9" i="14" s="1"/>
  <c r="BS9" i="15" s="1"/>
  <c r="CE9" i="13"/>
  <c r="CE9" i="14" s="1"/>
  <c r="CE9" i="15" s="1"/>
  <c r="CQ9" i="13"/>
  <c r="CQ9" i="14" s="1"/>
  <c r="CQ9" i="15" s="1"/>
  <c r="Y9" i="13"/>
  <c r="Y9" i="14" s="1"/>
  <c r="Y9" i="15" s="1"/>
  <c r="AK9" i="13"/>
  <c r="AK9" i="14" s="1"/>
  <c r="AK9" i="15" s="1"/>
  <c r="AW9" i="13"/>
  <c r="AW9" i="14" s="1"/>
  <c r="AW9" i="15" s="1"/>
  <c r="BI9" i="13"/>
  <c r="BI9" i="14" s="1"/>
  <c r="BI9" i="15" s="1"/>
  <c r="BU9" i="13"/>
  <c r="BU9" i="14" s="1"/>
  <c r="BU9" i="15" s="1"/>
  <c r="CG9" i="13"/>
  <c r="CG9" i="14" s="1"/>
  <c r="CG9" i="15" s="1"/>
  <c r="CS9" i="13"/>
  <c r="CS9" i="14" s="1"/>
  <c r="CS9" i="15" s="1"/>
  <c r="AE9" i="16" l="1"/>
  <c r="AI9" i="16"/>
  <c r="AB9" i="16"/>
  <c r="AW9" i="16"/>
  <c r="BG9" i="16"/>
  <c r="BR9" i="16"/>
  <c r="BC9" i="16"/>
  <c r="BA9" i="16"/>
  <c r="AQ9" i="16"/>
  <c r="AZ9" i="16"/>
  <c r="CL9" i="16"/>
  <c r="BB9" i="16"/>
  <c r="R9" i="16"/>
  <c r="BQ9" i="16"/>
  <c r="AG9" i="16"/>
  <c r="CH9" i="16"/>
  <c r="AX9" i="16"/>
  <c r="BY13" i="16"/>
  <c r="BP71" i="18" s="1"/>
  <c r="BT13" i="16"/>
  <c r="BK71" i="18" s="1"/>
  <c r="R13" i="16"/>
  <c r="I34" i="45" s="1"/>
  <c r="AY13" i="16"/>
  <c r="AP34" i="45" s="1"/>
  <c r="CB13" i="16"/>
  <c r="BS34" i="45" s="1"/>
  <c r="BA13" i="16"/>
  <c r="AR34" i="45" s="1"/>
  <c r="CF13" i="16"/>
  <c r="BW71" i="18" s="1"/>
  <c r="AD13" i="16"/>
  <c r="U34" i="45" s="1"/>
  <c r="AF13" i="16"/>
  <c r="W34" i="45" s="1"/>
  <c r="BD13" i="16"/>
  <c r="CP13" i="16"/>
  <c r="CG71" i="18" s="1"/>
  <c r="BF13" i="16"/>
  <c r="AW71" i="18" s="1"/>
  <c r="V13" i="16"/>
  <c r="BU13" i="16"/>
  <c r="BL34" i="45" s="1"/>
  <c r="AK13" i="16"/>
  <c r="AB34" i="45" s="1"/>
  <c r="BA11" i="16"/>
  <c r="CC11" i="16"/>
  <c r="AA11" i="16"/>
  <c r="BH11" i="16"/>
  <c r="CB11" i="16"/>
  <c r="CK11" i="16"/>
  <c r="CO11" i="16"/>
  <c r="AM11" i="16"/>
  <c r="BY11" i="16"/>
  <c r="BD11" i="16"/>
  <c r="CP11" i="16"/>
  <c r="BF11" i="16"/>
  <c r="V11" i="16"/>
  <c r="BU11" i="16"/>
  <c r="AK11" i="16"/>
  <c r="AS10" i="16"/>
  <c r="BT10" i="16"/>
  <c r="BZ10" i="16"/>
  <c r="AA10" i="16"/>
  <c r="U10" i="16"/>
  <c r="AJ10" i="16"/>
  <c r="CN10" i="16"/>
  <c r="O10" i="16"/>
  <c r="Q10" i="16"/>
  <c r="BR10" i="16"/>
  <c r="AH10" i="16"/>
  <c r="BD10" i="16"/>
  <c r="T10" i="16"/>
  <c r="BU10" i="16"/>
  <c r="AK10" i="16"/>
  <c r="BJ12" i="16"/>
  <c r="BA33" i="45" s="1"/>
  <c r="CU12" i="16"/>
  <c r="CL70" i="18" s="1"/>
  <c r="AS12" i="16"/>
  <c r="AJ70" i="18" s="1"/>
  <c r="BZ12" i="16"/>
  <c r="X12" i="16"/>
  <c r="O70" i="18" s="1"/>
  <c r="W12" i="16"/>
  <c r="N33" i="45" s="1"/>
  <c r="CO12" i="16"/>
  <c r="CF33" i="45" s="1"/>
  <c r="AM12" i="16"/>
  <c r="AD70" i="18" s="1"/>
  <c r="AX12" i="16"/>
  <c r="AO33" i="45" s="1"/>
  <c r="BD12" i="16"/>
  <c r="CP12" i="16"/>
  <c r="CG70" i="18" s="1"/>
  <c r="BF12" i="16"/>
  <c r="AW33" i="45" s="1"/>
  <c r="V12" i="16"/>
  <c r="M70" i="18" s="1"/>
  <c r="BU12" i="16"/>
  <c r="BL70" i="18" s="1"/>
  <c r="AK12" i="16"/>
  <c r="AB70" i="18" s="1"/>
  <c r="BA14" i="16"/>
  <c r="AD14" i="16"/>
  <c r="BB14" i="16"/>
  <c r="CI14" i="16"/>
  <c r="AG14" i="16"/>
  <c r="AX14" i="16"/>
  <c r="AO14" i="16"/>
  <c r="BE14" i="16"/>
  <c r="AF14" i="16"/>
  <c r="BD14" i="16"/>
  <c r="CP14" i="16"/>
  <c r="BF14" i="16"/>
  <c r="V14" i="16"/>
  <c r="BU14" i="16"/>
  <c r="AK14" i="16"/>
  <c r="AX15" i="16"/>
  <c r="AI15" i="16"/>
  <c r="AO15" i="16"/>
  <c r="BC15" i="16"/>
  <c r="BV15" i="16"/>
  <c r="N15" i="16"/>
  <c r="AV15" i="16"/>
  <c r="R15" i="16"/>
  <c r="AG15" i="16"/>
  <c r="Z15" i="16"/>
  <c r="BK15" i="16"/>
  <c r="V15" i="16"/>
  <c r="AB15" i="16"/>
  <c r="BH15" i="16"/>
  <c r="CH15" i="16"/>
  <c r="T17" i="16"/>
  <c r="AC17" i="16"/>
  <c r="AU17" i="16"/>
  <c r="BO17" i="16"/>
  <c r="AA17" i="16"/>
  <c r="BQ17" i="16"/>
  <c r="CO17" i="16"/>
  <c r="BJ17" i="16"/>
  <c r="AM17" i="16"/>
  <c r="AB17" i="16"/>
  <c r="AN17" i="16"/>
  <c r="AP17" i="16"/>
  <c r="AH17" i="16"/>
  <c r="AL17" i="16"/>
  <c r="AE17" i="16"/>
  <c r="BX16" i="16"/>
  <c r="CP16" i="16"/>
  <c r="CX16" i="16"/>
  <c r="BS16" i="16"/>
  <c r="Q16" i="16"/>
  <c r="CR16" i="16"/>
  <c r="N16" i="16"/>
  <c r="AE16" i="16"/>
  <c r="AA16" i="16"/>
  <c r="AK16" i="16"/>
  <c r="BR16" i="16"/>
  <c r="AD16" i="16"/>
  <c r="BE16" i="16"/>
  <c r="CI16" i="16"/>
  <c r="AK9" i="16"/>
  <c r="AN9" i="16"/>
  <c r="CF9" i="16"/>
  <c r="AV9" i="16"/>
  <c r="CU9" i="16"/>
  <c r="BK9" i="16"/>
  <c r="AA9" i="16"/>
  <c r="CB9" i="16"/>
  <c r="AR9" i="16"/>
  <c r="AX13" i="16"/>
  <c r="AO34" i="45" s="1"/>
  <c r="BK13" i="16"/>
  <c r="CR13" i="16"/>
  <c r="CI71" i="18" s="1"/>
  <c r="AP13" i="16"/>
  <c r="AG71" i="18" s="1"/>
  <c r="AR13" i="16"/>
  <c r="AI71" i="18" s="1"/>
  <c r="Q13" i="16"/>
  <c r="H34" i="45" s="1"/>
  <c r="BW13" i="16"/>
  <c r="BN34" i="45" s="1"/>
  <c r="U13" i="16"/>
  <c r="CW13" i="16"/>
  <c r="CN71" i="18" s="1"/>
  <c r="AU13" i="16"/>
  <c r="AL34" i="45" s="1"/>
  <c r="CJ13" i="16"/>
  <c r="AZ13" i="16"/>
  <c r="AQ71" i="18" s="1"/>
  <c r="P13" i="16"/>
  <c r="BO13" i="16"/>
  <c r="AE13" i="16"/>
  <c r="V71" i="18" s="1"/>
  <c r="AI11" i="16"/>
  <c r="BT11" i="16"/>
  <c r="R11" i="16"/>
  <c r="AY11" i="16"/>
  <c r="CH11" i="16"/>
  <c r="BJ11" i="16"/>
  <c r="CF11" i="16"/>
  <c r="AD11" i="16"/>
  <c r="CW11" i="16"/>
  <c r="AU11" i="16"/>
  <c r="CJ11" i="16"/>
  <c r="AZ11" i="16"/>
  <c r="P11" i="16"/>
  <c r="BO11" i="16"/>
  <c r="AE11" i="16"/>
  <c r="BB10" i="16"/>
  <c r="BH10" i="16"/>
  <c r="BQ10" i="16"/>
  <c r="CQ10" i="16"/>
  <c r="CX10" i="16"/>
  <c r="R10" i="16"/>
  <c r="CE10" i="16"/>
  <c r="AU10" i="16"/>
  <c r="CV10" i="16"/>
  <c r="BL10" i="16"/>
  <c r="AB10" i="16"/>
  <c r="AX10" i="16"/>
  <c r="BO10" i="16"/>
  <c r="AE10" i="16"/>
  <c r="AR12" i="16"/>
  <c r="AI70" i="18" s="1"/>
  <c r="CL12" i="16"/>
  <c r="CC70" i="18" s="1"/>
  <c r="AJ12" i="16"/>
  <c r="BQ12" i="16"/>
  <c r="BH70" i="18" s="1"/>
  <c r="O12" i="16"/>
  <c r="BS12" i="16"/>
  <c r="BJ33" i="45" s="1"/>
  <c r="CF12" i="16"/>
  <c r="BW33" i="45" s="1"/>
  <c r="AD12" i="16"/>
  <c r="U33" i="45" s="1"/>
  <c r="CW12" i="16"/>
  <c r="CN33" i="45" s="1"/>
  <c r="AU12" i="16"/>
  <c r="AL70" i="18" s="1"/>
  <c r="CJ12" i="16"/>
  <c r="CA70" i="18" s="1"/>
  <c r="AZ12" i="16"/>
  <c r="AQ33" i="45" s="1"/>
  <c r="P12" i="16"/>
  <c r="BO12" i="16"/>
  <c r="BF70" i="18" s="1"/>
  <c r="AE12" i="16"/>
  <c r="Z14" i="16"/>
  <c r="CU14" i="16"/>
  <c r="AS14" i="16"/>
  <c r="BZ14" i="16"/>
  <c r="X14" i="16"/>
  <c r="CB14" i="16"/>
  <c r="AV14" i="16"/>
  <c r="CW14" i="16"/>
  <c r="AU14" i="16"/>
  <c r="CJ14" i="16"/>
  <c r="AZ14" i="16"/>
  <c r="P14" i="16"/>
  <c r="BO14" i="16"/>
  <c r="AE14" i="16"/>
  <c r="CP15" i="16"/>
  <c r="U15" i="16"/>
  <c r="AA15" i="16"/>
  <c r="CQ15" i="16"/>
  <c r="BI15" i="16"/>
  <c r="T15" i="16"/>
  <c r="CI15" i="16"/>
  <c r="AN15" i="16"/>
  <c r="BT15" i="16"/>
  <c r="AZ15" i="16"/>
  <c r="CC15" i="16"/>
  <c r="AQ15" i="16"/>
  <c r="CD15" i="16"/>
  <c r="AY15" i="16"/>
  <c r="CE17" i="16"/>
  <c r="CB17" i="16"/>
  <c r="CM17" i="16"/>
  <c r="CW17" i="16"/>
  <c r="CF17" i="16"/>
  <c r="V17" i="16"/>
  <c r="BT17" i="16"/>
  <c r="CU17" i="16"/>
  <c r="P17" i="16"/>
  <c r="AJ17" i="16"/>
  <c r="BE17" i="16"/>
  <c r="Q17" i="16"/>
  <c r="CX17" i="16"/>
  <c r="AZ17" i="16"/>
  <c r="CH17" i="16"/>
  <c r="BC16" i="16"/>
  <c r="BY16" i="16"/>
  <c r="AJ16" i="16"/>
  <c r="AV16" i="16"/>
  <c r="P16" i="16"/>
  <c r="AU16" i="16"/>
  <c r="CT16" i="16"/>
  <c r="BQ16" i="16"/>
  <c r="AM16" i="16"/>
  <c r="CK16" i="16"/>
  <c r="CW16" i="16"/>
  <c r="AG16" i="16"/>
  <c r="CE16" i="16"/>
  <c r="U16" i="16"/>
  <c r="R16" i="16"/>
  <c r="AU9" i="16"/>
  <c r="Y9" i="16"/>
  <c r="CV9" i="16"/>
  <c r="BE9" i="16"/>
  <c r="U9" i="16"/>
  <c r="BV9" i="16"/>
  <c r="AL9" i="16"/>
  <c r="W13" i="16"/>
  <c r="BB13" i="16"/>
  <c r="AS34" i="45" s="1"/>
  <c r="CI13" i="16"/>
  <c r="BZ71" i="18" s="1"/>
  <c r="AG13" i="16"/>
  <c r="Z13" i="16"/>
  <c r="Q71" i="18" s="1"/>
  <c r="BP13" i="16"/>
  <c r="BG34" i="45" s="1"/>
  <c r="BN13" i="16"/>
  <c r="BS13" i="16"/>
  <c r="BJ71" i="18" s="1"/>
  <c r="CN13" i="16"/>
  <c r="CE34" i="45" s="1"/>
  <c r="AL13" i="16"/>
  <c r="CD13" i="16"/>
  <c r="BU71" i="18" s="1"/>
  <c r="AT13" i="16"/>
  <c r="AK34" i="45" s="1"/>
  <c r="CS13" i="16"/>
  <c r="BI13" i="16"/>
  <c r="AZ71" i="18" s="1"/>
  <c r="Y13" i="16"/>
  <c r="P71" i="18" s="1"/>
  <c r="BP11" i="16"/>
  <c r="BK11" i="16"/>
  <c r="CR11" i="16"/>
  <c r="AP11" i="16"/>
  <c r="BG11" i="16"/>
  <c r="Z11" i="16"/>
  <c r="BW11" i="16"/>
  <c r="U11" i="16"/>
  <c r="CN11" i="16"/>
  <c r="AL11" i="16"/>
  <c r="CD11" i="16"/>
  <c r="AT11" i="16"/>
  <c r="CS11" i="16"/>
  <c r="BI11" i="16"/>
  <c r="Y11" i="16"/>
  <c r="CF10" i="16"/>
  <c r="AV10" i="16"/>
  <c r="BE10" i="16"/>
  <c r="CH10" i="16"/>
  <c r="CO10" i="16"/>
  <c r="CB10" i="16"/>
  <c r="BV10" i="16"/>
  <c r="AO10" i="16"/>
  <c r="CP10" i="16"/>
  <c r="BF10" i="16"/>
  <c r="V10" i="16"/>
  <c r="AR10" i="16"/>
  <c r="CS10" i="16"/>
  <c r="BI10" i="16"/>
  <c r="Y10" i="16"/>
  <c r="CH12" i="16"/>
  <c r="CC12" i="16"/>
  <c r="BT70" i="18" s="1"/>
  <c r="AA12" i="16"/>
  <c r="R70" i="18" s="1"/>
  <c r="BH12" i="16"/>
  <c r="CK12" i="16"/>
  <c r="CB33" i="45" s="1"/>
  <c r="AI12" i="16"/>
  <c r="Z70" i="18" s="1"/>
  <c r="BW12" i="16"/>
  <c r="U12" i="16"/>
  <c r="L33" i="45" s="1"/>
  <c r="CN12" i="16"/>
  <c r="CE33" i="45" s="1"/>
  <c r="AL12" i="16"/>
  <c r="CD12" i="16"/>
  <c r="BU33" i="45" s="1"/>
  <c r="AT12" i="16"/>
  <c r="AK33" i="45" s="1"/>
  <c r="CS12" i="16"/>
  <c r="BI12" i="16"/>
  <c r="AZ33" i="45" s="1"/>
  <c r="Y12" i="16"/>
  <c r="P33" i="45" s="1"/>
  <c r="CH14" i="16"/>
  <c r="CL14" i="16"/>
  <c r="AJ14" i="16"/>
  <c r="BQ14" i="16"/>
  <c r="O14" i="16"/>
  <c r="BS14" i="16"/>
  <c r="CX14" i="16"/>
  <c r="AM14" i="16"/>
  <c r="CN14" i="16"/>
  <c r="AL14" i="16"/>
  <c r="CD14" i="16"/>
  <c r="AT14" i="16"/>
  <c r="CS14" i="16"/>
  <c r="BI14" i="16"/>
  <c r="Y14" i="16"/>
  <c r="AL15" i="16"/>
  <c r="AF15" i="16"/>
  <c r="BY15" i="16"/>
  <c r="AU15" i="16"/>
  <c r="BA15" i="16"/>
  <c r="CO15" i="16"/>
  <c r="CL15" i="16"/>
  <c r="AW15" i="16"/>
  <c r="AN67" i="18" s="1"/>
  <c r="X15" i="16"/>
  <c r="AD15" i="16"/>
  <c r="CT15" i="16"/>
  <c r="CV15" i="16"/>
  <c r="CK15" i="16"/>
  <c r="AH15" i="16"/>
  <c r="BZ15" i="16"/>
  <c r="BP17" i="16"/>
  <c r="AG17" i="16"/>
  <c r="BL17" i="16"/>
  <c r="S17" i="16"/>
  <c r="BG17" i="16"/>
  <c r="AR17" i="16"/>
  <c r="CD17" i="16"/>
  <c r="BM17" i="16"/>
  <c r="AQ17" i="16"/>
  <c r="AV17" i="16"/>
  <c r="BH17" i="16"/>
  <c r="BI17" i="16"/>
  <c r="BX17" i="16"/>
  <c r="BZ17" i="16"/>
  <c r="BV17" i="16"/>
  <c r="BB16" i="16"/>
  <c r="AY16" i="16"/>
  <c r="AX16" i="16"/>
  <c r="S16" i="16"/>
  <c r="BH16" i="16"/>
  <c r="CD16" i="16"/>
  <c r="BG16" i="16"/>
  <c r="X16" i="16"/>
  <c r="BN16" i="16"/>
  <c r="BJ16" i="16"/>
  <c r="AT16" i="16"/>
  <c r="CV16" i="16"/>
  <c r="CU16" i="16"/>
  <c r="BM16" i="16"/>
  <c r="BV16" i="16"/>
  <c r="S9" i="16"/>
  <c r="CW9" i="16"/>
  <c r="CO9" i="16"/>
  <c r="CG9" i="16"/>
  <c r="CQ9" i="16"/>
  <c r="W9" i="16"/>
  <c r="AH9" i="16"/>
  <c r="CK9" i="16"/>
  <c r="Q9" i="16"/>
  <c r="CJ9" i="16"/>
  <c r="P9" i="16"/>
  <c r="BT9" i="16"/>
  <c r="AJ9" i="16"/>
  <c r="CI9" i="16"/>
  <c r="AY9" i="16"/>
  <c r="O9" i="16"/>
  <c r="BP9" i="16"/>
  <c r="AF9" i="16"/>
  <c r="CU13" i="16"/>
  <c r="AS13" i="16"/>
  <c r="AJ71" i="18" s="1"/>
  <c r="BZ13" i="16"/>
  <c r="BQ71" i="18" s="1"/>
  <c r="X13" i="16"/>
  <c r="CQ13" i="16"/>
  <c r="CH34" i="45" s="1"/>
  <c r="BE13" i="16"/>
  <c r="AV71" i="18" s="1"/>
  <c r="AI13" i="16"/>
  <c r="CE13" i="16"/>
  <c r="BV34" i="45" s="1"/>
  <c r="AC13" i="16"/>
  <c r="T34" i="45" s="1"/>
  <c r="BX13" i="16"/>
  <c r="AN13" i="16"/>
  <c r="AE71" i="18" s="1"/>
  <c r="CM13" i="16"/>
  <c r="CD34" i="45" s="1"/>
  <c r="BC13" i="16"/>
  <c r="AT34" i="45" s="1"/>
  <c r="S13" i="16"/>
  <c r="J71" i="18" s="1"/>
  <c r="AF11" i="16"/>
  <c r="BB11" i="16"/>
  <c r="CI11" i="16"/>
  <c r="AG11" i="16"/>
  <c r="AO11" i="16"/>
  <c r="CQ11" i="16"/>
  <c r="BN11" i="16"/>
  <c r="BS11" i="16"/>
  <c r="CE11" i="16"/>
  <c r="AC11" i="16"/>
  <c r="BX11" i="16"/>
  <c r="AN11" i="16"/>
  <c r="CM11" i="16"/>
  <c r="BC11" i="16"/>
  <c r="S11" i="16"/>
  <c r="CU10" i="16"/>
  <c r="AD10" i="16"/>
  <c r="AP10" i="16"/>
  <c r="BY10" i="16"/>
  <c r="BW10" i="16"/>
  <c r="BG10" i="16"/>
  <c r="BK10" i="16"/>
  <c r="AI10" i="16"/>
  <c r="CJ10" i="16"/>
  <c r="AZ10" i="16"/>
  <c r="P10" i="16"/>
  <c r="AL10" i="16"/>
  <c r="CM10" i="16"/>
  <c r="BC10" i="16"/>
  <c r="S10" i="16"/>
  <c r="BG12" i="16"/>
  <c r="AX33" i="45" s="1"/>
  <c r="BT12" i="16"/>
  <c r="BK70" i="18" s="1"/>
  <c r="R12" i="16"/>
  <c r="I70" i="18" s="1"/>
  <c r="AY12" i="16"/>
  <c r="AP70" i="18" s="1"/>
  <c r="BA12" i="16"/>
  <c r="AR33" i="45" s="1"/>
  <c r="BP12" i="16"/>
  <c r="BG70" i="18" s="1"/>
  <c r="BN12" i="16"/>
  <c r="BE70" i="18" s="1"/>
  <c r="CB12" i="16"/>
  <c r="CE12" i="16"/>
  <c r="BV70" i="18" s="1"/>
  <c r="AC12" i="16"/>
  <c r="T70" i="18" s="1"/>
  <c r="BX12" i="16"/>
  <c r="BO70" i="18" s="1"/>
  <c r="AN12" i="16"/>
  <c r="AE70" i="18" s="1"/>
  <c r="CM12" i="16"/>
  <c r="CD70" i="18" s="1"/>
  <c r="BC12" i="16"/>
  <c r="AT33" i="45" s="1"/>
  <c r="S12" i="16"/>
  <c r="J70" i="18" s="1"/>
  <c r="BG14" i="16"/>
  <c r="CC14" i="16"/>
  <c r="AA14" i="16"/>
  <c r="BH14" i="16"/>
  <c r="CT14" i="16"/>
  <c r="AI14" i="16"/>
  <c r="CO14" i="16"/>
  <c r="U14" i="16"/>
  <c r="CE14" i="16"/>
  <c r="AC14" i="16"/>
  <c r="BX14" i="16"/>
  <c r="AN14" i="16"/>
  <c r="CM14" i="16"/>
  <c r="BC14" i="16"/>
  <c r="S14" i="16"/>
  <c r="BF15" i="16"/>
  <c r="CU15" i="16"/>
  <c r="Q15" i="16"/>
  <c r="BJ15" i="16"/>
  <c r="CB15" i="16"/>
  <c r="BS15" i="16"/>
  <c r="AR15" i="16"/>
  <c r="AT15" i="16"/>
  <c r="P15" i="16"/>
  <c r="AS15" i="16"/>
  <c r="CG15" i="16"/>
  <c r="BX15" i="16"/>
  <c r="S15" i="16"/>
  <c r="Y15" i="16"/>
  <c r="CV17" i="16"/>
  <c r="CN17" i="16"/>
  <c r="CS17" i="16"/>
  <c r="R17" i="16"/>
  <c r="I32" i="45" s="1"/>
  <c r="N17" i="16"/>
  <c r="BY17" i="16"/>
  <c r="BA17" i="16"/>
  <c r="BD17" i="16"/>
  <c r="AX17" i="16"/>
  <c r="BW17" i="16"/>
  <c r="CI17" i="16"/>
  <c r="AY17" i="16"/>
  <c r="O17" i="16"/>
  <c r="AF17" i="16"/>
  <c r="AK17" i="16"/>
  <c r="AB16" i="16"/>
  <c r="BI16" i="16"/>
  <c r="AH16" i="16"/>
  <c r="AO16" i="16"/>
  <c r="AN16" i="16"/>
  <c r="AL16" i="16"/>
  <c r="Y16" i="16"/>
  <c r="CB16" i="16"/>
  <c r="CS16" i="16"/>
  <c r="BW16" i="16"/>
  <c r="AF16" i="16"/>
  <c r="BT16" i="16"/>
  <c r="AP16" i="16"/>
  <c r="CF16" i="16"/>
  <c r="BF9" i="16"/>
  <c r="CS9" i="16"/>
  <c r="AC9" i="16"/>
  <c r="AP9" i="16"/>
  <c r="BU9" i="16"/>
  <c r="CE9" i="16"/>
  <c r="CP9" i="16"/>
  <c r="V9" i="16"/>
  <c r="BY9" i="16"/>
  <c r="CM9" i="16"/>
  <c r="BX9" i="16"/>
  <c r="CX9" i="16"/>
  <c r="BN9" i="16"/>
  <c r="AD9" i="16"/>
  <c r="CC9" i="16"/>
  <c r="AS9" i="16"/>
  <c r="CT9" i="16"/>
  <c r="BJ9" i="16"/>
  <c r="Z9" i="16"/>
  <c r="CL13" i="16"/>
  <c r="CC34" i="45" s="1"/>
  <c r="AJ13" i="16"/>
  <c r="AA71" i="18" s="1"/>
  <c r="BQ13" i="16"/>
  <c r="O13" i="16"/>
  <c r="F34" i="45" s="1"/>
  <c r="AO13" i="16"/>
  <c r="AF34" i="45" s="1"/>
  <c r="CX13" i="16"/>
  <c r="AV13" i="16"/>
  <c r="AM34" i="45" s="1"/>
  <c r="CH13" i="16"/>
  <c r="BY34" i="45" s="1"/>
  <c r="BV13" i="16"/>
  <c r="BM71" i="18" s="1"/>
  <c r="T13" i="16"/>
  <c r="K34" i="45" s="1"/>
  <c r="BR13" i="16"/>
  <c r="BI34" i="45" s="1"/>
  <c r="AH13" i="16"/>
  <c r="Y71" i="18" s="1"/>
  <c r="CG13" i="16"/>
  <c r="BX71" i="18" s="1"/>
  <c r="AW13" i="16"/>
  <c r="AN34" i="45" s="1"/>
  <c r="CU11" i="16"/>
  <c r="AS11" i="16"/>
  <c r="BZ11" i="16"/>
  <c r="X11" i="16"/>
  <c r="W11" i="16"/>
  <c r="AX11" i="16"/>
  <c r="BE11" i="16"/>
  <c r="AR11" i="16"/>
  <c r="BV11" i="16"/>
  <c r="BM69" i="18" s="1"/>
  <c r="T11" i="16"/>
  <c r="BR11" i="16"/>
  <c r="AH11" i="16"/>
  <c r="CG11" i="16"/>
  <c r="AW11" i="16"/>
  <c r="CL10" i="16"/>
  <c r="CR10" i="16"/>
  <c r="X10" i="16"/>
  <c r="BN10" i="16"/>
  <c r="BM10" i="16"/>
  <c r="AM10" i="16"/>
  <c r="AY10" i="16"/>
  <c r="AC10" i="16"/>
  <c r="CD10" i="16"/>
  <c r="AT10" i="16"/>
  <c r="BP10" i="16"/>
  <c r="AF10" i="16"/>
  <c r="CG10" i="16"/>
  <c r="AW10" i="16"/>
  <c r="AF12" i="16"/>
  <c r="W70" i="18" s="1"/>
  <c r="BK12" i="16"/>
  <c r="BB70" i="18" s="1"/>
  <c r="CR12" i="16"/>
  <c r="CI70" i="18" s="1"/>
  <c r="AP12" i="16"/>
  <c r="AG70" i="18" s="1"/>
  <c r="Q12" i="16"/>
  <c r="H33" i="45" s="1"/>
  <c r="AO12" i="16"/>
  <c r="AF33" i="45" s="1"/>
  <c r="BE12" i="16"/>
  <c r="AV70" i="18" s="1"/>
  <c r="Z12" i="16"/>
  <c r="Q33" i="45" s="1"/>
  <c r="BV12" i="16"/>
  <c r="BM33" i="45" s="1"/>
  <c r="T12" i="16"/>
  <c r="BR12" i="16"/>
  <c r="BI33" i="45" s="1"/>
  <c r="AH12" i="16"/>
  <c r="Y33" i="45" s="1"/>
  <c r="CG12" i="16"/>
  <c r="BX33" i="45" s="1"/>
  <c r="AW12" i="16"/>
  <c r="AN33" i="45" s="1"/>
  <c r="W14" i="16"/>
  <c r="BT14" i="16"/>
  <c r="R14" i="16"/>
  <c r="AY14" i="16"/>
  <c r="AR14" i="16"/>
  <c r="BY14" i="16"/>
  <c r="BW14" i="16"/>
  <c r="BJ14" i="16"/>
  <c r="BV14" i="16"/>
  <c r="T14" i="16"/>
  <c r="BR14" i="16"/>
  <c r="AH14" i="16"/>
  <c r="CG14" i="16"/>
  <c r="AW14" i="16"/>
  <c r="CA15" i="16"/>
  <c r="BN15" i="16"/>
  <c r="CM15" i="16"/>
  <c r="BD15" i="16"/>
  <c r="AP15" i="16"/>
  <c r="BE15" i="16"/>
  <c r="AM15" i="16"/>
  <c r="BQ15" i="16"/>
  <c r="CX15" i="16"/>
  <c r="AK15" i="16"/>
  <c r="CF15" i="16"/>
  <c r="CE15" i="16"/>
  <c r="CR15" i="16"/>
  <c r="BG15" i="16"/>
  <c r="BM15" i="16"/>
  <c r="BC17" i="16"/>
  <c r="CQ17" i="16"/>
  <c r="AS17" i="16"/>
  <c r="CC17" i="16"/>
  <c r="X17" i="16"/>
  <c r="BK17" i="16"/>
  <c r="BU17" i="16"/>
  <c r="AI17" i="16"/>
  <c r="BF17" i="16"/>
  <c r="BN17" i="16"/>
  <c r="CP17" i="16"/>
  <c r="BR17" i="16"/>
  <c r="BI69" i="18" s="1"/>
  <c r="Z17" i="16"/>
  <c r="CJ17" i="16"/>
  <c r="CO16" i="16"/>
  <c r="Z16" i="16"/>
  <c r="AZ16" i="16"/>
  <c r="CA16" i="16"/>
  <c r="BU16" i="16"/>
  <c r="AQ16" i="16"/>
  <c r="BO16" i="16"/>
  <c r="CQ16" i="16"/>
  <c r="AW16" i="16"/>
  <c r="AI16" i="16"/>
  <c r="T16" i="16"/>
  <c r="CL16" i="16"/>
  <c r="BF16" i="16"/>
  <c r="CJ16" i="16"/>
  <c r="AR16" i="16"/>
  <c r="AO9" i="16"/>
  <c r="AT9" i="16"/>
  <c r="BZ9" i="16"/>
  <c r="BI9" i="16"/>
  <c r="BS9" i="16"/>
  <c r="CD9" i="16"/>
  <c r="CA9" i="16"/>
  <c r="BM9" i="16"/>
  <c r="BO9" i="16"/>
  <c r="BL9" i="16"/>
  <c r="CR9" i="16"/>
  <c r="BH9" i="16"/>
  <c r="X9" i="16"/>
  <c r="BW9" i="16"/>
  <c r="AM9" i="16"/>
  <c r="CN9" i="16"/>
  <c r="BD9" i="16"/>
  <c r="T9" i="16"/>
  <c r="BJ13" i="16"/>
  <c r="BA34" i="45" s="1"/>
  <c r="CC13" i="16"/>
  <c r="BT34" i="45" s="1"/>
  <c r="AA13" i="16"/>
  <c r="R34" i="45" s="1"/>
  <c r="BH13" i="16"/>
  <c r="AY34" i="45" s="1"/>
  <c r="CT13" i="16"/>
  <c r="CK71" i="18" s="1"/>
  <c r="CK13" i="16"/>
  <c r="CB71" i="18" s="1"/>
  <c r="CO13" i="16"/>
  <c r="CF71" i="18" s="1"/>
  <c r="AM13" i="16"/>
  <c r="AD34" i="45" s="1"/>
  <c r="BG13" i="16"/>
  <c r="BM13" i="16"/>
  <c r="BD34" i="45" s="1"/>
  <c r="CV13" i="16"/>
  <c r="CM71" i="18" s="1"/>
  <c r="BL13" i="16"/>
  <c r="AB13" i="16"/>
  <c r="S71" i="18" s="1"/>
  <c r="CA13" i="16"/>
  <c r="BR71" i="18" s="1"/>
  <c r="AQ13" i="16"/>
  <c r="CT11" i="16"/>
  <c r="CL11" i="16"/>
  <c r="AJ11" i="16"/>
  <c r="BQ11" i="16"/>
  <c r="O11" i="16"/>
  <c r="CX11" i="16"/>
  <c r="AV11" i="16"/>
  <c r="Q11" i="16"/>
  <c r="BM11" i="16"/>
  <c r="CV11" i="16"/>
  <c r="BL11" i="16"/>
  <c r="AB11" i="16"/>
  <c r="CA11" i="16"/>
  <c r="AQ11" i="16"/>
  <c r="AH32" i="45" s="1"/>
  <c r="CK10" i="16"/>
  <c r="CC10" i="16"/>
  <c r="CI10" i="16"/>
  <c r="CT10" i="16"/>
  <c r="BS10" i="16"/>
  <c r="BA10" i="16"/>
  <c r="CW10" i="16"/>
  <c r="AG10" i="16"/>
  <c r="W10" i="16"/>
  <c r="BX10" i="16"/>
  <c r="AN10" i="16"/>
  <c r="BJ10" i="16"/>
  <c r="Z10" i="16"/>
  <c r="CA10" i="16"/>
  <c r="AQ10" i="16"/>
  <c r="CT12" i="16"/>
  <c r="CK33" i="45" s="1"/>
  <c r="BB12" i="16"/>
  <c r="AS70" i="18" s="1"/>
  <c r="CI12" i="16"/>
  <c r="BZ33" i="45" s="1"/>
  <c r="AG12" i="16"/>
  <c r="X33" i="45" s="1"/>
  <c r="BY12" i="16"/>
  <c r="BP70" i="18" s="1"/>
  <c r="CX12" i="16"/>
  <c r="CO33" i="45" s="1"/>
  <c r="AV12" i="16"/>
  <c r="CQ12" i="16"/>
  <c r="CH70" i="18" s="1"/>
  <c r="BM12" i="16"/>
  <c r="BD33" i="45" s="1"/>
  <c r="CV12" i="16"/>
  <c r="CM70" i="18" s="1"/>
  <c r="BL12" i="16"/>
  <c r="BC70" i="18" s="1"/>
  <c r="AB12" i="16"/>
  <c r="S70" i="18" s="1"/>
  <c r="CA12" i="16"/>
  <c r="BR33" i="45" s="1"/>
  <c r="AQ12" i="16"/>
  <c r="AH33" i="45" s="1"/>
  <c r="CK14" i="16"/>
  <c r="CF14" i="16"/>
  <c r="BK14" i="16"/>
  <c r="CR14" i="16"/>
  <c r="AP14" i="16"/>
  <c r="CQ14" i="16"/>
  <c r="BP14" i="16"/>
  <c r="BN14" i="16"/>
  <c r="Q14" i="16"/>
  <c r="BM14" i="16"/>
  <c r="CV14" i="16"/>
  <c r="BL14" i="16"/>
  <c r="AB14" i="16"/>
  <c r="CA14" i="16"/>
  <c r="AQ14" i="16"/>
  <c r="BL15" i="16"/>
  <c r="AE15" i="16"/>
  <c r="V30" i="45" s="1"/>
  <c r="BU15" i="16"/>
  <c r="BP15" i="16"/>
  <c r="BW15" i="16"/>
  <c r="BB15" i="16"/>
  <c r="CN15" i="16"/>
  <c r="O15" i="16"/>
  <c r="BO15" i="16"/>
  <c r="CJ15" i="16"/>
  <c r="BR15" i="16"/>
  <c r="AJ15" i="16"/>
  <c r="CW15" i="16"/>
  <c r="AC15" i="16"/>
  <c r="CS15" i="16"/>
  <c r="CK17" i="16"/>
  <c r="AO17" i="16"/>
  <c r="AT17" i="16"/>
  <c r="CR17" i="16"/>
  <c r="CI32" i="45" s="1"/>
  <c r="AD17" i="16"/>
  <c r="BB17" i="16"/>
  <c r="U17" i="16"/>
  <c r="CT17" i="16"/>
  <c r="CG17" i="16"/>
  <c r="CL17" i="16"/>
  <c r="CA17" i="16"/>
  <c r="Y17" i="16"/>
  <c r="AW17" i="16"/>
  <c r="BS17" i="16"/>
  <c r="BD16" i="16"/>
  <c r="V16" i="16"/>
  <c r="CG16" i="16"/>
  <c r="BP16" i="16"/>
  <c r="AS16" i="16"/>
  <c r="O16" i="16"/>
  <c r="CN16" i="16"/>
  <c r="CC16" i="16"/>
  <c r="BZ16" i="16"/>
  <c r="CM16" i="16"/>
  <c r="BK16" i="16"/>
  <c r="BL16" i="16"/>
  <c r="AC16" i="16"/>
  <c r="BA16" i="16"/>
  <c r="CH16" i="16"/>
  <c r="DA16" i="13"/>
  <c r="M16" i="14"/>
  <c r="DA15" i="13"/>
  <c r="M15" i="14"/>
  <c r="W15" i="14"/>
  <c r="CZ15" i="13"/>
  <c r="W16" i="14"/>
  <c r="CZ16" i="13"/>
  <c r="DA17" i="13"/>
  <c r="M17" i="14"/>
  <c r="W17" i="14"/>
  <c r="CZ17" i="13"/>
  <c r="N14" i="14"/>
  <c r="CZ14" i="13"/>
  <c r="DA10" i="13"/>
  <c r="M10" i="14"/>
  <c r="N13" i="14"/>
  <c r="CZ13" i="13"/>
  <c r="DA11" i="13"/>
  <c r="M11" i="14"/>
  <c r="DA14" i="13"/>
  <c r="M14" i="14"/>
  <c r="DA12" i="13"/>
  <c r="M12" i="14"/>
  <c r="N9" i="14"/>
  <c r="CZ9" i="13"/>
  <c r="N11" i="14"/>
  <c r="CZ11" i="13"/>
  <c r="N12" i="14"/>
  <c r="CZ12" i="13"/>
  <c r="N10" i="14"/>
  <c r="CZ10" i="13"/>
  <c r="DA13" i="13"/>
  <c r="M13" i="14"/>
  <c r="DA9" i="13"/>
  <c r="M9" i="14"/>
  <c r="AJ32" i="45" l="1"/>
  <c r="BI67" i="18"/>
  <c r="CG32" i="45"/>
  <c r="AV69" i="18"/>
  <c r="CA69" i="18"/>
  <c r="AB67" i="18"/>
  <c r="CB32" i="45"/>
  <c r="BL32" i="45"/>
  <c r="BB69" i="18"/>
  <c r="X68" i="18"/>
  <c r="BT32" i="45"/>
  <c r="S69" i="18"/>
  <c r="AX67" i="18"/>
  <c r="CL67" i="18"/>
  <c r="CE69" i="18"/>
  <c r="AL32" i="45"/>
  <c r="BY31" i="45"/>
  <c r="AZ30" i="45"/>
  <c r="CK30" i="45"/>
  <c r="BP30" i="45"/>
  <c r="BL30" i="45"/>
  <c r="BE30" i="45"/>
  <c r="AX32" i="45"/>
  <c r="CJ32" i="45"/>
  <c r="R30" i="45"/>
  <c r="CM32" i="45"/>
  <c r="CI30" i="45"/>
  <c r="AQ67" i="18"/>
  <c r="BK67" i="18"/>
  <c r="BO67" i="18"/>
  <c r="BF69" i="18"/>
  <c r="BM30" i="45"/>
  <c r="K69" i="18"/>
  <c r="BE32" i="45"/>
  <c r="CL69" i="18"/>
  <c r="L31" i="45"/>
  <c r="G30" i="45"/>
  <c r="AD68" i="18"/>
  <c r="G31" i="45"/>
  <c r="AE69" i="18"/>
  <c r="BA69" i="18"/>
  <c r="BB32" i="45"/>
  <c r="CC32" i="45"/>
  <c r="CJ30" i="45"/>
  <c r="BC69" i="18"/>
  <c r="Q32" i="45"/>
  <c r="BB67" i="18"/>
  <c r="AU67" i="18"/>
  <c r="BA67" i="18"/>
  <c r="BQ68" i="18"/>
  <c r="AD33" i="45"/>
  <c r="I30" i="45"/>
  <c r="BY67" i="18"/>
  <c r="BS71" i="18"/>
  <c r="AI33" i="45"/>
  <c r="BS69" i="18"/>
  <c r="BB30" i="45"/>
  <c r="CL33" i="45"/>
  <c r="BL71" i="18"/>
  <c r="CG34" i="45"/>
  <c r="H31" i="45"/>
  <c r="BH69" i="18"/>
  <c r="AF67" i="18"/>
  <c r="AW69" i="18"/>
  <c r="BL33" i="45"/>
  <c r="BW70" i="18"/>
  <c r="L32" i="45"/>
  <c r="CN67" i="18"/>
  <c r="H32" i="45"/>
  <c r="BL68" i="18"/>
  <c r="BT30" i="45"/>
  <c r="AI30" i="45"/>
  <c r="CD69" i="18"/>
  <c r="T69" i="18"/>
  <c r="V34" i="45"/>
  <c r="BG67" i="18"/>
  <c r="CG33" i="45"/>
  <c r="CN34" i="45"/>
  <c r="O33" i="45"/>
  <c r="CF30" i="45"/>
  <c r="F31" i="45"/>
  <c r="BD32" i="45"/>
  <c r="AT67" i="18"/>
  <c r="AP30" i="45"/>
  <c r="AO68" i="18"/>
  <c r="CG68" i="18"/>
  <c r="H71" i="18"/>
  <c r="CA31" i="45"/>
  <c r="AK68" i="18"/>
  <c r="BQ69" i="18"/>
  <c r="AZ31" i="45"/>
  <c r="AW70" i="18"/>
  <c r="G34" i="45"/>
  <c r="P69" i="18"/>
  <c r="AK69" i="18"/>
  <c r="CC33" i="45"/>
  <c r="AQ32" i="45"/>
  <c r="AM31" i="45"/>
  <c r="CN69" i="18"/>
  <c r="CA33" i="45"/>
  <c r="F33" i="45"/>
  <c r="AX69" i="18"/>
  <c r="G69" i="18"/>
  <c r="R67" i="18"/>
  <c r="AN30" i="45"/>
  <c r="AJ33" i="45"/>
  <c r="BA32" i="45"/>
  <c r="AL69" i="18"/>
  <c r="AO71" i="18"/>
  <c r="G71" i="18"/>
  <c r="G33" i="45"/>
  <c r="AE34" i="45"/>
  <c r="AL33" i="45"/>
  <c r="I71" i="18"/>
  <c r="AL71" i="18"/>
  <c r="BU70" i="18"/>
  <c r="BF33" i="45"/>
  <c r="AB33" i="45"/>
  <c r="AR30" i="45"/>
  <c r="V32" i="45"/>
  <c r="AZ70" i="18"/>
  <c r="G32" i="45"/>
  <c r="R69" i="18"/>
  <c r="AR67" i="18"/>
  <c r="Z30" i="45"/>
  <c r="L70" i="18"/>
  <c r="CN32" i="45"/>
  <c r="AD32" i="45"/>
  <c r="BY30" i="45"/>
  <c r="I67" i="18"/>
  <c r="U70" i="18"/>
  <c r="F70" i="18"/>
  <c r="CB70" i="18"/>
  <c r="AQ34" i="45"/>
  <c r="Z67" i="18"/>
  <c r="W71" i="18"/>
  <c r="AS71" i="18"/>
  <c r="N70" i="18"/>
  <c r="Q34" i="45"/>
  <c r="AB71" i="18"/>
  <c r="BH33" i="45"/>
  <c r="AW34" i="45"/>
  <c r="BK34" i="45"/>
  <c r="U71" i="18"/>
  <c r="AE32" i="45"/>
  <c r="AO70" i="18"/>
  <c r="CI34" i="45"/>
  <c r="BU34" i="45"/>
  <c r="AG34" i="45"/>
  <c r="W67" i="18"/>
  <c r="AZ32" i="45"/>
  <c r="CM30" i="45"/>
  <c r="AA31" i="45"/>
  <c r="AD69" i="18"/>
  <c r="BO30" i="45"/>
  <c r="G70" i="18"/>
  <c r="BM67" i="18"/>
  <c r="BJ34" i="45"/>
  <c r="BT33" i="45"/>
  <c r="AZ34" i="45"/>
  <c r="BV33" i="45"/>
  <c r="AM68" i="18"/>
  <c r="V69" i="18"/>
  <c r="J33" i="45"/>
  <c r="R32" i="45"/>
  <c r="T30" i="45"/>
  <c r="CM31" i="45"/>
  <c r="BW31" i="45"/>
  <c r="CN31" i="45"/>
  <c r="CK68" i="18"/>
  <c r="CO69" i="18"/>
  <c r="AA69" i="18"/>
  <c r="Z32" i="45"/>
  <c r="AB32" i="45"/>
  <c r="AP32" i="45"/>
  <c r="BP32" i="45"/>
  <c r="AS68" i="18"/>
  <c r="BN71" i="18"/>
  <c r="AR71" i="18"/>
  <c r="CE68" i="18"/>
  <c r="O67" i="18"/>
  <c r="BF68" i="18"/>
  <c r="AV67" i="18"/>
  <c r="O31" i="45"/>
  <c r="M67" i="18"/>
  <c r="CE32" i="45"/>
  <c r="BV69" i="18"/>
  <c r="CM67" i="18"/>
  <c r="CG31" i="45"/>
  <c r="CF67" i="18"/>
  <c r="AA68" i="18"/>
  <c r="AO31" i="45"/>
  <c r="AZ69" i="18"/>
  <c r="CE71" i="18"/>
  <c r="CD68" i="18"/>
  <c r="AK70" i="18"/>
  <c r="CE70" i="18"/>
  <c r="P34" i="45"/>
  <c r="R33" i="45"/>
  <c r="Z33" i="45"/>
  <c r="T33" i="45"/>
  <c r="BK30" i="45"/>
  <c r="AP33" i="45"/>
  <c r="P70" i="18"/>
  <c r="CD33" i="45"/>
  <c r="BA30" i="45"/>
  <c r="AP67" i="18"/>
  <c r="BE68" i="18"/>
  <c r="T32" i="45"/>
  <c r="BP67" i="18"/>
  <c r="CD32" i="45"/>
  <c r="AX70" i="18"/>
  <c r="BG71" i="18"/>
  <c r="AI67" i="18"/>
  <c r="BZ34" i="45"/>
  <c r="AE68" i="18"/>
  <c r="CF31" i="45"/>
  <c r="BU68" i="18"/>
  <c r="AI69" i="18"/>
  <c r="BV68" i="18"/>
  <c r="BV32" i="45"/>
  <c r="T71" i="18"/>
  <c r="W30" i="45"/>
  <c r="W32" i="45"/>
  <c r="CH31" i="45"/>
  <c r="BV67" i="18"/>
  <c r="CO30" i="45"/>
  <c r="AK71" i="18"/>
  <c r="AJ67" i="18"/>
  <c r="W31" i="45"/>
  <c r="P68" i="18"/>
  <c r="H67" i="18"/>
  <c r="AG68" i="18"/>
  <c r="H30" i="45"/>
  <c r="AN69" i="18"/>
  <c r="F32" i="45"/>
  <c r="AE33" i="45"/>
  <c r="BZ69" i="18"/>
  <c r="X32" i="45"/>
  <c r="I69" i="18"/>
  <c r="I33" i="45"/>
  <c r="AJ34" i="45"/>
  <c r="CH71" i="18"/>
  <c r="Q68" i="18"/>
  <c r="BR30" i="45"/>
  <c r="BV71" i="18"/>
  <c r="J34" i="45"/>
  <c r="CK69" i="18"/>
  <c r="BR69" i="18"/>
  <c r="BW69" i="18"/>
  <c r="AL68" i="18"/>
  <c r="V31" i="45"/>
  <c r="AO69" i="18"/>
  <c r="BC31" i="45"/>
  <c r="CB68" i="18"/>
  <c r="Y31" i="45"/>
  <c r="CH67" i="18"/>
  <c r="Q70" i="18"/>
  <c r="Q69" i="18"/>
  <c r="BU31" i="45"/>
  <c r="AG33" i="45"/>
  <c r="O68" i="18"/>
  <c r="M69" i="18"/>
  <c r="K71" i="18"/>
  <c r="AZ68" i="18"/>
  <c r="P31" i="45"/>
  <c r="CM69" i="18"/>
  <c r="BE33" i="45"/>
  <c r="BP33" i="45"/>
  <c r="BX70" i="18"/>
  <c r="BI70" i="18"/>
  <c r="AV34" i="45"/>
  <c r="AI32" i="45"/>
  <c r="BK31" i="45"/>
  <c r="AS69" i="18"/>
  <c r="AM69" i="18"/>
  <c r="AW31" i="45"/>
  <c r="BN69" i="18"/>
  <c r="AY68" i="18"/>
  <c r="AV31" i="45"/>
  <c r="AF68" i="18"/>
  <c r="BI68" i="18"/>
  <c r="M32" i="45"/>
  <c r="AY69" i="18"/>
  <c r="AR69" i="18"/>
  <c r="X67" i="18"/>
  <c r="AH67" i="18"/>
  <c r="BH32" i="45"/>
  <c r="AH70" i="18"/>
  <c r="CF68" i="18"/>
  <c r="AN32" i="45"/>
  <c r="AW32" i="45"/>
  <c r="AV33" i="45"/>
  <c r="BF31" i="45"/>
  <c r="BG33" i="45"/>
  <c r="H70" i="18"/>
  <c r="AN70" i="18"/>
  <c r="CI69" i="18"/>
  <c r="AT30" i="45"/>
  <c r="BC30" i="45"/>
  <c r="Z31" i="45"/>
  <c r="BA70" i="18"/>
  <c r="CF70" i="18"/>
  <c r="BW34" i="45"/>
  <c r="AQ30" i="45"/>
  <c r="AP71" i="18"/>
  <c r="M68" i="18"/>
  <c r="AQ69" i="18"/>
  <c r="BW32" i="45"/>
  <c r="M33" i="45"/>
  <c r="S33" i="45"/>
  <c r="BL69" i="18"/>
  <c r="I31" i="45"/>
  <c r="BL67" i="18"/>
  <c r="BM32" i="45"/>
  <c r="BJ68" i="18"/>
  <c r="AJ69" i="18"/>
  <c r="Z69" i="18"/>
  <c r="AU30" i="45"/>
  <c r="I68" i="18"/>
  <c r="BQ32" i="45"/>
  <c r="CK34" i="45"/>
  <c r="AE31" i="45"/>
  <c r="BQ34" i="45"/>
  <c r="BK68" i="18"/>
  <c r="AX68" i="18"/>
  <c r="J68" i="18"/>
  <c r="BR68" i="18"/>
  <c r="AH31" i="45"/>
  <c r="H68" i="18"/>
  <c r="G67" i="18"/>
  <c r="AY71" i="18"/>
  <c r="CD71" i="18"/>
  <c r="CE30" i="45"/>
  <c r="BC67" i="18"/>
  <c r="BD30" i="45"/>
  <c r="BJ67" i="18"/>
  <c r="CA68" i="18"/>
  <c r="CO67" i="18"/>
  <c r="BV30" i="45"/>
  <c r="CH68" i="18"/>
  <c r="AH69" i="18"/>
  <c r="BE69" i="18"/>
  <c r="AD71" i="18"/>
  <c r="AZ67" i="18"/>
  <c r="BG31" i="45"/>
  <c r="BX69" i="18"/>
  <c r="AF70" i="18"/>
  <c r="BC32" i="45"/>
  <c r="AD31" i="45"/>
  <c r="BD70" i="18"/>
  <c r="AB30" i="45"/>
  <c r="CJ67" i="18"/>
  <c r="CB69" i="18"/>
  <c r="CO70" i="18"/>
  <c r="AK32" i="45"/>
  <c r="F69" i="18"/>
  <c r="CH33" i="45"/>
  <c r="H69" i="18"/>
  <c r="BA71" i="18"/>
  <c r="K70" i="18"/>
  <c r="P32" i="45"/>
  <c r="AK30" i="45"/>
  <c r="CA67" i="18"/>
  <c r="CC69" i="18"/>
  <c r="L69" i="18"/>
  <c r="BI32" i="45"/>
  <c r="BL31" i="45"/>
  <c r="AF71" i="18"/>
  <c r="S34" i="45"/>
  <c r="BC33" i="45"/>
  <c r="AK31" i="45"/>
  <c r="AV30" i="45"/>
  <c r="BR70" i="18"/>
  <c r="CG69" i="18"/>
  <c r="AS33" i="45"/>
  <c r="K33" i="45"/>
  <c r="J30" i="45"/>
  <c r="AA34" i="45"/>
  <c r="BX31" i="45"/>
  <c r="BJ30" i="45"/>
  <c r="BT67" i="18"/>
  <c r="BY71" i="18"/>
  <c r="BD67" i="18"/>
  <c r="CE67" i="18"/>
  <c r="K32" i="45"/>
  <c r="AP69" i="18"/>
  <c r="CL32" i="45"/>
  <c r="CC71" i="18"/>
  <c r="CK67" i="18"/>
  <c r="BR67" i="18"/>
  <c r="BT69" i="18"/>
  <c r="AN31" i="45"/>
  <c r="BG68" i="18"/>
  <c r="T31" i="45"/>
  <c r="BX32" i="45"/>
  <c r="BT31" i="45"/>
  <c r="Z68" i="18"/>
  <c r="AF69" i="18"/>
  <c r="AS32" i="45"/>
  <c r="AA67" i="18"/>
  <c r="CA30" i="45"/>
  <c r="BA68" i="18"/>
  <c r="AM32" i="45"/>
  <c r="AW68" i="18"/>
  <c r="BM31" i="45"/>
  <c r="CJ69" i="18"/>
  <c r="BN32" i="45"/>
  <c r="BP68" i="18"/>
  <c r="AJ68" i="18"/>
  <c r="S31" i="45"/>
  <c r="AY31" i="45"/>
  <c r="AV68" i="18"/>
  <c r="BJ31" i="45"/>
  <c r="AU31" i="45"/>
  <c r="AF31" i="45"/>
  <c r="AR31" i="45"/>
  <c r="BI31" i="45"/>
  <c r="CE31" i="45"/>
  <c r="AU69" i="18"/>
  <c r="AY32" i="45"/>
  <c r="AR32" i="45"/>
  <c r="X30" i="45"/>
  <c r="AH30" i="45"/>
  <c r="CK32" i="45"/>
  <c r="BC68" i="18"/>
  <c r="T67" i="18"/>
  <c r="CD31" i="45"/>
  <c r="BG30" i="45"/>
  <c r="BZ70" i="18"/>
  <c r="BN67" i="18"/>
  <c r="BN30" i="45"/>
  <c r="BW30" i="45"/>
  <c r="BW67" i="18"/>
  <c r="BH71" i="18"/>
  <c r="BH34" i="45"/>
  <c r="AG67" i="18"/>
  <c r="BS33" i="45"/>
  <c r="BS70" i="18"/>
  <c r="BJ32" i="45"/>
  <c r="BX67" i="18"/>
  <c r="BX30" i="45"/>
  <c r="BU32" i="45"/>
  <c r="BU69" i="18"/>
  <c r="U30" i="45"/>
  <c r="U67" i="18"/>
  <c r="BN70" i="18"/>
  <c r="BN33" i="45"/>
  <c r="BY70" i="18"/>
  <c r="BY33" i="45"/>
  <c r="BY68" i="18"/>
  <c r="AG69" i="18"/>
  <c r="AG32" i="45"/>
  <c r="BE34" i="45"/>
  <c r="BE71" i="18"/>
  <c r="P30" i="45"/>
  <c r="P67" i="18"/>
  <c r="BZ30" i="45"/>
  <c r="BZ67" i="18"/>
  <c r="BS31" i="45"/>
  <c r="BS68" i="18"/>
  <c r="V70" i="18"/>
  <c r="V33" i="45"/>
  <c r="AA70" i="18"/>
  <c r="AA33" i="45"/>
  <c r="AL31" i="45"/>
  <c r="CO31" i="45"/>
  <c r="CO68" i="18"/>
  <c r="CA32" i="45"/>
  <c r="U32" i="45"/>
  <c r="U69" i="18"/>
  <c r="BY32" i="45"/>
  <c r="BY69" i="18"/>
  <c r="BK69" i="18"/>
  <c r="BK32" i="45"/>
  <c r="BF34" i="45"/>
  <c r="BF71" i="18"/>
  <c r="CA34" i="45"/>
  <c r="CA71" i="18"/>
  <c r="L34" i="45"/>
  <c r="L71" i="18"/>
  <c r="BB71" i="18"/>
  <c r="BB34" i="45"/>
  <c r="BS30" i="45"/>
  <c r="BS67" i="18"/>
  <c r="CL30" i="45"/>
  <c r="AE30" i="45"/>
  <c r="AE67" i="18"/>
  <c r="AB31" i="45"/>
  <c r="AB68" i="18"/>
  <c r="Y69" i="18"/>
  <c r="Y32" i="45"/>
  <c r="AM67" i="18"/>
  <c r="AM30" i="45"/>
  <c r="AO30" i="45"/>
  <c r="AO67" i="18"/>
  <c r="M31" i="45"/>
  <c r="AU33" i="45"/>
  <c r="AU70" i="18"/>
  <c r="BQ33" i="45"/>
  <c r="BQ70" i="18"/>
  <c r="K68" i="18"/>
  <c r="K31" i="45"/>
  <c r="R68" i="18"/>
  <c r="R31" i="45"/>
  <c r="AJ31" i="45"/>
  <c r="CF32" i="45"/>
  <c r="CF69" i="18"/>
  <c r="M71" i="18"/>
  <c r="M34" i="45"/>
  <c r="AU34" i="45"/>
  <c r="AU71" i="18"/>
  <c r="BI30" i="45"/>
  <c r="S67" i="18"/>
  <c r="AX71" i="18"/>
  <c r="AX34" i="45"/>
  <c r="K67" i="18"/>
  <c r="K30" i="45"/>
  <c r="BU67" i="18"/>
  <c r="BU30" i="45"/>
  <c r="AI31" i="45"/>
  <c r="AI68" i="18"/>
  <c r="CC31" i="45"/>
  <c r="CC68" i="18"/>
  <c r="AQ68" i="18"/>
  <c r="AQ31" i="45"/>
  <c r="AP68" i="18"/>
  <c r="AP31" i="45"/>
  <c r="CI68" i="18"/>
  <c r="CI31" i="45"/>
  <c r="O32" i="45"/>
  <c r="CD30" i="45"/>
  <c r="CD67" i="18"/>
  <c r="AW30" i="45"/>
  <c r="AW67" i="18"/>
  <c r="AT68" i="18"/>
  <c r="AT31" i="45"/>
  <c r="BO71" i="18"/>
  <c r="BO34" i="45"/>
  <c r="O71" i="18"/>
  <c r="O34" i="45"/>
  <c r="F30" i="45"/>
  <c r="F67" i="18"/>
  <c r="Y67" i="18"/>
  <c r="Y30" i="45"/>
  <c r="AL30" i="45"/>
  <c r="AL67" i="18"/>
  <c r="AC68" i="18"/>
  <c r="AC31" i="45"/>
  <c r="CJ70" i="18"/>
  <c r="CJ33" i="45"/>
  <c r="AY33" i="45"/>
  <c r="AY70" i="18"/>
  <c r="CJ68" i="18"/>
  <c r="CJ31" i="45"/>
  <c r="BW68" i="18"/>
  <c r="AC69" i="18"/>
  <c r="AC32" i="45"/>
  <c r="AC34" i="45"/>
  <c r="AC71" i="18"/>
  <c r="BJ69" i="18"/>
  <c r="BK33" i="45"/>
  <c r="CB31" i="45"/>
  <c r="BR32" i="45"/>
  <c r="BM70" i="18"/>
  <c r="AH68" i="18"/>
  <c r="CK31" i="45"/>
  <c r="BJ70" i="18"/>
  <c r="BP31" i="45"/>
  <c r="AY67" i="18"/>
  <c r="AY30" i="45"/>
  <c r="BQ67" i="18"/>
  <c r="BQ30" i="45"/>
  <c r="Q30" i="45"/>
  <c r="Q67" i="18"/>
  <c r="BN68" i="18"/>
  <c r="BN31" i="45"/>
  <c r="CL34" i="45"/>
  <c r="CL71" i="18"/>
  <c r="CB67" i="18"/>
  <c r="CB30" i="45"/>
  <c r="AC30" i="45"/>
  <c r="AC67" i="18"/>
  <c r="AC33" i="45"/>
  <c r="AC70" i="18"/>
  <c r="BG69" i="18"/>
  <c r="N34" i="45"/>
  <c r="N71" i="18"/>
  <c r="CN70" i="18"/>
  <c r="CM33" i="45"/>
  <c r="CN68" i="18"/>
  <c r="BM68" i="18"/>
  <c r="BP69" i="18"/>
  <c r="AI34" i="45"/>
  <c r="Y70" i="18"/>
  <c r="AR70" i="18"/>
  <c r="BR31" i="45"/>
  <c r="AX31" i="45"/>
  <c r="S68" i="18"/>
  <c r="Y68" i="18"/>
  <c r="AQ70" i="18"/>
  <c r="BA31" i="45"/>
  <c r="BZ68" i="18"/>
  <c r="BE31" i="45"/>
  <c r="AM70" i="18"/>
  <c r="AM33" i="45"/>
  <c r="BC71" i="18"/>
  <c r="BC34" i="45"/>
  <c r="BF30" i="45"/>
  <c r="BF67" i="18"/>
  <c r="BX68" i="18"/>
  <c r="CO71" i="18"/>
  <c r="CO34" i="45"/>
  <c r="AT69" i="18"/>
  <c r="AT32" i="45"/>
  <c r="AF32" i="45"/>
  <c r="Z71" i="18"/>
  <c r="Z34" i="45"/>
  <c r="J69" i="18"/>
  <c r="J32" i="45"/>
  <c r="CC67" i="18"/>
  <c r="CC30" i="45"/>
  <c r="BH68" i="18"/>
  <c r="BH31" i="45"/>
  <c r="CJ34" i="45"/>
  <c r="CJ71" i="18"/>
  <c r="X71" i="18"/>
  <c r="X34" i="45"/>
  <c r="BD69" i="18"/>
  <c r="BQ31" i="45"/>
  <c r="S32" i="45"/>
  <c r="BF32" i="45"/>
  <c r="AG30" i="45"/>
  <c r="CK70" i="18"/>
  <c r="Q31" i="45"/>
  <c r="AJ30" i="45"/>
  <c r="V68" i="18"/>
  <c r="O69" i="18"/>
  <c r="AU68" i="18"/>
  <c r="X70" i="18"/>
  <c r="AA32" i="45"/>
  <c r="CO32" i="45"/>
  <c r="AU32" i="45"/>
  <c r="BS32" i="45"/>
  <c r="AG31" i="45"/>
  <c r="BO68" i="18"/>
  <c r="BO31" i="45"/>
  <c r="AH34" i="45"/>
  <c r="AH71" i="18"/>
  <c r="AD30" i="45"/>
  <c r="AD67" i="18"/>
  <c r="CH32" i="45"/>
  <c r="CH69" i="18"/>
  <c r="BH67" i="18"/>
  <c r="BH30" i="45"/>
  <c r="AN68" i="18"/>
  <c r="BD68" i="18"/>
  <c r="BD31" i="45"/>
  <c r="BE67" i="18"/>
  <c r="CG67" i="18"/>
  <c r="CG30" i="45"/>
  <c r="L68" i="18"/>
  <c r="G68" i="18"/>
  <c r="U31" i="45"/>
  <c r="U68" i="18"/>
  <c r="BO32" i="45"/>
  <c r="BO69" i="18"/>
  <c r="CL31" i="45"/>
  <c r="CL68" i="18"/>
  <c r="L30" i="45"/>
  <c r="L67" i="18"/>
  <c r="AS31" i="45"/>
  <c r="F68" i="18"/>
  <c r="AO32" i="45"/>
  <c r="BM34" i="45"/>
  <c r="J31" i="45"/>
  <c r="AV32" i="45"/>
  <c r="AT70" i="18"/>
  <c r="T68" i="18"/>
  <c r="BO33" i="45"/>
  <c r="CM68" i="18"/>
  <c r="CI33" i="45"/>
  <c r="CH30" i="45"/>
  <c r="AT71" i="18"/>
  <c r="O30" i="45"/>
  <c r="BT71" i="18"/>
  <c r="BD71" i="18"/>
  <c r="AN71" i="18"/>
  <c r="W68" i="18"/>
  <c r="AF30" i="45"/>
  <c r="W33" i="45"/>
  <c r="BV31" i="45"/>
  <c r="BP34" i="45"/>
  <c r="S30" i="45"/>
  <c r="AR68" i="18"/>
  <c r="BZ31" i="45"/>
  <c r="AK67" i="18"/>
  <c r="J67" i="18"/>
  <c r="BB31" i="45"/>
  <c r="BR34" i="45"/>
  <c r="AM71" i="18"/>
  <c r="CN30" i="45"/>
  <c r="CF34" i="45"/>
  <c r="AA30" i="45"/>
  <c r="AS67" i="18"/>
  <c r="BB68" i="18"/>
  <c r="BT68" i="18"/>
  <c r="AS30" i="45"/>
  <c r="V67" i="18"/>
  <c r="Y34" i="45"/>
  <c r="CI67" i="18"/>
  <c r="BI71" i="18"/>
  <c r="BG32" i="45"/>
  <c r="AX30" i="45"/>
  <c r="X31" i="45"/>
  <c r="BB33" i="45"/>
  <c r="R71" i="18"/>
  <c r="M30" i="45"/>
  <c r="AB69" i="18"/>
  <c r="CM34" i="45"/>
  <c r="BX34" i="45"/>
  <c r="F71" i="18"/>
  <c r="X69" i="18"/>
  <c r="W69" i="18"/>
  <c r="CB34" i="45"/>
  <c r="BZ32" i="45"/>
  <c r="W17" i="15"/>
  <c r="CZ17" i="14"/>
  <c r="W15" i="15"/>
  <c r="CZ15" i="14"/>
  <c r="DA17" i="14"/>
  <c r="M17" i="15"/>
  <c r="M15" i="15"/>
  <c r="DA15" i="14"/>
  <c r="W16" i="15"/>
  <c r="CZ16" i="14"/>
  <c r="M16" i="15"/>
  <c r="DA16" i="14"/>
  <c r="A1" i="13"/>
  <c r="E11" i="4" s="1"/>
  <c r="CZ10" i="14"/>
  <c r="N10" i="15"/>
  <c r="M10" i="15"/>
  <c r="DA10" i="14"/>
  <c r="CZ12" i="14"/>
  <c r="N12" i="15"/>
  <c r="M14" i="15"/>
  <c r="DA14" i="14"/>
  <c r="CZ13" i="14"/>
  <c r="N13" i="15"/>
  <c r="CZ11" i="14"/>
  <c r="N11" i="15"/>
  <c r="M9" i="15"/>
  <c r="DA9" i="14"/>
  <c r="DA11" i="14"/>
  <c r="M11" i="15"/>
  <c r="DA12" i="14"/>
  <c r="M12" i="15"/>
  <c r="CZ14" i="14"/>
  <c r="N14" i="15"/>
  <c r="CZ9" i="14"/>
  <c r="N9" i="15"/>
  <c r="M13" i="15"/>
  <c r="DA13" i="14"/>
  <c r="BB73" i="18" l="1"/>
  <c r="L36" i="45"/>
  <c r="H36" i="45"/>
  <c r="BL36" i="45"/>
  <c r="BT36" i="45"/>
  <c r="CG36" i="45"/>
  <c r="G36" i="45"/>
  <c r="BA36" i="45"/>
  <c r="R73" i="18"/>
  <c r="AZ36" i="45"/>
  <c r="AV73" i="18"/>
  <c r="AD73" i="18"/>
  <c r="W73" i="18"/>
  <c r="Z36" i="45"/>
  <c r="BV73" i="18"/>
  <c r="CN36" i="45"/>
  <c r="AP36" i="45"/>
  <c r="AI73" i="18"/>
  <c r="R36" i="45"/>
  <c r="AE73" i="18"/>
  <c r="CE73" i="18"/>
  <c r="W36" i="45"/>
  <c r="P73" i="18"/>
  <c r="T36" i="45"/>
  <c r="AK73" i="18"/>
  <c r="F36" i="45"/>
  <c r="I36" i="45"/>
  <c r="I73" i="18"/>
  <c r="AO73" i="18"/>
  <c r="AJ36" i="45"/>
  <c r="AN36" i="45"/>
  <c r="CM73" i="18"/>
  <c r="BA73" i="18"/>
  <c r="AR36" i="45"/>
  <c r="AZ73" i="18"/>
  <c r="AS73" i="18"/>
  <c r="V36" i="45"/>
  <c r="AL73" i="18"/>
  <c r="G73" i="18"/>
  <c r="M73" i="18"/>
  <c r="CH73" i="18"/>
  <c r="BI36" i="45"/>
  <c r="AR73" i="18"/>
  <c r="AW36" i="45"/>
  <c r="AV36" i="45"/>
  <c r="AE36" i="45"/>
  <c r="M36" i="45"/>
  <c r="BI73" i="18"/>
  <c r="AM73" i="18"/>
  <c r="Q73" i="18"/>
  <c r="AQ36" i="45"/>
  <c r="BK73" i="18"/>
  <c r="BE73" i="18"/>
  <c r="K73" i="18"/>
  <c r="AG73" i="18"/>
  <c r="AF73" i="18"/>
  <c r="AU36" i="45"/>
  <c r="U36" i="45"/>
  <c r="AK36" i="45"/>
  <c r="AX73" i="18"/>
  <c r="CB36" i="45"/>
  <c r="AW73" i="18"/>
  <c r="CC73" i="18"/>
  <c r="AJ73" i="18"/>
  <c r="CF73" i="18"/>
  <c r="K36" i="45"/>
  <c r="BY36" i="45"/>
  <c r="BL73" i="18"/>
  <c r="CN73" i="18"/>
  <c r="AY36" i="45"/>
  <c r="AY73" i="18"/>
  <c r="CF36" i="45"/>
  <c r="BQ73" i="18"/>
  <c r="BX36" i="45"/>
  <c r="AA73" i="18"/>
  <c r="CE36" i="45"/>
  <c r="H73" i="18"/>
  <c r="AD36" i="45"/>
  <c r="CC36" i="45"/>
  <c r="BG73" i="18"/>
  <c r="BW73" i="18"/>
  <c r="CD73" i="18"/>
  <c r="AP73" i="18"/>
  <c r="Y36" i="45"/>
  <c r="BP36" i="45"/>
  <c r="O73" i="18"/>
  <c r="CD36" i="45"/>
  <c r="P36" i="45"/>
  <c r="BM36" i="45"/>
  <c r="BC36" i="45"/>
  <c r="AB73" i="18"/>
  <c r="BG36" i="45"/>
  <c r="AL36" i="45"/>
  <c r="AB36" i="45"/>
  <c r="AS36" i="45"/>
  <c r="Z73" i="18"/>
  <c r="S36" i="45"/>
  <c r="CI36" i="45"/>
  <c r="CK73" i="18"/>
  <c r="BE36" i="45"/>
  <c r="BM73" i="18"/>
  <c r="BD73" i="18"/>
  <c r="BS36" i="45"/>
  <c r="CL73" i="18"/>
  <c r="CJ36" i="45"/>
  <c r="BC73" i="18"/>
  <c r="BP73" i="18"/>
  <c r="BR73" i="18"/>
  <c r="BD36" i="45"/>
  <c r="AQ73" i="18"/>
  <c r="J73" i="18"/>
  <c r="BV36" i="45"/>
  <c r="CG73" i="18"/>
  <c r="AH36" i="45"/>
  <c r="CA73" i="18"/>
  <c r="X73" i="18"/>
  <c r="CB73" i="18"/>
  <c r="BW36" i="45"/>
  <c r="V73" i="18"/>
  <c r="BF36" i="45"/>
  <c r="BU73" i="18"/>
  <c r="BQ36" i="45"/>
  <c r="CO73" i="18"/>
  <c r="L73" i="18"/>
  <c r="BS73" i="18"/>
  <c r="Q36" i="45"/>
  <c r="BJ36" i="45"/>
  <c r="BO73" i="18"/>
  <c r="BO36" i="45"/>
  <c r="AN73" i="18"/>
  <c r="X36" i="45"/>
  <c r="AX36" i="45"/>
  <c r="BJ73" i="18"/>
  <c r="BK36" i="45"/>
  <c r="BY73" i="18"/>
  <c r="T73" i="18"/>
  <c r="J36" i="45"/>
  <c r="CM36" i="45"/>
  <c r="AH73" i="18"/>
  <c r="CJ73" i="18"/>
  <c r="AC73" i="18"/>
  <c r="AT36" i="45"/>
  <c r="S73" i="18"/>
  <c r="CO36" i="45"/>
  <c r="BU36" i="45"/>
  <c r="CK36" i="45"/>
  <c r="BN36" i="45"/>
  <c r="CA36" i="45"/>
  <c r="BT73" i="18"/>
  <c r="BZ36" i="45"/>
  <c r="AF36" i="45"/>
  <c r="AT73" i="18"/>
  <c r="F73" i="18"/>
  <c r="CL36" i="45"/>
  <c r="CH36" i="45"/>
  <c r="AA36" i="45"/>
  <c r="BH36" i="45"/>
  <c r="AM36" i="45"/>
  <c r="Y73" i="18"/>
  <c r="AI36" i="45"/>
  <c r="AC36" i="45"/>
  <c r="BN73" i="18"/>
  <c r="BR36" i="45"/>
  <c r="O36" i="45"/>
  <c r="CI73" i="18"/>
  <c r="AU73" i="18"/>
  <c r="AO36" i="45"/>
  <c r="BB36" i="45"/>
  <c r="BF73" i="18"/>
  <c r="U73" i="18"/>
  <c r="BZ73" i="18"/>
  <c r="AG36" i="45"/>
  <c r="BX73" i="18"/>
  <c r="BH73" i="18"/>
  <c r="M10" i="16"/>
  <c r="D44" i="18"/>
  <c r="D25" i="45"/>
  <c r="DA17" i="15"/>
  <c r="M17" i="16"/>
  <c r="W17" i="16"/>
  <c r="CZ17" i="15"/>
  <c r="DA16" i="15"/>
  <c r="M16" i="16"/>
  <c r="W16" i="16"/>
  <c r="CZ16" i="15"/>
  <c r="W15" i="16"/>
  <c r="CZ15" i="15"/>
  <c r="DA15" i="15"/>
  <c r="M15" i="16"/>
  <c r="D43" i="18"/>
  <c r="D24" i="45"/>
  <c r="D42" i="18"/>
  <c r="D23" i="45"/>
  <c r="D16" i="18"/>
  <c r="D11" i="45"/>
  <c r="D21" i="45"/>
  <c r="D15" i="18"/>
  <c r="D10" i="45"/>
  <c r="D20" i="45"/>
  <c r="D14" i="18"/>
  <c r="D9" i="45"/>
  <c r="D39" i="18"/>
  <c r="D40" i="18"/>
  <c r="D38" i="18"/>
  <c r="D19" i="45"/>
  <c r="D8" i="45"/>
  <c r="D22" i="45"/>
  <c r="D7" i="45"/>
  <c r="D18" i="45"/>
  <c r="D13" i="18"/>
  <c r="D41" i="18"/>
  <c r="D12" i="18"/>
  <c r="D37" i="18"/>
  <c r="A1" i="14"/>
  <c r="N14" i="16"/>
  <c r="CZ14" i="15"/>
  <c r="M9" i="16"/>
  <c r="DA9" i="15"/>
  <c r="M14" i="16"/>
  <c r="DA14" i="15"/>
  <c r="N13" i="16"/>
  <c r="CZ13" i="15"/>
  <c r="DA13" i="15"/>
  <c r="M13" i="16"/>
  <c r="DA12" i="15"/>
  <c r="M12" i="16"/>
  <c r="N11" i="16"/>
  <c r="CZ11" i="15"/>
  <c r="N9" i="16"/>
  <c r="CZ9" i="15"/>
  <c r="N12" i="16"/>
  <c r="CZ12" i="15"/>
  <c r="DA10" i="15"/>
  <c r="N10" i="16"/>
  <c r="CZ10" i="15"/>
  <c r="M11" i="16"/>
  <c r="DA11" i="15"/>
  <c r="D46" i="18" l="1"/>
  <c r="DA17" i="16"/>
  <c r="DA15" i="16"/>
  <c r="E24" i="45" s="1"/>
  <c r="DA16" i="16"/>
  <c r="E25" i="45" s="1"/>
  <c r="CZ15" i="16"/>
  <c r="N30" i="45"/>
  <c r="N67" i="18"/>
  <c r="CZ17" i="16"/>
  <c r="N69" i="18"/>
  <c r="N32" i="45"/>
  <c r="CZ16" i="16"/>
  <c r="N68" i="18"/>
  <c r="N31" i="45"/>
  <c r="A1" i="15"/>
  <c r="E13" i="4" s="1"/>
  <c r="CZ11" i="16"/>
  <c r="E32" i="45"/>
  <c r="E69" i="18"/>
  <c r="DA14" i="16"/>
  <c r="DA13" i="16"/>
  <c r="D34" i="45"/>
  <c r="D71" i="18"/>
  <c r="DA11" i="16"/>
  <c r="D69" i="18"/>
  <c r="D32" i="45"/>
  <c r="CZ12" i="16"/>
  <c r="E70" i="18"/>
  <c r="E33" i="45"/>
  <c r="CZ9" i="16"/>
  <c r="E67" i="18"/>
  <c r="E30" i="45"/>
  <c r="D67" i="18"/>
  <c r="D30" i="45"/>
  <c r="DA9" i="16"/>
  <c r="D18" i="18"/>
  <c r="D13" i="45"/>
  <c r="CZ10" i="16"/>
  <c r="E31" i="45"/>
  <c r="E68" i="18"/>
  <c r="CZ13" i="16"/>
  <c r="E71" i="18"/>
  <c r="E34" i="45"/>
  <c r="DA10" i="16"/>
  <c r="D68" i="18"/>
  <c r="D31" i="45"/>
  <c r="DA12" i="16"/>
  <c r="D70" i="18"/>
  <c r="D33" i="45"/>
  <c r="CZ14" i="16"/>
  <c r="E43" i="18" l="1"/>
  <c r="E44" i="18"/>
  <c r="N73" i="18"/>
  <c r="N36" i="45"/>
  <c r="E23" i="45"/>
  <c r="E42" i="18"/>
  <c r="E16" i="18"/>
  <c r="E11" i="45"/>
  <c r="E21" i="45"/>
  <c r="E15" i="18"/>
  <c r="E10" i="45"/>
  <c r="E20" i="45"/>
  <c r="E14" i="18"/>
  <c r="E9" i="45"/>
  <c r="E19" i="45"/>
  <c r="E40" i="18"/>
  <c r="E38" i="18"/>
  <c r="E39" i="18"/>
  <c r="E18" i="45"/>
  <c r="E7" i="45"/>
  <c r="E22" i="45"/>
  <c r="E8" i="45"/>
  <c r="E12" i="18"/>
  <c r="E37" i="18"/>
  <c r="E13" i="18"/>
  <c r="E41" i="18"/>
  <c r="D73" i="18"/>
  <c r="A1" i="16"/>
  <c r="E14" i="4" s="1"/>
  <c r="E73" i="18"/>
  <c r="E36" i="45"/>
  <c r="D36" i="45"/>
  <c r="E46" i="18" l="1"/>
  <c r="E18" i="18"/>
  <c r="E13" i="45"/>
  <c r="F17" i="2" l="1"/>
  <c r="G17" i="2" l="1"/>
  <c r="F57" i="6"/>
  <c r="H17" i="2" l="1"/>
  <c r="G57" i="6"/>
  <c r="F59" i="6"/>
  <c r="M9" i="17" l="1"/>
  <c r="M17" i="17"/>
  <c r="M10" i="17"/>
  <c r="M14" i="17"/>
  <c r="M11" i="17"/>
  <c r="M13" i="17"/>
  <c r="M12" i="17"/>
  <c r="M16" i="17"/>
  <c r="M15" i="17"/>
  <c r="I17" i="2"/>
  <c r="H57" i="6"/>
  <c r="L15" i="19"/>
  <c r="G59" i="6"/>
  <c r="N16" i="17" l="1"/>
  <c r="N15" i="17"/>
  <c r="N17" i="17"/>
  <c r="N11" i="17"/>
  <c r="N9" i="17"/>
  <c r="N13" i="17"/>
  <c r="N12" i="17"/>
  <c r="N10" i="17"/>
  <c r="N14" i="17"/>
  <c r="M15" i="19"/>
  <c r="H59" i="6"/>
  <c r="I57" i="6"/>
  <c r="J17" i="2"/>
  <c r="O12" i="17" l="1"/>
  <c r="O14" i="17"/>
  <c r="O10" i="17"/>
  <c r="O9" i="17"/>
  <c r="O13" i="17"/>
  <c r="O11" i="17"/>
  <c r="O16" i="17"/>
  <c r="O17" i="17"/>
  <c r="O15" i="17"/>
  <c r="I59" i="6"/>
  <c r="O15" i="19" s="1"/>
  <c r="N15" i="19"/>
  <c r="K17" i="2"/>
  <c r="J57" i="6"/>
  <c r="P11" i="17" l="1"/>
  <c r="P17" i="17"/>
  <c r="P13" i="17"/>
  <c r="P12" i="17"/>
  <c r="P14" i="17"/>
  <c r="P16" i="17"/>
  <c r="P15" i="17"/>
  <c r="P10" i="17"/>
  <c r="P9" i="17"/>
  <c r="J59" i="6"/>
  <c r="L17" i="2"/>
  <c r="K57" i="6"/>
  <c r="Q16" i="17" l="1"/>
  <c r="Q13" i="17"/>
  <c r="Q10" i="17"/>
  <c r="Q17" i="17"/>
  <c r="Q9" i="17"/>
  <c r="Q12" i="17"/>
  <c r="Q11" i="17"/>
  <c r="Q14" i="17"/>
  <c r="Q15" i="17"/>
  <c r="K59" i="6"/>
  <c r="P15" i="19"/>
  <c r="M17" i="2"/>
  <c r="L57" i="6"/>
  <c r="R9" i="17" l="1"/>
  <c r="R10" i="17"/>
  <c r="R16" i="17"/>
  <c r="R11" i="17"/>
  <c r="R13" i="17"/>
  <c r="R15" i="17"/>
  <c r="R12" i="17"/>
  <c r="R14" i="17"/>
  <c r="R17" i="17"/>
  <c r="Q15" i="19"/>
  <c r="L59" i="6"/>
  <c r="N17" i="2"/>
  <c r="M57" i="6"/>
  <c r="S13" i="17" l="1"/>
  <c r="S14" i="17"/>
  <c r="S16" i="17"/>
  <c r="S9" i="17"/>
  <c r="S12" i="17"/>
  <c r="S15" i="17"/>
  <c r="S17" i="17"/>
  <c r="S10" i="17"/>
  <c r="S11" i="17"/>
  <c r="M59" i="6"/>
  <c r="R15" i="19"/>
  <c r="S15" i="19"/>
  <c r="O17" i="2"/>
  <c r="N57" i="6"/>
  <c r="T10" i="17" l="1"/>
  <c r="T17" i="17"/>
  <c r="T15" i="17"/>
  <c r="T13" i="17"/>
  <c r="T14" i="17"/>
  <c r="T16" i="17"/>
  <c r="T11" i="17"/>
  <c r="T12" i="17"/>
  <c r="T9" i="17"/>
  <c r="N59" i="6"/>
  <c r="P17" i="2"/>
  <c r="O57" i="6"/>
  <c r="O59" i="6" s="1"/>
  <c r="V11" i="17" l="1"/>
  <c r="V13" i="17"/>
  <c r="V14" i="17"/>
  <c r="V17" i="17"/>
  <c r="V10" i="17"/>
  <c r="V12" i="17"/>
  <c r="V15" i="17"/>
  <c r="V16" i="17"/>
  <c r="V9" i="17"/>
  <c r="U13" i="17"/>
  <c r="U16" i="17"/>
  <c r="U12" i="17"/>
  <c r="U9" i="17"/>
  <c r="U10" i="17"/>
  <c r="U15" i="17"/>
  <c r="U11" i="17"/>
  <c r="U14" i="17"/>
  <c r="U17" i="17"/>
  <c r="U15" i="19"/>
  <c r="P57" i="6"/>
  <c r="P59" i="6" s="1"/>
  <c r="Q17" i="2"/>
  <c r="T15" i="19"/>
  <c r="W13" i="17" l="1"/>
  <c r="W12" i="17"/>
  <c r="W10" i="17"/>
  <c r="W11" i="17"/>
  <c r="W9" i="17"/>
  <c r="W14" i="17"/>
  <c r="W16" i="17"/>
  <c r="W17" i="17"/>
  <c r="W15" i="17"/>
  <c r="Q57" i="6"/>
  <c r="Q59" i="6" s="1"/>
  <c r="R17" i="2"/>
  <c r="V15" i="19"/>
  <c r="X14" i="17" l="1"/>
  <c r="X12" i="17"/>
  <c r="X15" i="17"/>
  <c r="X11" i="17"/>
  <c r="X17" i="17"/>
  <c r="X16" i="17"/>
  <c r="X10" i="17"/>
  <c r="X9" i="17"/>
  <c r="X13" i="17"/>
  <c r="S17" i="2"/>
  <c r="R57" i="6"/>
  <c r="R59" i="6" s="1"/>
  <c r="W15" i="19"/>
  <c r="Y10" i="17" l="1"/>
  <c r="Y11" i="17"/>
  <c r="Y9" i="17"/>
  <c r="Y13" i="17"/>
  <c r="Y14" i="17"/>
  <c r="Y12" i="17"/>
  <c r="Y16" i="17"/>
  <c r="Y15" i="17"/>
  <c r="Y17" i="17"/>
  <c r="X15" i="19"/>
  <c r="S57" i="6"/>
  <c r="S59" i="6" s="1"/>
  <c r="T17" i="2"/>
  <c r="Z14" i="17" l="1"/>
  <c r="Z15" i="17"/>
  <c r="Z13" i="17"/>
  <c r="Z11" i="17"/>
  <c r="Z12" i="17"/>
  <c r="Z17" i="17"/>
  <c r="Z10" i="17"/>
  <c r="Z9" i="17"/>
  <c r="Z16" i="17"/>
  <c r="T57" i="6"/>
  <c r="T59" i="6" s="1"/>
  <c r="U17" i="2"/>
  <c r="Y15" i="19"/>
  <c r="AA15" i="17" l="1"/>
  <c r="AA12" i="17"/>
  <c r="AA11" i="17"/>
  <c r="AA10" i="17"/>
  <c r="AA16" i="17"/>
  <c r="AA9" i="17"/>
  <c r="AA17" i="17"/>
  <c r="AA14" i="17"/>
  <c r="AA13" i="17"/>
  <c r="V17" i="2"/>
  <c r="U57" i="6"/>
  <c r="U59" i="6" s="1"/>
  <c r="Z15" i="19"/>
  <c r="AB15" i="17" l="1"/>
  <c r="AB17" i="17"/>
  <c r="AB10" i="17"/>
  <c r="AB9" i="17"/>
  <c r="AB11" i="17"/>
  <c r="AB14" i="17"/>
  <c r="AB16" i="17"/>
  <c r="AB12" i="17"/>
  <c r="AB13" i="17"/>
  <c r="AA15" i="19"/>
  <c r="V57" i="6"/>
  <c r="V59" i="6" s="1"/>
  <c r="W17" i="2"/>
  <c r="AC17" i="17" l="1"/>
  <c r="AC12" i="17"/>
  <c r="AC15" i="17"/>
  <c r="AC16" i="17"/>
  <c r="AC11" i="17"/>
  <c r="AC9" i="17"/>
  <c r="AC10" i="17"/>
  <c r="AC13" i="17"/>
  <c r="AC14" i="17"/>
  <c r="W57" i="6"/>
  <c r="W59" i="6" s="1"/>
  <c r="X17" i="2"/>
  <c r="AB15" i="19"/>
  <c r="AD13" i="17" l="1"/>
  <c r="AD12" i="17"/>
  <c r="AD16" i="17"/>
  <c r="AD14" i="17"/>
  <c r="AD11" i="17"/>
  <c r="AD15" i="17"/>
  <c r="AD10" i="17"/>
  <c r="AD9" i="17"/>
  <c r="AD17" i="17"/>
  <c r="Y17" i="2"/>
  <c r="X57" i="6"/>
  <c r="X59" i="6" s="1"/>
  <c r="AC15" i="19"/>
  <c r="AE9" i="17" l="1"/>
  <c r="AE10" i="17"/>
  <c r="AE17" i="17"/>
  <c r="AE16" i="17"/>
  <c r="AE14" i="17"/>
  <c r="AE11" i="17"/>
  <c r="AE13" i="17"/>
  <c r="AE12" i="17"/>
  <c r="AE15" i="17"/>
  <c r="AD15" i="19"/>
  <c r="Y57" i="6"/>
  <c r="Y59" i="6" s="1"/>
  <c r="Z17" i="2"/>
  <c r="AF13" i="17" l="1"/>
  <c r="AF14" i="17"/>
  <c r="AF15" i="17"/>
  <c r="AF17" i="17"/>
  <c r="AF16" i="17"/>
  <c r="AF11" i="17"/>
  <c r="AF12" i="17"/>
  <c r="AF9" i="17"/>
  <c r="AF10" i="17"/>
  <c r="Z57" i="6"/>
  <c r="Z59" i="6" s="1"/>
  <c r="AA17" i="2"/>
  <c r="CZ9" i="17"/>
  <c r="CZ17" i="17"/>
  <c r="CZ10" i="17"/>
  <c r="AE15" i="19"/>
  <c r="CZ11" i="17"/>
  <c r="CZ16" i="17"/>
  <c r="CZ12" i="17"/>
  <c r="CZ15" i="17"/>
  <c r="CZ13" i="17"/>
  <c r="CZ14" i="17"/>
  <c r="AG15" i="17" l="1"/>
  <c r="AG13" i="17"/>
  <c r="AG14" i="17"/>
  <c r="AG9" i="17"/>
  <c r="AG16" i="17"/>
  <c r="AG17" i="17"/>
  <c r="AG11" i="17"/>
  <c r="AG12" i="17"/>
  <c r="AG10" i="17"/>
  <c r="AA57" i="6"/>
  <c r="AA59" i="6" s="1"/>
  <c r="AB17" i="2"/>
  <c r="AF15" i="19"/>
  <c r="AH10" i="17" l="1"/>
  <c r="AH17" i="17"/>
  <c r="AH16" i="17"/>
  <c r="AH11" i="17"/>
  <c r="AH12" i="17"/>
  <c r="AH15" i="17"/>
  <c r="AH13" i="17"/>
  <c r="AH14" i="17"/>
  <c r="AH9" i="17"/>
  <c r="AB57" i="6"/>
  <c r="AB59" i="6" s="1"/>
  <c r="AC17" i="2"/>
  <c r="AG15" i="19"/>
  <c r="AI11" i="17" l="1"/>
  <c r="AI9" i="17"/>
  <c r="AI15" i="17"/>
  <c r="AI12" i="17"/>
  <c r="AI13" i="17"/>
  <c r="AI10" i="17"/>
  <c r="AI14" i="17"/>
  <c r="AI17" i="17"/>
  <c r="AI16" i="17"/>
  <c r="AC57" i="6"/>
  <c r="AC59" i="6" s="1"/>
  <c r="AD17" i="2"/>
  <c r="AH15" i="19"/>
  <c r="AJ10" i="17" l="1"/>
  <c r="AJ17" i="17"/>
  <c r="AJ16" i="17"/>
  <c r="AJ12" i="17"/>
  <c r="AJ14" i="17"/>
  <c r="AJ13" i="17"/>
  <c r="AJ11" i="17"/>
  <c r="AJ9" i="17"/>
  <c r="AJ15" i="17"/>
  <c r="AE17" i="2"/>
  <c r="AD57" i="6"/>
  <c r="AD59" i="6" s="1"/>
  <c r="AI15" i="19"/>
  <c r="AK12" i="17" l="1"/>
  <c r="AK9" i="17"/>
  <c r="AK10" i="17"/>
  <c r="AK11" i="17"/>
  <c r="AK13" i="17"/>
  <c r="AK14" i="17"/>
  <c r="AK16" i="17"/>
  <c r="AK17" i="17"/>
  <c r="AK15" i="17"/>
  <c r="AJ15" i="19"/>
  <c r="AE57" i="6"/>
  <c r="AE59" i="6" s="1"/>
  <c r="AF17" i="2"/>
  <c r="AL17" i="17" l="1"/>
  <c r="AL9" i="17"/>
  <c r="AL11" i="17"/>
  <c r="AL13" i="17"/>
  <c r="AL12" i="17"/>
  <c r="AL14" i="17"/>
  <c r="AL15" i="17"/>
  <c r="AL10" i="17"/>
  <c r="AL16" i="17"/>
  <c r="AF57" i="6"/>
  <c r="AF59" i="6" s="1"/>
  <c r="AG17" i="2"/>
  <c r="AK15" i="19"/>
  <c r="AM12" i="17" l="1"/>
  <c r="AM11" i="17"/>
  <c r="AM17" i="17"/>
  <c r="AM16" i="17"/>
  <c r="AM10" i="17"/>
  <c r="AM14" i="17"/>
  <c r="AM13" i="17"/>
  <c r="AM15" i="17"/>
  <c r="AM9" i="17"/>
  <c r="AH17" i="2"/>
  <c r="AG57" i="6"/>
  <c r="AG59" i="6" s="1"/>
  <c r="AL15" i="19"/>
  <c r="AN17" i="17" l="1"/>
  <c r="AN9" i="17"/>
  <c r="AN15" i="17"/>
  <c r="AN11" i="17"/>
  <c r="AN13" i="17"/>
  <c r="AN14" i="17"/>
  <c r="AN12" i="17"/>
  <c r="AN16" i="17"/>
  <c r="AN10" i="17"/>
  <c r="AM15" i="19"/>
  <c r="AI17" i="2"/>
  <c r="AH57" i="6"/>
  <c r="AH59" i="6" s="1"/>
  <c r="AO15" i="17" l="1"/>
  <c r="AO10" i="17"/>
  <c r="AO14" i="17"/>
  <c r="AO17" i="17"/>
  <c r="AO11" i="17"/>
  <c r="AO16" i="17"/>
  <c r="AO9" i="17"/>
  <c r="AO12" i="17"/>
  <c r="AO13" i="17"/>
  <c r="AN15" i="19"/>
  <c r="AI57" i="6"/>
  <c r="AI59" i="6" s="1"/>
  <c r="AJ17" i="2"/>
  <c r="AP13" i="17" l="1"/>
  <c r="AP17" i="17"/>
  <c r="AP11" i="17"/>
  <c r="AP12" i="17"/>
  <c r="AP15" i="17"/>
  <c r="AP14" i="17"/>
  <c r="AP10" i="17"/>
  <c r="AP16" i="17"/>
  <c r="AP9" i="17"/>
  <c r="AK17" i="2"/>
  <c r="AJ57" i="6"/>
  <c r="AJ59" i="6" s="1"/>
  <c r="AO15" i="19"/>
  <c r="AQ9" i="17" l="1"/>
  <c r="AQ15" i="17"/>
  <c r="AQ12" i="17"/>
  <c r="AQ13" i="17"/>
  <c r="AQ10" i="17"/>
  <c r="AQ17" i="17"/>
  <c r="AQ16" i="17"/>
  <c r="AQ11" i="17"/>
  <c r="AQ14" i="17"/>
  <c r="AP15" i="19"/>
  <c r="AK57" i="6"/>
  <c r="AK59" i="6" s="1"/>
  <c r="AL17" i="2"/>
  <c r="AR9" i="17" l="1"/>
  <c r="AR13" i="17"/>
  <c r="AR12" i="17"/>
  <c r="AR10" i="17"/>
  <c r="AR17" i="17"/>
  <c r="AR11" i="17"/>
  <c r="AR16" i="17"/>
  <c r="AR15" i="17"/>
  <c r="AR14" i="17"/>
  <c r="AL57" i="6"/>
  <c r="AL59" i="6" s="1"/>
  <c r="AM17" i="2"/>
  <c r="AQ15" i="19"/>
  <c r="AS12" i="17" l="1"/>
  <c r="AS14" i="17"/>
  <c r="AS10" i="17"/>
  <c r="AS13" i="17"/>
  <c r="AS16" i="17"/>
  <c r="AS15" i="17"/>
  <c r="AS11" i="17"/>
  <c r="AS17" i="17"/>
  <c r="AS9" i="17"/>
  <c r="AN17" i="2"/>
  <c r="AM57" i="6"/>
  <c r="AM59" i="6" s="1"/>
  <c r="AR15" i="19"/>
  <c r="AT13" i="17" l="1"/>
  <c r="AT12" i="17"/>
  <c r="AT11" i="17"/>
  <c r="AT16" i="17"/>
  <c r="AT15" i="17"/>
  <c r="AT10" i="17"/>
  <c r="AT14" i="17"/>
  <c r="AT17" i="17"/>
  <c r="AT9" i="17"/>
  <c r="AS15" i="19"/>
  <c r="AN57" i="6"/>
  <c r="AN59" i="6" s="1"/>
  <c r="AO17" i="2"/>
  <c r="AU14" i="17" l="1"/>
  <c r="AU16" i="17"/>
  <c r="AU17" i="17"/>
  <c r="AU11" i="17"/>
  <c r="AU13" i="17"/>
  <c r="AU10" i="17"/>
  <c r="AU12" i="17"/>
  <c r="AU9" i="17"/>
  <c r="AU15" i="17"/>
  <c r="AO57" i="6"/>
  <c r="AO59" i="6" s="1"/>
  <c r="AP17" i="2"/>
  <c r="AT15" i="19"/>
  <c r="AV10" i="17" l="1"/>
  <c r="AV15" i="17"/>
  <c r="AV14" i="17"/>
  <c r="AV16" i="17"/>
  <c r="AV9" i="17"/>
  <c r="AV17" i="17"/>
  <c r="AV11" i="17"/>
  <c r="AV13" i="17"/>
  <c r="AV12" i="17"/>
  <c r="AQ17" i="2"/>
  <c r="AP57" i="6"/>
  <c r="AP59" i="6" s="1"/>
  <c r="AU15" i="19"/>
  <c r="AW9" i="17" l="1"/>
  <c r="AW13" i="17"/>
  <c r="AW10" i="17"/>
  <c r="AW14" i="17"/>
  <c r="AW11" i="17"/>
  <c r="AW12" i="17"/>
  <c r="AW16" i="17"/>
  <c r="AW15" i="17"/>
  <c r="AW17" i="17"/>
  <c r="AV15" i="19"/>
  <c r="AQ57" i="6"/>
  <c r="AQ59" i="6" s="1"/>
  <c r="AR17" i="2"/>
  <c r="AX9" i="17" l="1"/>
  <c r="AX15" i="17"/>
  <c r="AX13" i="17"/>
  <c r="AX12" i="17"/>
  <c r="AX14" i="17"/>
  <c r="AX10" i="17"/>
  <c r="AX16" i="17"/>
  <c r="AX11" i="17"/>
  <c r="AX17" i="17"/>
  <c r="AR57" i="6"/>
  <c r="AR59" i="6" s="1"/>
  <c r="AS17" i="2"/>
  <c r="AW15" i="19"/>
  <c r="AY13" i="17" l="1"/>
  <c r="AY11" i="17"/>
  <c r="AY15" i="17"/>
  <c r="AY10" i="17"/>
  <c r="AY12" i="17"/>
  <c r="AY17" i="17"/>
  <c r="AY14" i="17"/>
  <c r="AY16" i="17"/>
  <c r="AY9" i="17"/>
  <c r="AT17" i="2"/>
  <c r="AS57" i="6"/>
  <c r="AS59" i="6" s="1"/>
  <c r="AX15" i="19"/>
  <c r="AZ13" i="17" l="1"/>
  <c r="AZ12" i="17"/>
  <c r="AZ9" i="17"/>
  <c r="AZ17" i="17"/>
  <c r="AZ14" i="17"/>
  <c r="AZ11" i="17"/>
  <c r="AZ15" i="17"/>
  <c r="AZ16" i="17"/>
  <c r="AZ10" i="17"/>
  <c r="AY15" i="19"/>
  <c r="AT57" i="6"/>
  <c r="AT59" i="6" s="1"/>
  <c r="AU17" i="2"/>
  <c r="BA11" i="17" l="1"/>
  <c r="BA14" i="17"/>
  <c r="BA13" i="17"/>
  <c r="BA9" i="17"/>
  <c r="BA15" i="17"/>
  <c r="BA17" i="17"/>
  <c r="BA10" i="17"/>
  <c r="BA16" i="17"/>
  <c r="BA12" i="17"/>
  <c r="AU57" i="6"/>
  <c r="AU59" i="6" s="1"/>
  <c r="AV17" i="2"/>
  <c r="AZ15" i="19"/>
  <c r="BB13" i="17" l="1"/>
  <c r="BB9" i="17"/>
  <c r="BB14" i="17"/>
  <c r="BB10" i="17"/>
  <c r="BB12" i="17"/>
  <c r="BB17" i="17"/>
  <c r="BB15" i="17"/>
  <c r="BB16" i="17"/>
  <c r="BB11" i="17"/>
  <c r="AW17" i="2"/>
  <c r="AV57" i="6"/>
  <c r="AV59" i="6" s="1"/>
  <c r="BA15" i="19"/>
  <c r="BC9" i="17" l="1"/>
  <c r="BC15" i="17"/>
  <c r="BC16" i="17"/>
  <c r="BC12" i="17"/>
  <c r="BC17" i="17"/>
  <c r="BC10" i="17"/>
  <c r="BC11" i="17"/>
  <c r="BC13" i="17"/>
  <c r="BC14" i="17"/>
  <c r="BB15" i="19"/>
  <c r="AW57" i="6"/>
  <c r="AW59" i="6" s="1"/>
  <c r="AX17" i="2"/>
  <c r="BD11" i="17" l="1"/>
  <c r="BD13" i="17"/>
  <c r="BD10" i="17"/>
  <c r="BD14" i="17"/>
  <c r="BD12" i="17"/>
  <c r="BD15" i="17"/>
  <c r="BD9" i="17"/>
  <c r="BD16" i="17"/>
  <c r="BD17" i="17"/>
  <c r="AX57" i="6"/>
  <c r="AX59" i="6" s="1"/>
  <c r="AY17" i="2"/>
  <c r="BC15" i="19"/>
  <c r="BE14" i="17" l="1"/>
  <c r="BE9" i="17"/>
  <c r="BE10" i="17"/>
  <c r="BE16" i="17"/>
  <c r="BE17" i="17"/>
  <c r="BE13" i="17"/>
  <c r="BE15" i="17"/>
  <c r="BE11" i="17"/>
  <c r="BE12" i="17"/>
  <c r="AZ17" i="2"/>
  <c r="AY57" i="6"/>
  <c r="AY59" i="6" s="1"/>
  <c r="BD15" i="19"/>
  <c r="BF13" i="17" l="1"/>
  <c r="BF14" i="17"/>
  <c r="BF10" i="17"/>
  <c r="BF12" i="17"/>
  <c r="BF11" i="17"/>
  <c r="BF9" i="17"/>
  <c r="BF17" i="17"/>
  <c r="BF15" i="17"/>
  <c r="BF16" i="17"/>
  <c r="BE15" i="19"/>
  <c r="AZ57" i="6"/>
  <c r="AZ59" i="6" s="1"/>
  <c r="BA17" i="2"/>
  <c r="BG9" i="17" l="1"/>
  <c r="BG11" i="17"/>
  <c r="BG16" i="17"/>
  <c r="BG10" i="17"/>
  <c r="BG14" i="17"/>
  <c r="BG15" i="17"/>
  <c r="BG17" i="17"/>
  <c r="BG12" i="17"/>
  <c r="BG13" i="17"/>
  <c r="BA57" i="6"/>
  <c r="BA59" i="6" s="1"/>
  <c r="BB17" i="2"/>
  <c r="BF15" i="19"/>
  <c r="BH10" i="17" l="1"/>
  <c r="BH15" i="17"/>
  <c r="BH12" i="17"/>
  <c r="BH11" i="17"/>
  <c r="BH9" i="17"/>
  <c r="BH17" i="17"/>
  <c r="BH14" i="17"/>
  <c r="BH16" i="17"/>
  <c r="BH13" i="17"/>
  <c r="BC17" i="2"/>
  <c r="BB57" i="6"/>
  <c r="BB59" i="6" s="1"/>
  <c r="BG15" i="19"/>
  <c r="BI10" i="17" l="1"/>
  <c r="BI11" i="17"/>
  <c r="BI15" i="17"/>
  <c r="BI13" i="17"/>
  <c r="BI12" i="17"/>
  <c r="BI9" i="17"/>
  <c r="BI17" i="17"/>
  <c r="BI14" i="17"/>
  <c r="BI16" i="17"/>
  <c r="BH15" i="19"/>
  <c r="BC57" i="6"/>
  <c r="BC59" i="6" s="1"/>
  <c r="BD17" i="2"/>
  <c r="BJ11" i="17" l="1"/>
  <c r="BJ12" i="17"/>
  <c r="BJ17" i="17"/>
  <c r="BJ15" i="17"/>
  <c r="BJ9" i="17"/>
  <c r="BJ14" i="17"/>
  <c r="BJ16" i="17"/>
  <c r="BJ13" i="17"/>
  <c r="BJ10" i="17"/>
  <c r="BD57" i="6"/>
  <c r="BD59" i="6" s="1"/>
  <c r="BE17" i="2"/>
  <c r="BI15" i="19"/>
  <c r="BK9" i="17" l="1"/>
  <c r="BK11" i="17"/>
  <c r="BK15" i="17"/>
  <c r="BK13" i="17"/>
  <c r="BK17" i="17"/>
  <c r="BK10" i="17"/>
  <c r="BK12" i="17"/>
  <c r="BK14" i="17"/>
  <c r="BK16" i="17"/>
  <c r="BF17" i="2"/>
  <c r="BE57" i="6"/>
  <c r="BE59" i="6" s="1"/>
  <c r="BJ15" i="19"/>
  <c r="BL10" i="17" l="1"/>
  <c r="BL11" i="17"/>
  <c r="BL14" i="17"/>
  <c r="BL15" i="17"/>
  <c r="BL16" i="17"/>
  <c r="BL17" i="17"/>
  <c r="BL12" i="17"/>
  <c r="BL9" i="17"/>
  <c r="BL13" i="17"/>
  <c r="BK15" i="19"/>
  <c r="BF57" i="6"/>
  <c r="BF59" i="6" s="1"/>
  <c r="BG17" i="2"/>
  <c r="BM9" i="17" l="1"/>
  <c r="BM13" i="17"/>
  <c r="BM17" i="17"/>
  <c r="BM11" i="17"/>
  <c r="BM14" i="17"/>
  <c r="BM16" i="17"/>
  <c r="BM10" i="17"/>
  <c r="BM15" i="17"/>
  <c r="BM12" i="17"/>
  <c r="BG57" i="6"/>
  <c r="BG59" i="6" s="1"/>
  <c r="BH17" i="2"/>
  <c r="BL15" i="19"/>
  <c r="BN13" i="17" l="1"/>
  <c r="BN9" i="17"/>
  <c r="BN14" i="17"/>
  <c r="BN12" i="17"/>
  <c r="BN17" i="17"/>
  <c r="BN16" i="17"/>
  <c r="BN10" i="17"/>
  <c r="BN15" i="17"/>
  <c r="BN11" i="17"/>
  <c r="BI17" i="2"/>
  <c r="BH57" i="6"/>
  <c r="BH59" i="6" s="1"/>
  <c r="BM15" i="19"/>
  <c r="BO14" i="17" l="1"/>
  <c r="BO11" i="17"/>
  <c r="BO17" i="17"/>
  <c r="BO13" i="17"/>
  <c r="BO12" i="17"/>
  <c r="BO10" i="17"/>
  <c r="BO16" i="17"/>
  <c r="BO15" i="17"/>
  <c r="BO9" i="17"/>
  <c r="BN15" i="19"/>
  <c r="BI57" i="6"/>
  <c r="BI59" i="6" s="1"/>
  <c r="BJ17" i="2"/>
  <c r="BP11" i="17" l="1"/>
  <c r="BP13" i="17"/>
  <c r="BP12" i="17"/>
  <c r="BP16" i="17"/>
  <c r="BP9" i="17"/>
  <c r="BP10" i="17"/>
  <c r="BP17" i="17"/>
  <c r="BP14" i="17"/>
  <c r="BP15" i="17"/>
  <c r="BJ57" i="6"/>
  <c r="BJ59" i="6" s="1"/>
  <c r="BK17" i="2"/>
  <c r="BO15" i="19"/>
  <c r="BQ17" i="17" l="1"/>
  <c r="BQ12" i="17"/>
  <c r="BQ9" i="17"/>
  <c r="BQ10" i="17"/>
  <c r="BQ16" i="17"/>
  <c r="BQ15" i="17"/>
  <c r="BQ13" i="17"/>
  <c r="BQ11" i="17"/>
  <c r="BQ14" i="17"/>
  <c r="BL17" i="2"/>
  <c r="BK57" i="6"/>
  <c r="BK59" i="6" s="1"/>
  <c r="BP15" i="19"/>
  <c r="BR10" i="17" l="1"/>
  <c r="BR16" i="17"/>
  <c r="BR9" i="17"/>
  <c r="BR13" i="17"/>
  <c r="BR14" i="17"/>
  <c r="BR15" i="17"/>
  <c r="BR11" i="17"/>
  <c r="BR12" i="17"/>
  <c r="BR17" i="17"/>
  <c r="BQ15" i="19"/>
  <c r="BL57" i="6"/>
  <c r="BL59" i="6" s="1"/>
  <c r="BM17" i="2"/>
  <c r="BS13" i="17" l="1"/>
  <c r="BS16" i="17"/>
  <c r="BS12" i="17"/>
  <c r="BS11" i="17"/>
  <c r="BS10" i="17"/>
  <c r="BS17" i="17"/>
  <c r="BS14" i="17"/>
  <c r="BS9" i="17"/>
  <c r="BS15" i="17"/>
  <c r="BM57" i="6"/>
  <c r="BM59" i="6" s="1"/>
  <c r="BN17" i="2"/>
  <c r="BR15" i="19"/>
  <c r="BT10" i="17" l="1"/>
  <c r="BT11" i="17"/>
  <c r="BT13" i="17"/>
  <c r="BT15" i="17"/>
  <c r="BT17" i="17"/>
  <c r="BT9" i="17"/>
  <c r="BT12" i="17"/>
  <c r="BT14" i="17"/>
  <c r="BT16" i="17"/>
  <c r="BO17" i="2"/>
  <c r="BN57" i="6"/>
  <c r="BN59" i="6" s="1"/>
  <c r="BS15" i="19"/>
  <c r="BU10" i="17" l="1"/>
  <c r="BU11" i="17"/>
  <c r="BU13" i="17"/>
  <c r="BU14" i="17"/>
  <c r="BU12" i="17"/>
  <c r="BU9" i="17"/>
  <c r="BU17" i="17"/>
  <c r="BU16" i="17"/>
  <c r="BU15" i="17"/>
  <c r="BT15" i="19"/>
  <c r="BO57" i="6"/>
  <c r="BO59" i="6" s="1"/>
  <c r="BP17" i="2"/>
  <c r="BV15" i="17" l="1"/>
  <c r="BV10" i="17"/>
  <c r="BV9" i="17"/>
  <c r="BV16" i="17"/>
  <c r="BV17" i="17"/>
  <c r="BV11" i="17"/>
  <c r="BV12" i="17"/>
  <c r="BV13" i="17"/>
  <c r="BV14" i="17"/>
  <c r="BP57" i="6"/>
  <c r="BP59" i="6" s="1"/>
  <c r="BQ17" i="2"/>
  <c r="BU15" i="19"/>
  <c r="BW12" i="17" l="1"/>
  <c r="BW11" i="17"/>
  <c r="BW13" i="17"/>
  <c r="BW10" i="17"/>
  <c r="BW17" i="17"/>
  <c r="BW15" i="17"/>
  <c r="BW14" i="17"/>
  <c r="BW9" i="17"/>
  <c r="BW16" i="17"/>
  <c r="BR17" i="2"/>
  <c r="BQ57" i="6"/>
  <c r="BQ59" i="6" s="1"/>
  <c r="BV15" i="19"/>
  <c r="BX16" i="17" l="1"/>
  <c r="BX13" i="17"/>
  <c r="BX14" i="17"/>
  <c r="BX15" i="17"/>
  <c r="BX12" i="17"/>
  <c r="BX10" i="17"/>
  <c r="BX9" i="17"/>
  <c r="BX17" i="17"/>
  <c r="BX11" i="17"/>
  <c r="BW15" i="19"/>
  <c r="BR57" i="6"/>
  <c r="BR59" i="6" s="1"/>
  <c r="BS17" i="2"/>
  <c r="BY11" i="17" l="1"/>
  <c r="BY16" i="17"/>
  <c r="BY13" i="17"/>
  <c r="BY17" i="17"/>
  <c r="BY9" i="17"/>
  <c r="BY14" i="17"/>
  <c r="BY15" i="17"/>
  <c r="BY10" i="17"/>
  <c r="BY12" i="17"/>
  <c r="BS57" i="6"/>
  <c r="BS59" i="6" s="1"/>
  <c r="BT17" i="2"/>
  <c r="BX15" i="19"/>
  <c r="BZ10" i="17" l="1"/>
  <c r="BZ12" i="17"/>
  <c r="BZ14" i="17"/>
  <c r="BZ17" i="17"/>
  <c r="BZ13" i="17"/>
  <c r="BZ16" i="17"/>
  <c r="BZ15" i="17"/>
  <c r="BZ11" i="17"/>
  <c r="BZ9" i="17"/>
  <c r="BU17" i="2"/>
  <c r="BT57" i="6"/>
  <c r="BT59" i="6" s="1"/>
  <c r="BY15" i="19"/>
  <c r="CA13" i="17" l="1"/>
  <c r="CA15" i="17"/>
  <c r="CA16" i="17"/>
  <c r="CA10" i="17"/>
  <c r="CA17" i="17"/>
  <c r="CA11" i="17"/>
  <c r="CA14" i="17"/>
  <c r="CA9" i="17"/>
  <c r="CA12" i="17"/>
  <c r="BZ15" i="19"/>
  <c r="BU57" i="6"/>
  <c r="BU59" i="6" s="1"/>
  <c r="BV17" i="2"/>
  <c r="CB11" i="17" l="1"/>
  <c r="CB10" i="17"/>
  <c r="CB13" i="17"/>
  <c r="CB14" i="17"/>
  <c r="CB17" i="17"/>
  <c r="CB9" i="17"/>
  <c r="CB15" i="17"/>
  <c r="CB16" i="17"/>
  <c r="CB12" i="17"/>
  <c r="BV57" i="6"/>
  <c r="BV59" i="6" s="1"/>
  <c r="BW17" i="2"/>
  <c r="D24" i="48"/>
  <c r="CA15" i="19"/>
  <c r="CC15" i="17" l="1"/>
  <c r="CC11" i="17"/>
  <c r="CC12" i="17"/>
  <c r="CC13" i="17"/>
  <c r="CC16" i="17"/>
  <c r="CC10" i="17"/>
  <c r="CC9" i="17"/>
  <c r="CC14" i="17"/>
  <c r="CC17" i="17"/>
  <c r="F38" i="48"/>
  <c r="F37" i="48"/>
  <c r="F35" i="48"/>
  <c r="F39" i="48"/>
  <c r="F36" i="48"/>
  <c r="G34" i="48"/>
  <c r="G36" i="48" s="1"/>
  <c r="BX17" i="2"/>
  <c r="BW57" i="6"/>
  <c r="BW59" i="6" s="1"/>
  <c r="CB15" i="19"/>
  <c r="CD12" i="17" l="1"/>
  <c r="CD15" i="17"/>
  <c r="CD11" i="17"/>
  <c r="CD13" i="17"/>
  <c r="CD14" i="17"/>
  <c r="CD17" i="17"/>
  <c r="CD9" i="17"/>
  <c r="CD16" i="17"/>
  <c r="CD10" i="17"/>
  <c r="CC15" i="19"/>
  <c r="G35" i="48"/>
  <c r="H34" i="48"/>
  <c r="G37" i="48"/>
  <c r="G38" i="48"/>
  <c r="BX57" i="6"/>
  <c r="BX59" i="6" s="1"/>
  <c r="BY17" i="2"/>
  <c r="G39" i="48"/>
  <c r="CE17" i="17" l="1"/>
  <c r="CE10" i="17"/>
  <c r="CE16" i="17"/>
  <c r="CE15" i="17"/>
  <c r="CE11" i="17"/>
  <c r="CE9" i="17"/>
  <c r="CE13" i="17"/>
  <c r="CE14" i="17"/>
  <c r="CE12" i="17"/>
  <c r="CD15" i="19"/>
  <c r="H35" i="48"/>
  <c r="H38" i="48"/>
  <c r="H37" i="48"/>
  <c r="H36" i="48"/>
  <c r="H39" i="48"/>
  <c r="BY57" i="6"/>
  <c r="BY59" i="6" s="1"/>
  <c r="BZ17" i="2"/>
  <c r="I34" i="48"/>
  <c r="J34" i="48" s="1"/>
  <c r="CF17" i="17" l="1"/>
  <c r="CF9" i="17"/>
  <c r="CF11" i="17"/>
  <c r="CF13" i="17"/>
  <c r="CF12" i="17"/>
  <c r="CF10" i="17"/>
  <c r="CF14" i="17"/>
  <c r="CF16" i="17"/>
  <c r="CF15" i="17"/>
  <c r="CA17" i="2"/>
  <c r="BZ57" i="6"/>
  <c r="BZ59" i="6" s="1"/>
  <c r="CE15" i="19"/>
  <c r="J37" i="48"/>
  <c r="J39" i="48"/>
  <c r="J35" i="48"/>
  <c r="J36" i="48"/>
  <c r="J38" i="48"/>
  <c r="K34" i="48"/>
  <c r="I38" i="48"/>
  <c r="I37" i="48"/>
  <c r="I35" i="48"/>
  <c r="I39" i="48"/>
  <c r="I36" i="48"/>
  <c r="L34" i="48"/>
  <c r="CG9" i="17" l="1"/>
  <c r="CG11" i="17"/>
  <c r="CG12" i="17"/>
  <c r="CG15" i="17"/>
  <c r="CG13" i="17"/>
  <c r="CG10" i="17"/>
  <c r="CG14" i="17"/>
  <c r="CG17" i="17"/>
  <c r="CG16" i="17"/>
  <c r="CF15" i="19"/>
  <c r="L36" i="48"/>
  <c r="L37" i="48"/>
  <c r="L35" i="48"/>
  <c r="L38" i="48"/>
  <c r="L39" i="48"/>
  <c r="CB17" i="2"/>
  <c r="CA57" i="6"/>
  <c r="CA59" i="6" s="1"/>
  <c r="D7" i="48"/>
  <c r="M34" i="48"/>
  <c r="N34" i="48" s="1"/>
  <c r="K35" i="48"/>
  <c r="K36" i="48"/>
  <c r="K39" i="48"/>
  <c r="K38" i="48"/>
  <c r="K37" i="48"/>
  <c r="CH11" i="17" l="1"/>
  <c r="CH14" i="17"/>
  <c r="CH15" i="17"/>
  <c r="CH17" i="17"/>
  <c r="CH10" i="17"/>
  <c r="CH12" i="17"/>
  <c r="CH9" i="17"/>
  <c r="CH13" i="17"/>
  <c r="CH16" i="17"/>
  <c r="F18" i="48"/>
  <c r="G17" i="48"/>
  <c r="G18" i="48" s="1"/>
  <c r="N35" i="48"/>
  <c r="N38" i="48"/>
  <c r="N36" i="48"/>
  <c r="N39" i="48"/>
  <c r="N37" i="48"/>
  <c r="O34" i="48"/>
  <c r="CB57" i="6"/>
  <c r="CB59" i="6" s="1"/>
  <c r="CC17" i="2"/>
  <c r="M38" i="48"/>
  <c r="M37" i="48"/>
  <c r="M35" i="48"/>
  <c r="M36" i="48"/>
  <c r="M39" i="48"/>
  <c r="CG15" i="19"/>
  <c r="CI14" i="17" l="1"/>
  <c r="CI15" i="17"/>
  <c r="CI16" i="17"/>
  <c r="CI13" i="17"/>
  <c r="CI17" i="17"/>
  <c r="CI12" i="17"/>
  <c r="CI9" i="17"/>
  <c r="CI10" i="17"/>
  <c r="CI11" i="17"/>
  <c r="O36" i="48"/>
  <c r="O39" i="48"/>
  <c r="O37" i="48"/>
  <c r="O35" i="48"/>
  <c r="O38" i="48"/>
  <c r="P34" i="48"/>
  <c r="H17" i="48"/>
  <c r="H18" i="48" s="1"/>
  <c r="CD17" i="2"/>
  <c r="CC57" i="6"/>
  <c r="CC59" i="6" s="1"/>
  <c r="CH15" i="19"/>
  <c r="CJ14" i="17" l="1"/>
  <c r="CJ11" i="17"/>
  <c r="CJ13" i="17"/>
  <c r="CJ12" i="17"/>
  <c r="CJ10" i="17"/>
  <c r="CJ17" i="17"/>
  <c r="CJ15" i="17"/>
  <c r="CJ9" i="17"/>
  <c r="CJ16" i="17"/>
  <c r="I17" i="48"/>
  <c r="I18" i="48" s="1"/>
  <c r="P36" i="48"/>
  <c r="P38" i="48"/>
  <c r="P35" i="48"/>
  <c r="P37" i="48"/>
  <c r="P39" i="48"/>
  <c r="Q34" i="48"/>
  <c r="CI15" i="19"/>
  <c r="CD57" i="6"/>
  <c r="CD59" i="6" s="1"/>
  <c r="CE17" i="2"/>
  <c r="J17" i="48" l="1"/>
  <c r="CK16" i="17"/>
  <c r="CK11" i="17"/>
  <c r="CK12" i="17"/>
  <c r="CK15" i="17"/>
  <c r="CK9" i="17"/>
  <c r="CK13" i="17"/>
  <c r="CK10" i="17"/>
  <c r="CK14" i="17"/>
  <c r="CK17" i="17"/>
  <c r="CJ15" i="19"/>
  <c r="Q37" i="48"/>
  <c r="Q36" i="48"/>
  <c r="Q39" i="48"/>
  <c r="Q35" i="48"/>
  <c r="Q38" i="48"/>
  <c r="R34" i="48"/>
  <c r="CE57" i="6"/>
  <c r="CE59" i="6" s="1"/>
  <c r="CF17" i="2"/>
  <c r="CL9" i="17" l="1"/>
  <c r="CL12" i="17"/>
  <c r="CL17" i="17"/>
  <c r="CL16" i="17"/>
  <c r="CL14" i="17"/>
  <c r="CL15" i="17"/>
  <c r="CL13" i="17"/>
  <c r="CL10" i="17"/>
  <c r="CL11" i="17"/>
  <c r="K17" i="48"/>
  <c r="L17" i="48" s="1"/>
  <c r="L18" i="48" s="1"/>
  <c r="J18" i="48"/>
  <c r="CF57" i="6"/>
  <c r="CF59" i="6" s="1"/>
  <c r="CG17" i="2"/>
  <c r="CK15" i="19"/>
  <c r="R39" i="48"/>
  <c r="R36" i="48"/>
  <c r="R35" i="48"/>
  <c r="R38" i="48"/>
  <c r="R37" i="48"/>
  <c r="S34" i="48"/>
  <c r="M17" i="48" l="1"/>
  <c r="K18" i="48"/>
  <c r="CM17" i="17"/>
  <c r="CM10" i="17"/>
  <c r="CM11" i="17"/>
  <c r="CM9" i="17"/>
  <c r="CM13" i="17"/>
  <c r="CM14" i="17"/>
  <c r="CM16" i="17"/>
  <c r="CM12" i="17"/>
  <c r="CM15" i="17"/>
  <c r="M18" i="48"/>
  <c r="N17" i="48"/>
  <c r="S38" i="48"/>
  <c r="S37" i="48"/>
  <c r="S36" i="48"/>
  <c r="S35" i="48"/>
  <c r="S39" i="48"/>
  <c r="T34" i="48"/>
  <c r="CL15" i="19"/>
  <c r="CG57" i="6"/>
  <c r="CG59" i="6" s="1"/>
  <c r="CH17" i="2"/>
  <c r="O17" i="48"/>
  <c r="O18" i="48" s="1"/>
  <c r="CN11" i="17" l="1"/>
  <c r="CN10" i="17"/>
  <c r="CN13" i="17"/>
  <c r="CN14" i="17"/>
  <c r="CN12" i="17"/>
  <c r="CN17" i="17"/>
  <c r="CN9" i="17"/>
  <c r="CN15" i="17"/>
  <c r="CN16" i="17"/>
  <c r="N18" i="48"/>
  <c r="CH57" i="6"/>
  <c r="CH59" i="6" s="1"/>
  <c r="CI17" i="2"/>
  <c r="CM15" i="19"/>
  <c r="P17" i="48"/>
  <c r="P18" i="48" s="1"/>
  <c r="T37" i="48"/>
  <c r="T36" i="48"/>
  <c r="T38" i="48"/>
  <c r="T35" i="48"/>
  <c r="T39" i="48"/>
  <c r="U34" i="48"/>
  <c r="CO12" i="17" l="1"/>
  <c r="CO17" i="17"/>
  <c r="CO11" i="17"/>
  <c r="CO10" i="17"/>
  <c r="CO14" i="17"/>
  <c r="CO15" i="17"/>
  <c r="CO13" i="17"/>
  <c r="CO16" i="17"/>
  <c r="CO9" i="17"/>
  <c r="U38" i="48"/>
  <c r="U37" i="48"/>
  <c r="U39" i="48"/>
  <c r="U36" i="48"/>
  <c r="U35" i="48"/>
  <c r="V34" i="48"/>
  <c r="CI57" i="6"/>
  <c r="CI59" i="6" s="1"/>
  <c r="CJ17" i="2"/>
  <c r="CN15" i="19"/>
  <c r="Q17" i="48"/>
  <c r="CP12" i="17" l="1"/>
  <c r="CP11" i="17"/>
  <c r="CP15" i="17"/>
  <c r="CP13" i="17"/>
  <c r="CP14" i="17"/>
  <c r="CP16" i="17"/>
  <c r="CP10" i="17"/>
  <c r="CP9" i="17"/>
  <c r="CP17" i="17"/>
  <c r="Q18" i="48"/>
  <c r="R17" i="48"/>
  <c r="CJ57" i="6"/>
  <c r="CJ59" i="6" s="1"/>
  <c r="CK17" i="2"/>
  <c r="CO15" i="19"/>
  <c r="V35" i="48"/>
  <c r="V38" i="48"/>
  <c r="V39" i="48"/>
  <c r="V36" i="48"/>
  <c r="V37" i="48"/>
  <c r="W34" i="48"/>
  <c r="CQ15" i="17" l="1"/>
  <c r="CQ10" i="17"/>
  <c r="CQ9" i="17"/>
  <c r="CQ17" i="17"/>
  <c r="CQ16" i="17"/>
  <c r="CQ11" i="17"/>
  <c r="CQ12" i="17"/>
  <c r="CQ14" i="17"/>
  <c r="CQ13" i="17"/>
  <c r="CP15" i="19"/>
  <c r="CL17" i="2"/>
  <c r="CK57" i="6"/>
  <c r="CK59" i="6" s="1"/>
  <c r="R18" i="48"/>
  <c r="S17" i="48"/>
  <c r="W37" i="48"/>
  <c r="W38" i="48"/>
  <c r="W35" i="48"/>
  <c r="W39" i="48"/>
  <c r="W36" i="48"/>
  <c r="X34" i="48"/>
  <c r="CR11" i="17" l="1"/>
  <c r="CR16" i="17"/>
  <c r="CR13" i="17"/>
  <c r="CR10" i="17"/>
  <c r="CR14" i="17"/>
  <c r="CR15" i="17"/>
  <c r="CR17" i="17"/>
  <c r="CR12" i="17"/>
  <c r="CR9" i="17"/>
  <c r="CQ15" i="19"/>
  <c r="CM17" i="2"/>
  <c r="CL57" i="6"/>
  <c r="CL59" i="6" s="1"/>
  <c r="S18" i="48"/>
  <c r="T17" i="48"/>
  <c r="X37" i="48"/>
  <c r="X35" i="48"/>
  <c r="X39" i="48"/>
  <c r="X38" i="48"/>
  <c r="X36" i="48"/>
  <c r="Y34" i="48"/>
  <c r="CS11" i="17" l="1"/>
  <c r="CS13" i="17"/>
  <c r="CS14" i="17"/>
  <c r="CS12" i="17"/>
  <c r="CS10" i="17"/>
  <c r="CS17" i="17"/>
  <c r="CS9" i="17"/>
  <c r="CS16" i="17"/>
  <c r="CS15" i="17"/>
  <c r="CR15" i="19"/>
  <c r="T18" i="48"/>
  <c r="U17" i="48"/>
  <c r="CM57" i="6"/>
  <c r="CM59" i="6" s="1"/>
  <c r="CN17" i="2"/>
  <c r="Y38" i="48"/>
  <c r="Y39" i="48"/>
  <c r="Y37" i="48"/>
  <c r="Y35" i="48"/>
  <c r="Y36" i="48"/>
  <c r="Z34" i="48"/>
  <c r="CT16" i="17" l="1"/>
  <c r="CT9" i="17"/>
  <c r="CT15" i="17"/>
  <c r="CT14" i="17"/>
  <c r="CT11" i="17"/>
  <c r="CT17" i="17"/>
  <c r="CT13" i="17"/>
  <c r="CT10" i="17"/>
  <c r="CT12" i="17"/>
  <c r="U18" i="48"/>
  <c r="V17" i="48"/>
  <c r="CN57" i="6"/>
  <c r="CN59" i="6" s="1"/>
  <c r="CO17" i="2"/>
  <c r="Z38" i="48"/>
  <c r="Z39" i="48"/>
  <c r="Z37" i="48"/>
  <c r="Z36" i="48"/>
  <c r="Z35" i="48"/>
  <c r="AA34" i="48"/>
  <c r="CS15" i="19"/>
  <c r="CU9" i="17" l="1"/>
  <c r="CU14" i="17"/>
  <c r="CU12" i="17"/>
  <c r="CU17" i="17"/>
  <c r="CU10" i="17"/>
  <c r="CU11" i="17"/>
  <c r="CU16" i="17"/>
  <c r="CU15" i="17"/>
  <c r="CU13" i="17"/>
  <c r="CP17" i="2"/>
  <c r="CO57" i="6"/>
  <c r="CO59" i="6" s="1"/>
  <c r="CT15" i="19"/>
  <c r="V18" i="48"/>
  <c r="W17" i="48"/>
  <c r="AA39" i="48"/>
  <c r="AA36" i="48"/>
  <c r="AA37" i="48"/>
  <c r="AA38" i="48"/>
  <c r="AA35" i="48"/>
  <c r="AB34" i="48"/>
  <c r="CV9" i="17" l="1"/>
  <c r="CV10" i="17"/>
  <c r="CV12" i="17"/>
  <c r="CV16" i="17"/>
  <c r="CV13" i="17"/>
  <c r="CV15" i="17"/>
  <c r="CV17" i="17"/>
  <c r="CV11" i="17"/>
  <c r="CV14" i="17"/>
  <c r="W18" i="48"/>
  <c r="X17" i="48"/>
  <c r="CU15" i="19"/>
  <c r="AB37" i="48"/>
  <c r="AB38" i="48"/>
  <c r="AB35" i="48"/>
  <c r="AB39" i="48"/>
  <c r="AB36" i="48"/>
  <c r="AC34" i="48"/>
  <c r="CP57" i="6"/>
  <c r="CP59" i="6" s="1"/>
  <c r="CQ17" i="2"/>
  <c r="CW11" i="17" l="1"/>
  <c r="CW13" i="17"/>
  <c r="CW12" i="17"/>
  <c r="CW16" i="17"/>
  <c r="CW14" i="17"/>
  <c r="CW17" i="17"/>
  <c r="CW15" i="17"/>
  <c r="CW9" i="17"/>
  <c r="CW10" i="17"/>
  <c r="CQ57" i="6"/>
  <c r="CQ59" i="6" s="1"/>
  <c r="X18" i="48"/>
  <c r="Y17" i="48"/>
  <c r="AC39" i="48"/>
  <c r="AC37" i="48"/>
  <c r="AC38" i="48"/>
  <c r="AC35" i="48"/>
  <c r="AC36" i="48"/>
  <c r="AD34" i="48"/>
  <c r="CV15" i="19"/>
  <c r="CX16" i="17" l="1"/>
  <c r="DA16" i="17" s="1"/>
  <c r="CX17" i="17"/>
  <c r="DA17" i="17" s="1"/>
  <c r="CX10" i="17"/>
  <c r="DA10" i="17" s="1"/>
  <c r="CX14" i="17"/>
  <c r="DA14" i="17" s="1"/>
  <c r="CX13" i="17"/>
  <c r="DA13" i="17" s="1"/>
  <c r="CX12" i="17"/>
  <c r="DA12" i="17" s="1"/>
  <c r="CX15" i="17"/>
  <c r="DA15" i="17" s="1"/>
  <c r="CX9" i="17"/>
  <c r="DA9" i="17" s="1"/>
  <c r="CX11" i="17"/>
  <c r="DA11" i="17" s="1"/>
  <c r="AD39" i="48"/>
  <c r="AD35" i="48"/>
  <c r="AD36" i="48"/>
  <c r="AD37" i="48"/>
  <c r="AD38" i="48"/>
  <c r="AE34" i="48"/>
  <c r="Y18" i="48"/>
  <c r="Z17" i="48"/>
  <c r="CW15" i="19"/>
  <c r="CY15" i="19" s="1"/>
  <c r="A1" i="6"/>
  <c r="E7" i="4" s="1"/>
  <c r="AE35" i="48" l="1"/>
  <c r="AE39" i="48"/>
  <c r="AE38" i="48"/>
  <c r="AE37" i="48"/>
  <c r="AE36" i="48"/>
  <c r="AF34" i="48"/>
  <c r="F15" i="18"/>
  <c r="F21" i="45"/>
  <c r="F10" i="45"/>
  <c r="F41" i="18"/>
  <c r="F22" i="45"/>
  <c r="F11" i="45"/>
  <c r="F16" i="18"/>
  <c r="F43" i="18"/>
  <c r="F24" i="45"/>
  <c r="F20" i="45"/>
  <c r="F9" i="45"/>
  <c r="F12" i="18"/>
  <c r="F37" i="18"/>
  <c r="F18" i="45"/>
  <c r="F7" i="45"/>
  <c r="F14" i="18"/>
  <c r="A1" i="17"/>
  <c r="E15" i="4" s="1"/>
  <c r="F19" i="45"/>
  <c r="F13" i="18"/>
  <c r="F39" i="18"/>
  <c r="F8" i="45"/>
  <c r="F40" i="18"/>
  <c r="F38" i="18"/>
  <c r="F25" i="45"/>
  <c r="F44" i="18"/>
  <c r="H60" i="18"/>
  <c r="O60" i="18"/>
  <c r="H29" i="18"/>
  <c r="O29" i="18"/>
  <c r="V60" i="18"/>
  <c r="V29" i="18"/>
  <c r="A1" i="19"/>
  <c r="E16" i="4" s="1"/>
  <c r="F23" i="45"/>
  <c r="F42" i="18"/>
  <c r="Z18" i="48"/>
  <c r="AA17" i="48"/>
  <c r="F46" i="18" l="1"/>
  <c r="H46" i="18" s="1"/>
  <c r="F13" i="45"/>
  <c r="A1" i="45" s="1"/>
  <c r="AF39" i="48"/>
  <c r="AF38" i="48"/>
  <c r="AF36" i="48"/>
  <c r="AF35" i="48"/>
  <c r="AF37" i="48"/>
  <c r="AG34" i="48"/>
  <c r="F18" i="18"/>
  <c r="H18" i="18" s="1"/>
  <c r="AA18" i="48"/>
  <c r="AB17" i="48"/>
  <c r="A1" i="18" l="1"/>
  <c r="E17" i="4" s="1"/>
  <c r="E19" i="4" s="1"/>
  <c r="D1" i="48" s="1"/>
  <c r="AG35" i="48"/>
  <c r="AG39" i="48"/>
  <c r="AG36" i="48"/>
  <c r="AG37" i="48"/>
  <c r="AG38" i="48"/>
  <c r="AH34" i="48"/>
  <c r="AB18" i="48"/>
  <c r="AC17" i="48"/>
  <c r="D1" i="6" l="1"/>
  <c r="D1" i="45"/>
  <c r="D1" i="15"/>
  <c r="D1" i="13"/>
  <c r="D1" i="10"/>
  <c r="D1" i="8"/>
  <c r="D1" i="17"/>
  <c r="D1" i="19"/>
  <c r="D1" i="14"/>
  <c r="D1" i="18"/>
  <c r="D1" i="2"/>
  <c r="D1" i="7"/>
  <c r="D1" i="16"/>
  <c r="AH39" i="48"/>
  <c r="AH35" i="48"/>
  <c r="AH37" i="48"/>
  <c r="AH36" i="48"/>
  <c r="AH38" i="48"/>
  <c r="AI34" i="48"/>
  <c r="AC18" i="48"/>
  <c r="AD17" i="48"/>
  <c r="AI38" i="48" l="1"/>
  <c r="AI36" i="48"/>
  <c r="AI35" i="48"/>
  <c r="AI39" i="48"/>
  <c r="AI37" i="48"/>
  <c r="AJ34" i="48"/>
  <c r="AD18" i="48"/>
  <c r="AE17" i="48"/>
  <c r="AJ36" i="48" l="1"/>
  <c r="AJ35" i="48"/>
  <c r="AJ39" i="48"/>
  <c r="AJ38" i="48"/>
  <c r="AJ37" i="48"/>
  <c r="AK34" i="48"/>
  <c r="AE18" i="48"/>
  <c r="AF17" i="48"/>
  <c r="AK37" i="48" l="1"/>
  <c r="AK39" i="48"/>
  <c r="AK35" i="48"/>
  <c r="AK36" i="48"/>
  <c r="AK38" i="48"/>
  <c r="AL34" i="48"/>
  <c r="AF18" i="48"/>
  <c r="AG17" i="48"/>
  <c r="AL35" i="48" l="1"/>
  <c r="AL39" i="48"/>
  <c r="AL36" i="48"/>
  <c r="AL37" i="48"/>
  <c r="AL38" i="48"/>
  <c r="AM34" i="48"/>
  <c r="AG18" i="48"/>
  <c r="AH17" i="48"/>
  <c r="AM35" i="48" l="1"/>
  <c r="AM36" i="48"/>
  <c r="AM38" i="48"/>
  <c r="AM37" i="48"/>
  <c r="AM39" i="48"/>
  <c r="AN34" i="48"/>
  <c r="AH18" i="48"/>
  <c r="AI17" i="48"/>
  <c r="AN35" i="48" l="1"/>
  <c r="AN38" i="48"/>
  <c r="AN36" i="48"/>
  <c r="AN37" i="48"/>
  <c r="AN39" i="48"/>
  <c r="AO34" i="48"/>
  <c r="AI18" i="48"/>
  <c r="AJ17" i="48"/>
  <c r="AO36" i="48" l="1"/>
  <c r="AO38" i="48"/>
  <c r="AO37" i="48"/>
  <c r="AO39" i="48"/>
  <c r="AO35" i="48"/>
  <c r="AP34" i="48"/>
  <c r="AJ18" i="48"/>
  <c r="AK17" i="48"/>
  <c r="AP35" i="48" l="1"/>
  <c r="AP38" i="48"/>
  <c r="AP37" i="48"/>
  <c r="AP39" i="48"/>
  <c r="AP36" i="48"/>
  <c r="AQ34" i="48"/>
  <c r="AK18" i="48"/>
  <c r="AL17" i="48"/>
  <c r="AQ35" i="48" l="1"/>
  <c r="AQ36" i="48"/>
  <c r="AQ37" i="48"/>
  <c r="AQ38" i="48"/>
  <c r="AQ39" i="48"/>
  <c r="AR34" i="48"/>
  <c r="AL18" i="48"/>
  <c r="AM17" i="48"/>
  <c r="AR39" i="48" l="1"/>
  <c r="AR35" i="48"/>
  <c r="AR37" i="48"/>
  <c r="AR36" i="48"/>
  <c r="AR38" i="48"/>
  <c r="AS34" i="48"/>
  <c r="AM18" i="48"/>
  <c r="AN17" i="48"/>
  <c r="AS36" i="48" l="1"/>
  <c r="AS39" i="48"/>
  <c r="AS38" i="48"/>
  <c r="AS37" i="48"/>
  <c r="AS35" i="48"/>
  <c r="AT34" i="48"/>
  <c r="AN18" i="48"/>
  <c r="AO17" i="48"/>
  <c r="AT38" i="48" l="1"/>
  <c r="AT37" i="48"/>
  <c r="AT36" i="48"/>
  <c r="AT35" i="48"/>
  <c r="AT39" i="48"/>
  <c r="AU34" i="48"/>
  <c r="AO18" i="48"/>
  <c r="AP17" i="48"/>
  <c r="AU36" i="48" l="1"/>
  <c r="AU37" i="48"/>
  <c r="AU38" i="48"/>
  <c r="AU35" i="48"/>
  <c r="AU39" i="48"/>
  <c r="AV34" i="48"/>
  <c r="AP18" i="48"/>
  <c r="AQ17" i="48"/>
  <c r="AV36" i="48" l="1"/>
  <c r="AV39" i="48"/>
  <c r="AV37" i="48"/>
  <c r="AV35" i="48"/>
  <c r="AV38" i="48"/>
  <c r="AW34" i="48"/>
  <c r="AQ18" i="48"/>
  <c r="AR17" i="48"/>
  <c r="AW35" i="48" l="1"/>
  <c r="AW38" i="48"/>
  <c r="AW39" i="48"/>
  <c r="AW37" i="48"/>
  <c r="AW36" i="48"/>
  <c r="AX34" i="48"/>
  <c r="AR18" i="48"/>
  <c r="AS17" i="48"/>
  <c r="AX35" i="48" l="1"/>
  <c r="AX36" i="48"/>
  <c r="AX39" i="48"/>
  <c r="AX37" i="48"/>
  <c r="AX38" i="48"/>
  <c r="AY34" i="48"/>
  <c r="AS18" i="48"/>
  <c r="AT17" i="48"/>
  <c r="AY36" i="48" l="1"/>
  <c r="AY35" i="48"/>
  <c r="AY37" i="48"/>
  <c r="AY38" i="48"/>
  <c r="AY39" i="48"/>
  <c r="AZ34" i="48"/>
  <c r="AT18" i="48"/>
  <c r="AU17" i="48"/>
  <c r="AZ36" i="48" l="1"/>
  <c r="AZ38" i="48"/>
  <c r="AZ39" i="48"/>
  <c r="AZ35" i="48"/>
  <c r="AZ37" i="48"/>
  <c r="BA34" i="48"/>
  <c r="AU18" i="48"/>
  <c r="AV17" i="48"/>
  <c r="BA35" i="48" l="1"/>
  <c r="BA38" i="48"/>
  <c r="BA37" i="48"/>
  <c r="BA36" i="48"/>
  <c r="BA39" i="48"/>
  <c r="BB34" i="48"/>
  <c r="AV18" i="48"/>
  <c r="AW17" i="48"/>
  <c r="BB39" i="48" l="1"/>
  <c r="BB38" i="48"/>
  <c r="BB37" i="48"/>
  <c r="BB35" i="48"/>
  <c r="BB36" i="48"/>
  <c r="BC34" i="48"/>
  <c r="AW18" i="48"/>
  <c r="AX17" i="48"/>
  <c r="BC36" i="48" l="1"/>
  <c r="BC38" i="48"/>
  <c r="BC39" i="48"/>
  <c r="BC37" i="48"/>
  <c r="BC35" i="48"/>
  <c r="BD34" i="48"/>
  <c r="AX18" i="48"/>
  <c r="AY17" i="48"/>
  <c r="BD35" i="48" l="1"/>
  <c r="BD38" i="48"/>
  <c r="BD37" i="48"/>
  <c r="BD36" i="48"/>
  <c r="BD39" i="48"/>
  <c r="BE34" i="48"/>
  <c r="AY18" i="48"/>
  <c r="AZ17" i="48"/>
  <c r="BE36" i="48" l="1"/>
  <c r="BE39" i="48"/>
  <c r="BE38" i="48"/>
  <c r="BE35" i="48"/>
  <c r="BE37" i="48"/>
  <c r="BF34" i="48"/>
  <c r="AZ18" i="48"/>
  <c r="BA17" i="48"/>
  <c r="BF36" i="48" l="1"/>
  <c r="BF35" i="48"/>
  <c r="BF38" i="48"/>
  <c r="BF37" i="48"/>
  <c r="BF39" i="48"/>
  <c r="BG34" i="48"/>
  <c r="BA18" i="48"/>
  <c r="BB17" i="48"/>
  <c r="BG37" i="48" l="1"/>
  <c r="BG35" i="48"/>
  <c r="BG39" i="48"/>
  <c r="BG36" i="48"/>
  <c r="BG38" i="48"/>
  <c r="BH34" i="48"/>
  <c r="BB18" i="48"/>
  <c r="BC17" i="48"/>
  <c r="BH36" i="48" l="1"/>
  <c r="BH35" i="48"/>
  <c r="BH37" i="48"/>
  <c r="BH38" i="48"/>
  <c r="BH39" i="48"/>
  <c r="BI34" i="48"/>
  <c r="BC18" i="48"/>
  <c r="BD17" i="48"/>
  <c r="BI36" i="48" l="1"/>
  <c r="BI38" i="48"/>
  <c r="BI35" i="48"/>
  <c r="BI37" i="48"/>
  <c r="BI39" i="48"/>
  <c r="BJ34" i="48"/>
  <c r="BD18" i="48"/>
  <c r="BE17" i="48"/>
  <c r="BJ35" i="48" l="1"/>
  <c r="BJ39" i="48"/>
  <c r="BJ37" i="48"/>
  <c r="BJ38" i="48"/>
  <c r="BJ36" i="48"/>
  <c r="BK34" i="48"/>
  <c r="BE18" i="48"/>
  <c r="BF17" i="48"/>
  <c r="BK36" i="48" l="1"/>
  <c r="BK37" i="48"/>
  <c r="BK35" i="48"/>
  <c r="BK38" i="48"/>
  <c r="BK39" i="48"/>
  <c r="BL34" i="48"/>
  <c r="BF18" i="48"/>
  <c r="BG17" i="48"/>
  <c r="BL38" i="48" l="1"/>
  <c r="BL36" i="48"/>
  <c r="BL37" i="48"/>
  <c r="BL39" i="48"/>
  <c r="BL35" i="48"/>
  <c r="BM34" i="48"/>
  <c r="BG18" i="48"/>
  <c r="BH17" i="48"/>
  <c r="BM35" i="48" l="1"/>
  <c r="BM36" i="48"/>
  <c r="BM39" i="48"/>
  <c r="BM38" i="48"/>
  <c r="BM37" i="48"/>
  <c r="BN34" i="48"/>
  <c r="BH18" i="48"/>
  <c r="BI17" i="48"/>
  <c r="BN36" i="48" l="1"/>
  <c r="BN38" i="48"/>
  <c r="BN37" i="48"/>
  <c r="BN35" i="48"/>
  <c r="BN39" i="48"/>
  <c r="BO34" i="48"/>
  <c r="BI18" i="48"/>
  <c r="BJ17" i="48"/>
  <c r="BO35" i="48" l="1"/>
  <c r="BO38" i="48"/>
  <c r="BO36" i="48"/>
  <c r="BO37" i="48"/>
  <c r="BO39" i="48"/>
  <c r="BP34" i="48"/>
  <c r="BJ18" i="48"/>
  <c r="BK17" i="48"/>
  <c r="BP38" i="48" l="1"/>
  <c r="BP36" i="48"/>
  <c r="BP35" i="48"/>
  <c r="BP37" i="48"/>
  <c r="BP39" i="48"/>
  <c r="BQ34" i="48"/>
  <c r="BK18" i="48"/>
  <c r="BL17" i="48"/>
  <c r="BQ39" i="48" l="1"/>
  <c r="BQ36" i="48"/>
  <c r="BQ35" i="48"/>
  <c r="BQ38" i="48"/>
  <c r="BQ37" i="48"/>
  <c r="BR34" i="48"/>
  <c r="BL18" i="48"/>
  <c r="BM17" i="48"/>
  <c r="BR37" i="48" l="1"/>
  <c r="BR35" i="48"/>
  <c r="BR39" i="48"/>
  <c r="BR36" i="48"/>
  <c r="BR38" i="48"/>
  <c r="BS34" i="48"/>
  <c r="BM18" i="48"/>
  <c r="BN17" i="48"/>
  <c r="BS37" i="48" l="1"/>
  <c r="BS39" i="48"/>
  <c r="BS35" i="48"/>
  <c r="BS38" i="48"/>
  <c r="BS36" i="48"/>
  <c r="BT34" i="48"/>
  <c r="BN18" i="48"/>
  <c r="BO17" i="48"/>
  <c r="BT37" i="48" l="1"/>
  <c r="BT35" i="48"/>
  <c r="BT38" i="48"/>
  <c r="BT39" i="48"/>
  <c r="BT36" i="48"/>
  <c r="BU34" i="48"/>
  <c r="BO18" i="48"/>
  <c r="BP17" i="48"/>
  <c r="BU35" i="48" l="1"/>
  <c r="BU36" i="48"/>
  <c r="BU37" i="48"/>
  <c r="BU38" i="48"/>
  <c r="BU39" i="48"/>
  <c r="BV34" i="48"/>
  <c r="BP18" i="48"/>
  <c r="BQ17" i="48"/>
  <c r="BV36" i="48" l="1"/>
  <c r="BV35" i="48"/>
  <c r="BV39" i="48"/>
  <c r="BV37" i="48"/>
  <c r="BV38" i="48"/>
  <c r="BW34" i="48"/>
  <c r="BQ18" i="48"/>
  <c r="BR17" i="48"/>
  <c r="BW37" i="48" l="1"/>
  <c r="BW39" i="48"/>
  <c r="BW35" i="48"/>
  <c r="BW38" i="48"/>
  <c r="BW36" i="48"/>
  <c r="BX34" i="48"/>
  <c r="BR18" i="48"/>
  <c r="BS17" i="48"/>
  <c r="BS18" i="48" l="1"/>
  <c r="BT17" i="48"/>
  <c r="BX39" i="48"/>
  <c r="BX35" i="48"/>
  <c r="BX36" i="48"/>
  <c r="BX38" i="48"/>
  <c r="BX37" i="48"/>
  <c r="BY34" i="48"/>
  <c r="BT18" i="48" l="1"/>
  <c r="BU17" i="48"/>
  <c r="BY35" i="48"/>
  <c r="BY36" i="48"/>
  <c r="BY39" i="48"/>
  <c r="BY38" i="48"/>
  <c r="BY37" i="48"/>
  <c r="BZ34" i="48"/>
  <c r="BU18" i="48" l="1"/>
  <c r="BV17" i="48"/>
  <c r="BZ37" i="48"/>
  <c r="BZ36" i="48"/>
  <c r="BZ35" i="48"/>
  <c r="BZ39" i="48"/>
  <c r="BZ38" i="48"/>
  <c r="CA34" i="48"/>
  <c r="CA38" i="48" l="1"/>
  <c r="CA36" i="48"/>
  <c r="CA39" i="48"/>
  <c r="CA37" i="48"/>
  <c r="CA35" i="48"/>
  <c r="CB34" i="48"/>
  <c r="BV18" i="48"/>
  <c r="BW17" i="48"/>
  <c r="CB36" i="48" l="1"/>
  <c r="CB39" i="48"/>
  <c r="CB37" i="48"/>
  <c r="CB35" i="48"/>
  <c r="CB38" i="48"/>
  <c r="CC34" i="48"/>
  <c r="BW18" i="48"/>
  <c r="BX17" i="48"/>
  <c r="CC35" i="48" l="1"/>
  <c r="CC39" i="48"/>
  <c r="CC38" i="48"/>
  <c r="CC36" i="48"/>
  <c r="CC37" i="48"/>
  <c r="CD34" i="48"/>
  <c r="BX18" i="48"/>
  <c r="BY17" i="48"/>
  <c r="BY18" i="48" l="1"/>
  <c r="BZ17" i="48"/>
  <c r="CD37" i="48"/>
  <c r="CD38" i="48"/>
  <c r="CD35" i="48"/>
  <c r="CD39" i="48"/>
  <c r="CD36" i="48"/>
  <c r="CE34" i="48"/>
  <c r="BZ18" i="48" l="1"/>
  <c r="CA17" i="48"/>
  <c r="CE39" i="48"/>
  <c r="CE36" i="48"/>
  <c r="CE38" i="48"/>
  <c r="CE37" i="48"/>
  <c r="CE35" i="48"/>
  <c r="CF34" i="48"/>
  <c r="CA18" i="48" l="1"/>
  <c r="CB17" i="48"/>
  <c r="CF39" i="48"/>
  <c r="CF38" i="48"/>
  <c r="CF37" i="48"/>
  <c r="CF36" i="48"/>
  <c r="CF35" i="48"/>
  <c r="CG34" i="48"/>
  <c r="CG36" i="48" l="1"/>
  <c r="CG39" i="48"/>
  <c r="CG38" i="48"/>
  <c r="CG35" i="48"/>
  <c r="CG37" i="48"/>
  <c r="CH34" i="48"/>
  <c r="CB18" i="48"/>
  <c r="CC17" i="48"/>
  <c r="CH38" i="48" l="1"/>
  <c r="CH37" i="48"/>
  <c r="CH35" i="48"/>
  <c r="CH36" i="48"/>
  <c r="CH39" i="48"/>
  <c r="CI34" i="48"/>
  <c r="CC18" i="48"/>
  <c r="CD17" i="48"/>
  <c r="CI38" i="48" l="1"/>
  <c r="CI35" i="48"/>
  <c r="CI39" i="48"/>
  <c r="CI36" i="48"/>
  <c r="CI37" i="48"/>
  <c r="CJ34" i="48"/>
  <c r="CD18" i="48"/>
  <c r="CE17" i="48"/>
  <c r="CJ35" i="48" l="1"/>
  <c r="CJ36" i="48"/>
  <c r="CJ39" i="48"/>
  <c r="CJ37" i="48"/>
  <c r="CJ38" i="48"/>
  <c r="CK34" i="48"/>
  <c r="CE18" i="48"/>
  <c r="CF17" i="48"/>
  <c r="CK39" i="48" l="1"/>
  <c r="CK35" i="48"/>
  <c r="CK36" i="48"/>
  <c r="CK37" i="48"/>
  <c r="CK38" i="48"/>
  <c r="CL34" i="48"/>
  <c r="CF18" i="48"/>
  <c r="CG17" i="48"/>
  <c r="CL35" i="48" l="1"/>
  <c r="CL36" i="48"/>
  <c r="CL37" i="48"/>
  <c r="CL38" i="48"/>
  <c r="CL39" i="48"/>
  <c r="CM34" i="48"/>
  <c r="CG18" i="48"/>
  <c r="CH17" i="48"/>
  <c r="CM38" i="48" l="1"/>
  <c r="CM37" i="48"/>
  <c r="CM36" i="48"/>
  <c r="CM39" i="48"/>
  <c r="CM35" i="48"/>
  <c r="CN34" i="48"/>
  <c r="CH18" i="48"/>
  <c r="CI17" i="48"/>
  <c r="CN35" i="48" l="1"/>
  <c r="CN37" i="48"/>
  <c r="CN38" i="48"/>
  <c r="CN39" i="48"/>
  <c r="CN36" i="48"/>
  <c r="CO34" i="48"/>
  <c r="CI18" i="48"/>
  <c r="CJ17" i="48"/>
  <c r="CO37" i="48" l="1"/>
  <c r="CO39" i="48"/>
  <c r="CO38" i="48"/>
  <c r="CO35" i="48"/>
  <c r="CO36" i="48"/>
  <c r="CP34" i="48"/>
  <c r="CJ18" i="48"/>
  <c r="CK17" i="48"/>
  <c r="CP38" i="48" l="1"/>
  <c r="CP37" i="48"/>
  <c r="CP39" i="48"/>
  <c r="CP36" i="48"/>
  <c r="CP35" i="48"/>
  <c r="CQ34" i="48"/>
  <c r="CK18" i="48"/>
  <c r="CL17" i="48"/>
  <c r="CQ38" i="48" l="1"/>
  <c r="CQ35" i="48"/>
  <c r="CQ36" i="48"/>
  <c r="CQ39" i="48"/>
  <c r="CQ37" i="48"/>
  <c r="CL18" i="48"/>
  <c r="CM17" i="48"/>
  <c r="CM18" i="48" l="1"/>
  <c r="CN17" i="48"/>
  <c r="CN18" i="48" l="1"/>
  <c r="CO17" i="48"/>
  <c r="CO18" i="48" l="1"/>
  <c r="A1" i="48" s="1"/>
  <c r="CP17" i="48"/>
  <c r="CP18" i="48" l="1"/>
  <c r="CQ17" i="48"/>
  <c r="CQ18" i="48" s="1"/>
</calcChain>
</file>

<file path=xl/comments1.xml><?xml version="1.0" encoding="utf-8"?>
<comments xmlns="http://schemas.openxmlformats.org/spreadsheetml/2006/main">
  <authors>
    <author>CMR</author>
  </authors>
  <commentList>
    <comment ref="C7" authorId="0" shapeId="0">
      <text>
        <r>
          <rPr>
            <sz val="9"/>
            <color indexed="81"/>
            <rFont val="Tahoma"/>
            <family val="2"/>
          </rPr>
          <t>This will be the year from which all costs will be inflated.
Years should be entered YY/YY+1</t>
        </r>
      </text>
    </comment>
    <comment ref="C10" authorId="0" shapeId="0">
      <text>
        <r>
          <rPr>
            <sz val="9"/>
            <color indexed="81"/>
            <rFont val="Tahoma"/>
            <family val="2"/>
          </rPr>
          <t>This is the year from which the timeline will start. 
Years should be entered YYYY/YY+1</t>
        </r>
      </text>
    </comment>
  </commentList>
</comments>
</file>

<file path=xl/sharedStrings.xml><?xml version="1.0" encoding="utf-8"?>
<sst xmlns="http://schemas.openxmlformats.org/spreadsheetml/2006/main" count="459" uniqueCount="212">
  <si>
    <t>Lookups</t>
  </si>
  <si>
    <t>Concept</t>
  </si>
  <si>
    <t>Assessment</t>
  </si>
  <si>
    <t>Design</t>
  </si>
  <si>
    <t>Manufacture</t>
  </si>
  <si>
    <t>Phase</t>
  </si>
  <si>
    <t>In-Service</t>
  </si>
  <si>
    <t>VAT</t>
  </si>
  <si>
    <t>Timeline</t>
  </si>
  <si>
    <t>FY</t>
  </si>
  <si>
    <t>Model Map</t>
  </si>
  <si>
    <t>Error Check</t>
  </si>
  <si>
    <t>Global Constants</t>
  </si>
  <si>
    <t>Inflation</t>
  </si>
  <si>
    <t>Inflation Rate</t>
  </si>
  <si>
    <t>Indigo Ref</t>
  </si>
  <si>
    <t>Base Year</t>
  </si>
  <si>
    <t>Inflation Impact</t>
  </si>
  <si>
    <t>FOREX</t>
  </si>
  <si>
    <t>Currency</t>
  </si>
  <si>
    <t>Forex Adjustment</t>
  </si>
  <si>
    <t>CDAL</t>
  </si>
  <si>
    <t>Name</t>
  </si>
  <si>
    <t>Description</t>
  </si>
  <si>
    <t>Cost Group</t>
  </si>
  <si>
    <t>Quantity</t>
  </si>
  <si>
    <t>Cost</t>
  </si>
  <si>
    <t>Comments</t>
  </si>
  <si>
    <t>Yes</t>
  </si>
  <si>
    <t>Add New Lines above this row</t>
  </si>
  <si>
    <t>Source</t>
  </si>
  <si>
    <t>DRL</t>
  </si>
  <si>
    <t>File Name</t>
  </si>
  <si>
    <t>File Type</t>
  </si>
  <si>
    <t>Date of file</t>
  </si>
  <si>
    <t>Provided By</t>
  </si>
  <si>
    <t>File 1</t>
  </si>
  <si>
    <t>File 2</t>
  </si>
  <si>
    <t>Excel</t>
  </si>
  <si>
    <t>Email</t>
  </si>
  <si>
    <t>DRL Matrix</t>
  </si>
  <si>
    <t>Profile &amp; Baseline</t>
  </si>
  <si>
    <t>Start Date</t>
  </si>
  <si>
    <t>End Date</t>
  </si>
  <si>
    <t>Duration</t>
  </si>
  <si>
    <t>Baselined Cost</t>
  </si>
  <si>
    <t>Economic Conditions</t>
  </si>
  <si>
    <t>Currency Match</t>
  </si>
  <si>
    <t>No VAT</t>
  </si>
  <si>
    <t>UK VAT</t>
  </si>
  <si>
    <t>VAT Option 1</t>
  </si>
  <si>
    <t>VAT Option 2</t>
  </si>
  <si>
    <t>VAT Option 3</t>
  </si>
  <si>
    <t>NPV</t>
  </si>
  <si>
    <t>Discount Rate</t>
  </si>
  <si>
    <t>Treasury Discount Rate</t>
  </si>
  <si>
    <t>Year Num</t>
  </si>
  <si>
    <t>Outputs</t>
  </si>
  <si>
    <t>Option Code</t>
  </si>
  <si>
    <t>Option 1</t>
  </si>
  <si>
    <t>ABC123</t>
  </si>
  <si>
    <t>Constant</t>
  </si>
  <si>
    <t>Outturn</t>
  </si>
  <si>
    <t>EAC</t>
  </si>
  <si>
    <t>10-year Total</t>
  </si>
  <si>
    <t>Total</t>
  </si>
  <si>
    <t>Discounted Benefit</t>
  </si>
  <si>
    <t>Equivalent Annual Cost</t>
  </si>
  <si>
    <t>Years of Benefit</t>
  </si>
  <si>
    <t>Affordability (Outturn)</t>
  </si>
  <si>
    <t>Input Check</t>
  </si>
  <si>
    <t>Calc Check</t>
  </si>
  <si>
    <t>Worksheet</t>
  </si>
  <si>
    <t>Check</t>
  </si>
  <si>
    <t>Error</t>
  </si>
  <si>
    <t>General check for calculation Errors</t>
  </si>
  <si>
    <t>Checks all required fields are populated</t>
  </si>
  <si>
    <t>Checks cost and DRL do not contain errors</t>
  </si>
  <si>
    <t>Forex</t>
  </si>
  <si>
    <t>Model Health</t>
  </si>
  <si>
    <t>Assumptions, Areas of Uncertainty and Key Cost Drivers</t>
  </si>
  <si>
    <t>Assumptions</t>
  </si>
  <si>
    <t>ID</t>
  </si>
  <si>
    <t>MODEL CONFIGURATION CONTROL</t>
  </si>
  <si>
    <t>Official - Sensitive</t>
  </si>
  <si>
    <t>Verification</t>
  </si>
  <si>
    <t>Date</t>
  </si>
  <si>
    <t>Version</t>
  </si>
  <si>
    <t>Description / Change Made</t>
  </si>
  <si>
    <t>by Whom</t>
  </si>
  <si>
    <t>Reference</t>
  </si>
  <si>
    <t>Draft v1</t>
  </si>
  <si>
    <t>Initial Template build</t>
  </si>
  <si>
    <t>Laurence Gundry</t>
  </si>
  <si>
    <t>Percentile</t>
  </si>
  <si>
    <t>Percentiles</t>
  </si>
  <si>
    <t>Deterministic</t>
  </si>
  <si>
    <t>Probability</t>
  </si>
  <si>
    <t>Costlines</t>
  </si>
  <si>
    <t>Inflation Match</t>
  </si>
  <si>
    <t>GDP Deflator</t>
  </si>
  <si>
    <t>Combined Discount Rate</t>
  </si>
  <si>
    <t>Cost Group Summary</t>
  </si>
  <si>
    <t>Iterations</t>
  </si>
  <si>
    <t>Test 1</t>
  </si>
  <si>
    <t>Test 2</t>
  </si>
  <si>
    <t>Test 3</t>
  </si>
  <si>
    <t>Test 4</t>
  </si>
  <si>
    <t>Test 5</t>
  </si>
  <si>
    <t>Year Count</t>
  </si>
  <si>
    <t>Phase Summary</t>
  </si>
  <si>
    <t>Cost Groups</t>
  </si>
  <si>
    <t>Phases</t>
  </si>
  <si>
    <t>19/20</t>
  </si>
  <si>
    <t>87/88</t>
  </si>
  <si>
    <t>Model Output</t>
  </si>
  <si>
    <t>MonteCarlo</t>
  </si>
  <si>
    <t>MonteCarlo Flag</t>
  </si>
  <si>
    <t>Lookups for VBA</t>
  </si>
  <si>
    <t>Draft v2</t>
  </si>
  <si>
    <t>Initial review</t>
  </si>
  <si>
    <t>Dom Mccaskill</t>
  </si>
  <si>
    <t>These rates should be added as the rate value, not the % change value</t>
  </si>
  <si>
    <t>Removed 'Numbers' range on lookups as no longer used
Removed 'Profile Types' range on lookups as no longer used
Changed name ranges for 'Phases' &amp; 'Cost Groups' to be dynamic
Removed row 7 as no longer required
Renamed Sheet FOREX to Constant Ecs GBP
Renamed Inflation Sheet to Inflated Cost exc VAT
Renamed VAT Sheet to Outturn
Aligned Percentile sheet to corresponding rows on Output sheet
Added data validation to ensure model base year is entered in correct format
Added additional row in Calc Feeder to allow for simplification of the formulas on 'Percentiles'
Removed unrequired flags from 'Percentiles' Sheet</t>
  </si>
  <si>
    <t>Timeline Start</t>
  </si>
  <si>
    <t>Base Year Date</t>
  </si>
  <si>
    <t>Draft v4</t>
  </si>
  <si>
    <t>Draft v3</t>
  </si>
  <si>
    <t>Cost Profile</t>
  </si>
  <si>
    <t>Assets In-Service</t>
  </si>
  <si>
    <t>3pe Check</t>
  </si>
  <si>
    <t>Checks 3pe Entered correctly</t>
  </si>
  <si>
    <t>Profile Check</t>
  </si>
  <si>
    <t>Start Year</t>
  </si>
  <si>
    <t>End year</t>
  </si>
  <si>
    <t>Years</t>
  </si>
  <si>
    <t>Percentile Output</t>
  </si>
  <si>
    <t>Affordability Total</t>
  </si>
  <si>
    <t>Affordability - Phases</t>
  </si>
  <si>
    <t>Cost Breakdown - Phases</t>
  </si>
  <si>
    <t>Cost Breakdown - Groups</t>
  </si>
  <si>
    <t>This sheet produces the timeline for use throughout the model</t>
  </si>
  <si>
    <t>This sheet should be used to enter key points from the MDAL</t>
  </si>
  <si>
    <t>can be assigned to specific lines on the cost input sheet</t>
  </si>
  <si>
    <t>This sheet should store information relating to any source documentation used and</t>
  </si>
  <si>
    <t>This sheet calculates the impact of inflation and FOREX based on user inputs</t>
  </si>
  <si>
    <t>Cost &amp; Risk Inputs</t>
  </si>
  <si>
    <t>All cost and risk data should be entered into this table. This provides all the required data for the calculations throughout the model</t>
  </si>
  <si>
    <t>This sheet sets all the cost and risk values to the Economic Conditions of the year designated as the Model Base</t>
  </si>
  <si>
    <t>Constant Ecs GBP</t>
  </si>
  <si>
    <t>This sheet converts all costs to £ using the rates as defined on the Global Constants worksheet</t>
  </si>
  <si>
    <t>This sheet inflates the costs from Constant Ecs GBP to the year in which the costs fall</t>
  </si>
  <si>
    <t>This sheet applies VAT to the inflated costs</t>
  </si>
  <si>
    <t>This sheet applies a discount factor to the in-service profile to allow for the calculation of EAC</t>
  </si>
  <si>
    <t>This sheet applies a discount factor to the inflated costs exc VAT</t>
  </si>
  <si>
    <t>number of bins</t>
  </si>
  <si>
    <t>Bin Width</t>
  </si>
  <si>
    <t>Min</t>
  </si>
  <si>
    <t>Max</t>
  </si>
  <si>
    <t>Frequency</t>
  </si>
  <si>
    <t>Bin Name</t>
  </si>
  <si>
    <t>Percentage</t>
  </si>
  <si>
    <t>Histogram</t>
  </si>
  <si>
    <t>Histogram chart of outturn spend</t>
  </si>
  <si>
    <t>Output</t>
  </si>
  <si>
    <t>Draft V5</t>
  </si>
  <si>
    <t>GBP</t>
  </si>
  <si>
    <t>No Inflation</t>
  </si>
  <si>
    <t>Key</t>
  </si>
  <si>
    <t>Renamed CDAL to Cost Inputs
Removed 'Cost Profiles' Worksheet and added section for profiles into the 'Cost Inputs'
Added Asset In Service Profile no Cost &amp; Risk Input for EAC Calculations
EAC sheet now just uses the assets in service to calculate the discounted profile 
Added check in VBA to ensure all costs are Min&lt;=ML&lt;=Max before running the simulation - this included an additional input on 'Lookups'
created 'Graphs' and added output graphs and associated named ranges
Updated Model Map
Added descriptions to each worksheet
Added Histogram Worksheet
Removed Years of Benefit from Cost &amp; Risk Input</t>
  </si>
  <si>
    <t>Option Description</t>
  </si>
  <si>
    <t>This sheet creates the summary tables used by the VBA to calculate percentiles</t>
  </si>
  <si>
    <t>Discount Factor</t>
  </si>
  <si>
    <t>VAT Match</t>
  </si>
  <si>
    <t xml:space="preserve">Removed Dummy Data from Global Constants
Updated GDP to GBP
Added Key to Model Map
Updated cell reference within EAC caclulation on percentiles
Fixed Spelling Errors
Fixed Conditional Formatting issues
Fixed cell reference on Graphs worksheet tables </t>
  </si>
  <si>
    <t>Maritime Underwater Future Capability Cost Model</t>
  </si>
  <si>
    <t>Draft V6</t>
  </si>
  <si>
    <t>Training</t>
  </si>
  <si>
    <t>Equipment</t>
  </si>
  <si>
    <t>Personnel</t>
  </si>
  <si>
    <t>Information</t>
  </si>
  <si>
    <t>Concepts and Doctrine</t>
  </si>
  <si>
    <t>Organisation</t>
  </si>
  <si>
    <t>Infrastructure</t>
  </si>
  <si>
    <t>Logistics</t>
  </si>
  <si>
    <t>2019/20</t>
  </si>
  <si>
    <t>OPPI - Electrical equipment GSO (SIC 2007)</t>
  </si>
  <si>
    <t>K388</t>
  </si>
  <si>
    <t>SPPI - All Services GSO (SIC 2007)</t>
  </si>
  <si>
    <t>K8ZU</t>
  </si>
  <si>
    <t>NA</t>
  </si>
  <si>
    <t>EUR</t>
  </si>
  <si>
    <t>USD</t>
  </si>
  <si>
    <t>92/93</t>
  </si>
  <si>
    <t>Test 6</t>
  </si>
  <si>
    <t>Test 7</t>
  </si>
  <si>
    <t>Test 8</t>
  </si>
  <si>
    <t xml:space="preserve">Added data into global constants sheet
Added Cost Groups to match DLODs
Changed currency names to currency Codes
Changed base year and timeline start
Populated DRL data
Changed formatting on Min/ML/Max on costs sheet and corrected conditional formatting
Added more rows to cost gorups table in Calc Feeder sheet to allow for DLODs costs to be calcuated
Added more lines in Percentiles sheet to allow for DLODs
Corrected VBA so it accounts for the new Cost Groups when copying data
Corrected Cost Groups name to pick up all cost groups
Corrected output sheets so that DLODs values are calculated correctly
Corrected drop down in graphs sheet to match FY named range
Corrected Graphs
</t>
  </si>
  <si>
    <t>Rich O'Neill</t>
  </si>
  <si>
    <t>ML</t>
  </si>
  <si>
    <t>Factor</t>
  </si>
  <si>
    <t>Factor 3PE Check</t>
  </si>
  <si>
    <t>Cost 3PE Check</t>
  </si>
  <si>
    <t>Draft V7</t>
  </si>
  <si>
    <t>Added Factor 3PE and associated calculations and conditional formatting</t>
  </si>
  <si>
    <t>Draft V8</t>
  </si>
  <si>
    <t>Andy Pugh</t>
  </si>
  <si>
    <t>Outturn ex VAT</t>
  </si>
  <si>
    <t>Cost in ECs:</t>
  </si>
  <si>
    <t>Model Start Date</t>
  </si>
  <si>
    <t>Made Changes based on Reverification:
Renamed sheets for clarity
Added EC cell on "Constat Ecs GBP" for clarity
Fixed NPV calcs to use Excluded VAT figure
Fixed error in outputs.</t>
  </si>
  <si>
    <t>V8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</si>
</sst>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5" formatCode="&quot;£&quot;#,##0;\-&quot;£&quot;#,##0"/>
    <numFmt numFmtId="7" formatCode="&quot;£&quot;#,##0.00;\-&quot;£&quot;#,##0.00"/>
    <numFmt numFmtId="44" formatCode="_-&quot;£&quot;* #,##0.00_-;\-&quot;£&quot;* #,##0.00_-;_-&quot;£&quot;* &quot;-&quot;??_-;_-@_-"/>
    <numFmt numFmtId="43" formatCode="_-* #,##0.00_-;\-* #,##0.00_-;_-* &quot;-&quot;??_-;_-@_-"/>
    <numFmt numFmtId="164" formatCode="0.000"/>
    <numFmt numFmtId="165" formatCode="#,##0_ ;\-#,##0\ "/>
    <numFmt numFmtId="166" formatCode="dd/mm/yyyy;@"/>
    <numFmt numFmtId="167" formatCode="0.0"/>
    <numFmt numFmtId="168" formatCode="0.0%"/>
    <numFmt numFmtId="169" formatCode="_-&quot;£&quot;* #,##0_-;\-&quot;£&quot;* #,##0_-;_-&quot;£&quot;* &quot;-&quot;??_-;_-@_-"/>
  </numFmts>
  <fonts count="17" x14ac:knownFonts="1">
    <font>
      <sz val="11"/>
      <color theme="1"/>
      <name val="Calibri"/>
      <family val="2"/>
      <scheme val="minor"/>
    </font>
    <font>
      <sz val="11"/>
      <color theme="1"/>
      <name val="Calibri"/>
      <family val="2"/>
      <scheme val="minor"/>
    </font>
    <font>
      <sz val="11"/>
      <color rgb="FFFF0000"/>
      <name val="Calibri"/>
      <family val="2"/>
      <scheme val="minor"/>
    </font>
    <font>
      <sz val="14"/>
      <color theme="1"/>
      <name val="Calibri"/>
      <family val="2"/>
      <scheme val="minor"/>
    </font>
    <font>
      <sz val="16"/>
      <color theme="1"/>
      <name val="Calibri"/>
      <family val="2"/>
      <scheme val="minor"/>
    </font>
    <font>
      <sz val="9"/>
      <color indexed="81"/>
      <name val="Tahoma"/>
      <family val="2"/>
    </font>
    <font>
      <sz val="11"/>
      <color theme="0" tint="-0.34998626667073579"/>
      <name val="Calibri"/>
      <family val="2"/>
      <scheme val="minor"/>
    </font>
    <font>
      <b/>
      <sz val="11"/>
      <color theme="1"/>
      <name val="Calibri"/>
      <family val="2"/>
      <scheme val="minor"/>
    </font>
    <font>
      <i/>
      <sz val="11"/>
      <color theme="1"/>
      <name val="Calibri"/>
      <family val="2"/>
      <scheme val="minor"/>
    </font>
    <font>
      <sz val="10"/>
      <name val="Arial"/>
      <family val="2"/>
    </font>
    <font>
      <u/>
      <sz val="8"/>
      <color indexed="12"/>
      <name val="Arial"/>
      <family val="2"/>
    </font>
    <font>
      <b/>
      <sz val="10"/>
      <color indexed="12"/>
      <name val="Arial"/>
      <family val="2"/>
    </font>
    <font>
      <b/>
      <sz val="10"/>
      <name val="Arial"/>
      <family val="2"/>
    </font>
    <font>
      <b/>
      <sz val="10"/>
      <color indexed="48"/>
      <name val="Arial"/>
      <family val="2"/>
    </font>
    <font>
      <sz val="9"/>
      <name val="Arial"/>
      <family val="2"/>
    </font>
    <font>
      <i/>
      <sz val="10"/>
      <color theme="1"/>
      <name val="Calibri"/>
      <family val="2"/>
      <scheme val="minor"/>
    </font>
    <font>
      <i/>
      <sz val="8"/>
      <color theme="1"/>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99FF99"/>
        <bgColor indexed="64"/>
      </patternFill>
    </fill>
    <fill>
      <patternFill patternType="solid">
        <fgColor indexed="44"/>
        <bgColor indexed="64"/>
      </patternFill>
    </fill>
    <fill>
      <patternFill patternType="solid">
        <fgColor indexed="9"/>
        <bgColor indexed="64"/>
      </patternFill>
    </fill>
    <fill>
      <patternFill patternType="solid">
        <fgColor indexed="18"/>
        <bgColor indexed="64"/>
      </patternFill>
    </fill>
    <fill>
      <patternFill patternType="lightUp">
        <bgColor theme="0" tint="-4.9989318521683403E-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0">
    <xf numFmtId="0" fontId="0" fillId="0" borderId="0"/>
    <xf numFmtId="0" fontId="1" fillId="4" borderId="1"/>
    <xf numFmtId="0" fontId="1" fillId="2" borderId="1" applyProtection="0"/>
    <xf numFmtId="49" fontId="1" fillId="3" borderId="1"/>
    <xf numFmtId="164" fontId="1" fillId="2" borderId="1" applyProtection="0"/>
    <xf numFmtId="164" fontId="1" fillId="4" borderId="1"/>
    <xf numFmtId="14" fontId="1" fillId="2" borderId="1" applyProtection="0"/>
    <xf numFmtId="165" fontId="1" fillId="4" borderId="1"/>
    <xf numFmtId="14" fontId="1" fillId="4" borderId="1"/>
    <xf numFmtId="165" fontId="6" fillId="4" borderId="1">
      <alignment horizontal="center"/>
    </xf>
    <xf numFmtId="14" fontId="1" fillId="3" borderId="1"/>
    <xf numFmtId="10" fontId="1" fillId="2" borderId="1" applyProtection="0"/>
    <xf numFmtId="5" fontId="1" fillId="4" borderId="1"/>
    <xf numFmtId="1" fontId="1" fillId="2" borderId="1" applyProtection="0">
      <alignment horizontal="center"/>
    </xf>
    <xf numFmtId="0" fontId="9" fillId="0" borderId="0"/>
    <xf numFmtId="0" fontId="10" fillId="0" borderId="0" applyNumberFormat="0" applyFill="0" applyBorder="0" applyAlignment="0" applyProtection="0">
      <alignment vertical="top"/>
      <protection locked="0"/>
    </xf>
    <xf numFmtId="9" fontId="1" fillId="4" borderId="1"/>
    <xf numFmtId="168" fontId="1" fillId="10" borderId="1" applyProtection="0"/>
    <xf numFmtId="44" fontId="1" fillId="0" borderId="0" applyFont="0" applyFill="0" applyBorder="0" applyAlignment="0" applyProtection="0"/>
    <xf numFmtId="9" fontId="1" fillId="0" borderId="0" applyFont="0" applyFill="0" applyBorder="0" applyAlignment="0" applyProtection="0"/>
  </cellStyleXfs>
  <cellXfs count="80">
    <xf numFmtId="0" fontId="0" fillId="0" borderId="0" xfId="0"/>
    <xf numFmtId="0" fontId="0" fillId="2" borderId="1" xfId="0" applyFill="1" applyBorder="1"/>
    <xf numFmtId="0" fontId="3" fillId="0" borderId="0" xfId="0" applyFont="1"/>
    <xf numFmtId="0" fontId="4" fillId="0" borderId="0" xfId="0" applyFont="1"/>
    <xf numFmtId="0" fontId="1" fillId="4" borderId="1" xfId="1"/>
    <xf numFmtId="0" fontId="1" fillId="2" borderId="1" xfId="2"/>
    <xf numFmtId="49" fontId="1" fillId="3" borderId="1" xfId="3"/>
    <xf numFmtId="0" fontId="0" fillId="2" borderId="1" xfId="2" applyFont="1"/>
    <xf numFmtId="164" fontId="1" fillId="2" borderId="1" xfId="4"/>
    <xf numFmtId="0" fontId="0" fillId="0" borderId="0" xfId="0" applyFont="1"/>
    <xf numFmtId="164" fontId="1" fillId="4" borderId="1" xfId="5" applyBorder="1"/>
    <xf numFmtId="49" fontId="0" fillId="3" borderId="1" xfId="3" applyFont="1"/>
    <xf numFmtId="49" fontId="0" fillId="3" borderId="1" xfId="3" applyFont="1" applyBorder="1"/>
    <xf numFmtId="0" fontId="0" fillId="5" borderId="4" xfId="0" applyFill="1" applyBorder="1"/>
    <xf numFmtId="0" fontId="0" fillId="5" borderId="5" xfId="0" applyFill="1" applyBorder="1"/>
    <xf numFmtId="0" fontId="0" fillId="5" borderId="3" xfId="0" applyFill="1" applyBorder="1" applyAlignment="1">
      <alignment horizontal="centerContinuous"/>
    </xf>
    <xf numFmtId="0" fontId="2" fillId="5" borderId="4" xfId="0" applyFont="1" applyFill="1" applyBorder="1" applyAlignment="1">
      <alignment horizontal="centerContinuous"/>
    </xf>
    <xf numFmtId="14" fontId="1" fillId="2" borderId="1" xfId="6"/>
    <xf numFmtId="165" fontId="1" fillId="4" borderId="1" xfId="7"/>
    <xf numFmtId="14" fontId="1" fillId="4" borderId="1" xfId="8"/>
    <xf numFmtId="165" fontId="6" fillId="4" borderId="1" xfId="9">
      <alignment horizontal="center"/>
    </xf>
    <xf numFmtId="14" fontId="1" fillId="3" borderId="1" xfId="10"/>
    <xf numFmtId="49" fontId="0" fillId="3" borderId="1" xfId="3" applyFont="1" applyAlignment="1">
      <alignment horizontal="center"/>
    </xf>
    <xf numFmtId="43" fontId="1" fillId="4" borderId="1" xfId="7" applyNumberFormat="1"/>
    <xf numFmtId="10" fontId="1" fillId="2" borderId="1" xfId="11"/>
    <xf numFmtId="0" fontId="1" fillId="4" borderId="1" xfId="1" applyAlignment="1">
      <alignment horizontal="centerContinuous"/>
    </xf>
    <xf numFmtId="5" fontId="1" fillId="4" borderId="1" xfId="12"/>
    <xf numFmtId="1" fontId="1" fillId="2" borderId="1" xfId="13">
      <alignment horizontal="center"/>
    </xf>
    <xf numFmtId="1" fontId="1" fillId="4" borderId="1" xfId="1" applyNumberFormat="1"/>
    <xf numFmtId="165" fontId="1" fillId="4" borderId="1" xfId="7" applyNumberFormat="1"/>
    <xf numFmtId="14" fontId="0" fillId="2" borderId="1" xfId="6" applyFont="1"/>
    <xf numFmtId="5" fontId="7" fillId="4" borderId="1" xfId="12" applyFont="1"/>
    <xf numFmtId="1" fontId="0" fillId="2" borderId="1" xfId="13" applyFont="1">
      <alignment horizontal="center"/>
    </xf>
    <xf numFmtId="0" fontId="0" fillId="6" borderId="0" xfId="0" applyFill="1"/>
    <xf numFmtId="0" fontId="0" fillId="6" borderId="1" xfId="0" applyFill="1" applyBorder="1"/>
    <xf numFmtId="0" fontId="7" fillId="0" borderId="0" xfId="0" applyFont="1"/>
    <xf numFmtId="0" fontId="0" fillId="0" borderId="0" xfId="0" applyAlignment="1">
      <alignment wrapText="1"/>
    </xf>
    <xf numFmtId="0" fontId="8" fillId="0" borderId="0" xfId="0" applyFont="1" applyAlignment="1"/>
    <xf numFmtId="0" fontId="4" fillId="0" borderId="0" xfId="0" applyFont="1" applyAlignment="1">
      <alignment horizontal="center"/>
    </xf>
    <xf numFmtId="0" fontId="11" fillId="7" borderId="0" xfId="14" applyFont="1" applyFill="1" applyProtection="1"/>
    <xf numFmtId="0" fontId="12" fillId="7" borderId="0" xfId="14" applyFont="1" applyFill="1" applyProtection="1"/>
    <xf numFmtId="0" fontId="9" fillId="8" borderId="0" xfId="14" applyFill="1" applyProtection="1"/>
    <xf numFmtId="0" fontId="12" fillId="9" borderId="0" xfId="14" applyFont="1" applyFill="1" applyProtection="1"/>
    <xf numFmtId="0" fontId="13" fillId="8" borderId="2" xfId="14" applyFont="1" applyFill="1" applyBorder="1" applyProtection="1"/>
    <xf numFmtId="0" fontId="9" fillId="9" borderId="0" xfId="14" applyFont="1" applyFill="1" applyProtection="1"/>
    <xf numFmtId="166" fontId="14" fillId="0" borderId="1" xfId="14" applyNumberFormat="1" applyFont="1" applyFill="1" applyBorder="1" applyAlignment="1" applyProtection="1">
      <alignment horizontal="right"/>
    </xf>
    <xf numFmtId="167" fontId="9" fillId="0" borderId="1" xfId="14" applyNumberFormat="1" applyFill="1" applyBorder="1" applyProtection="1"/>
    <xf numFmtId="0" fontId="9" fillId="0" borderId="1" xfId="14" applyFont="1" applyFill="1" applyBorder="1" applyProtection="1"/>
    <xf numFmtId="0" fontId="9" fillId="0" borderId="1" xfId="14" applyFill="1" applyBorder="1" applyAlignment="1" applyProtection="1">
      <alignment wrapText="1"/>
    </xf>
    <xf numFmtId="14" fontId="9" fillId="0" borderId="1" xfId="14" applyNumberFormat="1" applyFill="1" applyBorder="1" applyProtection="1"/>
    <xf numFmtId="9" fontId="1" fillId="2" borderId="1" xfId="11" applyNumberFormat="1"/>
    <xf numFmtId="0" fontId="0" fillId="4" borderId="1" xfId="1" applyFont="1"/>
    <xf numFmtId="7" fontId="1" fillId="4" borderId="1" xfId="12" applyNumberFormat="1"/>
    <xf numFmtId="7" fontId="7" fillId="4" borderId="1" xfId="12" applyNumberFormat="1" applyFont="1"/>
    <xf numFmtId="7" fontId="0" fillId="0" borderId="0" xfId="0" applyNumberFormat="1"/>
    <xf numFmtId="5" fontId="1" fillId="4" borderId="1" xfId="12" applyNumberFormat="1"/>
    <xf numFmtId="49" fontId="7" fillId="3" borderId="1" xfId="3" applyFont="1"/>
    <xf numFmtId="9" fontId="1" fillId="4" borderId="1" xfId="16"/>
    <xf numFmtId="5" fontId="1" fillId="4" borderId="1" xfId="12" quotePrefix="1"/>
    <xf numFmtId="0" fontId="9" fillId="0" borderId="1" xfId="14" applyFont="1" applyFill="1" applyBorder="1" applyAlignment="1" applyProtection="1">
      <alignment wrapText="1"/>
    </xf>
    <xf numFmtId="0" fontId="15" fillId="0" borderId="0" xfId="0" applyFont="1"/>
    <xf numFmtId="0" fontId="0" fillId="3" borderId="1" xfId="3" applyNumberFormat="1" applyFont="1"/>
    <xf numFmtId="165" fontId="6" fillId="4" borderId="1" xfId="9" applyBorder="1">
      <alignment horizontal="center"/>
    </xf>
    <xf numFmtId="14" fontId="0" fillId="0" borderId="0" xfId="0" applyNumberFormat="1"/>
    <xf numFmtId="168" fontId="1" fillId="10" borderId="1" xfId="17"/>
    <xf numFmtId="0" fontId="16" fillId="0" borderId="0" xfId="0" applyFont="1" applyAlignment="1">
      <alignment horizontal="left" indent="1"/>
    </xf>
    <xf numFmtId="168" fontId="1" fillId="4" borderId="1" xfId="7" applyNumberFormat="1"/>
    <xf numFmtId="0" fontId="16" fillId="0" borderId="0" xfId="0" applyFont="1"/>
    <xf numFmtId="0" fontId="0" fillId="0" borderId="0" xfId="0" applyAlignment="1">
      <alignment horizontal="center"/>
    </xf>
    <xf numFmtId="0" fontId="1" fillId="3" borderId="1" xfId="3" applyNumberFormat="1"/>
    <xf numFmtId="44" fontId="0" fillId="2" borderId="1" xfId="18" applyFont="1" applyFill="1" applyBorder="1"/>
    <xf numFmtId="169" fontId="0" fillId="2" borderId="1" xfId="18" applyNumberFormat="1" applyFont="1" applyFill="1" applyBorder="1"/>
    <xf numFmtId="169" fontId="0" fillId="4" borderId="1" xfId="18" applyNumberFormat="1" applyFont="1" applyFill="1" applyBorder="1"/>
    <xf numFmtId="9" fontId="1" fillId="4" borderId="1" xfId="7" applyNumberFormat="1"/>
    <xf numFmtId="169" fontId="1" fillId="4" borderId="1" xfId="18" applyNumberFormat="1" applyFill="1" applyBorder="1"/>
    <xf numFmtId="0" fontId="0" fillId="3" borderId="1" xfId="0" applyFill="1" applyBorder="1" applyAlignment="1">
      <alignment horizontal="centerContinuous"/>
    </xf>
    <xf numFmtId="9" fontId="0" fillId="2" borderId="1" xfId="19" applyFont="1" applyFill="1" applyBorder="1" applyAlignment="1">
      <alignment horizontal="center"/>
    </xf>
    <xf numFmtId="49" fontId="0" fillId="3" borderId="1" xfId="3" applyFont="1" applyBorder="1" applyAlignment="1">
      <alignment horizontal="center" vertical="center"/>
    </xf>
    <xf numFmtId="165" fontId="1" fillId="4" borderId="1" xfId="7" applyAlignment="1">
      <alignment horizontal="center" vertical="center"/>
    </xf>
    <xf numFmtId="0" fontId="13" fillId="8" borderId="1" xfId="14" applyFont="1" applyFill="1" applyBorder="1" applyAlignment="1" applyProtection="1">
      <alignment horizontal="center"/>
    </xf>
  </cellXfs>
  <cellStyles count="20">
    <cellStyle name="Calc %" xfId="16"/>
    <cellStyle name="Calc £" xfId="12"/>
    <cellStyle name="Calc_3dp" xfId="5"/>
    <cellStyle name="Calc_Date" xfId="8"/>
    <cellStyle name="Calc_Flag" xfId="9"/>
    <cellStyle name="Calc_Text" xfId="1"/>
    <cellStyle name="Currency" xfId="18" builtinId="4"/>
    <cellStyle name="Date_Header" xfId="10"/>
    <cellStyle name="Header" xfId="3"/>
    <cellStyle name="Hyperlink 3" xfId="15"/>
    <cellStyle name="input 0dp" xfId="13"/>
    <cellStyle name="Input Date" xfId="6"/>
    <cellStyle name="Input_%" xfId="11"/>
    <cellStyle name="Input_3dp" xfId="4"/>
    <cellStyle name="Input_Text" xfId="2"/>
    <cellStyle name="No_Input" xfId="17"/>
    <cellStyle name="Normal" xfId="0" builtinId="0"/>
    <cellStyle name="Normal 6" xfId="14"/>
    <cellStyle name="Number" xfId="7"/>
    <cellStyle name="Percent" xfId="19" builtinId="5"/>
  </cellStyles>
  <dxfs count="3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numFmt numFmtId="32" formatCode="_-&quot;£&quot;* #,##0_-;\-&quot;£&quot;* #,##0_-;_-&quot;£&quot;* &quot;-&quot;_-;_-@_-"/>
    </dxf>
    <dxf>
      <numFmt numFmtId="170" formatCode="_-[$$-409]* #,##0_ ;_-[$$-409]* \-#,##0\ ;_-[$$-409]* &quot;-&quot;_ ;_-@_ "/>
    </dxf>
    <dxf>
      <numFmt numFmtId="171" formatCode="_-[$€-2]\ * #,##0_-;\-[$€-2]\ * #,##0_-;_-[$€-2]\ * &quot;-&quot;_-;_-@_-"/>
    </dxf>
    <dxf>
      <numFmt numFmtId="32" formatCode="_-&quot;£&quot;* #,##0_-;\-&quot;£&quot;* #,##0_-;_-&quot;£&quot;* &quot;-&quot;_-;_-@_-"/>
    </dxf>
    <dxf>
      <numFmt numFmtId="170" formatCode="_-[$$-409]* #,##0_ ;_-[$$-409]* \-#,##0\ ;_-[$$-409]* &quot;-&quot;_ ;_-@_ "/>
    </dxf>
    <dxf>
      <numFmt numFmtId="171" formatCode="_-[$€-2]\ * #,##0_-;\-[$€-2]\ * #,##0_-;_-[$€-2]\ * &quot;-&quot;_-;_-@_-"/>
    </dxf>
    <dxf>
      <fill>
        <patternFill patternType="solid">
          <bgColor theme="7" tint="0.79995117038483843"/>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4BF3C"/>
      <color rgb="FFD889FF"/>
      <color rgb="FFCC66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615793587931686E-2"/>
          <c:y val="6.9974554707379136E-2"/>
          <c:w val="0.94033073282013313"/>
          <c:h val="0.56868075173809385"/>
        </c:manualLayout>
      </c:layout>
      <c:lineChart>
        <c:grouping val="stacked"/>
        <c:varyColors val="0"/>
        <c:ser>
          <c:idx val="0"/>
          <c:order val="0"/>
          <c:tx>
            <c:strRef>
              <c:f>Graphs!$D$35</c:f>
              <c:strCache>
                <c:ptCount val="1"/>
                <c:pt idx="0">
                  <c:v>Concept</c:v>
                </c:pt>
              </c:strCache>
            </c:strRef>
          </c:tx>
          <c:spPr>
            <a:ln w="28575" cap="rnd">
              <a:solidFill>
                <a:schemeClr val="accent1"/>
              </a:solidFill>
              <a:round/>
            </a:ln>
            <a:effectLst/>
          </c:spPr>
          <c:marker>
            <c:symbol val="none"/>
          </c:marker>
          <c:cat>
            <c:strRef>
              <c:f>[0]!Graph_Timeline</c:f>
              <c:strCache>
                <c:ptCount val="69"/>
                <c:pt idx="0">
                  <c:v>19/20</c:v>
                </c:pt>
                <c:pt idx="1">
                  <c:v>20/21</c:v>
                </c:pt>
                <c:pt idx="2">
                  <c:v>21/22</c:v>
                </c:pt>
                <c:pt idx="3">
                  <c:v>22/23</c:v>
                </c:pt>
                <c:pt idx="4">
                  <c:v>23/24</c:v>
                </c:pt>
                <c:pt idx="5">
                  <c:v>24/25</c:v>
                </c:pt>
                <c:pt idx="6">
                  <c:v>25/26</c:v>
                </c:pt>
                <c:pt idx="7">
                  <c:v>26/27</c:v>
                </c:pt>
                <c:pt idx="8">
                  <c:v>27/28</c:v>
                </c:pt>
                <c:pt idx="9">
                  <c:v>28/29</c:v>
                </c:pt>
                <c:pt idx="10">
                  <c:v>29/30</c:v>
                </c:pt>
                <c:pt idx="11">
                  <c:v>30/31</c:v>
                </c:pt>
                <c:pt idx="12">
                  <c:v>31/32</c:v>
                </c:pt>
                <c:pt idx="13">
                  <c:v>32/33</c:v>
                </c:pt>
                <c:pt idx="14">
                  <c:v>33/34</c:v>
                </c:pt>
                <c:pt idx="15">
                  <c:v>34/35</c:v>
                </c:pt>
                <c:pt idx="16">
                  <c:v>35/36</c:v>
                </c:pt>
                <c:pt idx="17">
                  <c:v>36/37</c:v>
                </c:pt>
                <c:pt idx="18">
                  <c:v>37/38</c:v>
                </c:pt>
                <c:pt idx="19">
                  <c:v>38/39</c:v>
                </c:pt>
                <c:pt idx="20">
                  <c:v>39/40</c:v>
                </c:pt>
                <c:pt idx="21">
                  <c:v>40/41</c:v>
                </c:pt>
                <c:pt idx="22">
                  <c:v>41/42</c:v>
                </c:pt>
                <c:pt idx="23">
                  <c:v>42/43</c:v>
                </c:pt>
                <c:pt idx="24">
                  <c:v>43/44</c:v>
                </c:pt>
                <c:pt idx="25">
                  <c:v>44/45</c:v>
                </c:pt>
                <c:pt idx="26">
                  <c:v>45/46</c:v>
                </c:pt>
                <c:pt idx="27">
                  <c:v>46/47</c:v>
                </c:pt>
                <c:pt idx="28">
                  <c:v>47/48</c:v>
                </c:pt>
                <c:pt idx="29">
                  <c:v>48/49</c:v>
                </c:pt>
                <c:pt idx="30">
                  <c:v>49/50</c:v>
                </c:pt>
                <c:pt idx="31">
                  <c:v>50/51</c:v>
                </c:pt>
                <c:pt idx="32">
                  <c:v>51/52</c:v>
                </c:pt>
                <c:pt idx="33">
                  <c:v>52/53</c:v>
                </c:pt>
                <c:pt idx="34">
                  <c:v>53/54</c:v>
                </c:pt>
                <c:pt idx="35">
                  <c:v>54/55</c:v>
                </c:pt>
                <c:pt idx="36">
                  <c:v>55/56</c:v>
                </c:pt>
                <c:pt idx="37">
                  <c:v>56/57</c:v>
                </c:pt>
                <c:pt idx="38">
                  <c:v>57/58</c:v>
                </c:pt>
                <c:pt idx="39">
                  <c:v>58/59</c:v>
                </c:pt>
                <c:pt idx="40">
                  <c:v>59/60</c:v>
                </c:pt>
                <c:pt idx="41">
                  <c:v>60/61</c:v>
                </c:pt>
                <c:pt idx="42">
                  <c:v>61/62</c:v>
                </c:pt>
                <c:pt idx="43">
                  <c:v>62/63</c:v>
                </c:pt>
                <c:pt idx="44">
                  <c:v>63/64</c:v>
                </c:pt>
                <c:pt idx="45">
                  <c:v>64/65</c:v>
                </c:pt>
                <c:pt idx="46">
                  <c:v>65/66</c:v>
                </c:pt>
                <c:pt idx="47">
                  <c:v>66/67</c:v>
                </c:pt>
                <c:pt idx="48">
                  <c:v>67/68</c:v>
                </c:pt>
                <c:pt idx="49">
                  <c:v>68/69</c:v>
                </c:pt>
                <c:pt idx="50">
                  <c:v>69/70</c:v>
                </c:pt>
                <c:pt idx="51">
                  <c:v>70/71</c:v>
                </c:pt>
                <c:pt idx="52">
                  <c:v>71/72</c:v>
                </c:pt>
                <c:pt idx="53">
                  <c:v>72/73</c:v>
                </c:pt>
                <c:pt idx="54">
                  <c:v>73/74</c:v>
                </c:pt>
                <c:pt idx="55">
                  <c:v>74/75</c:v>
                </c:pt>
                <c:pt idx="56">
                  <c:v>75/76</c:v>
                </c:pt>
                <c:pt idx="57">
                  <c:v>76/77</c:v>
                </c:pt>
                <c:pt idx="58">
                  <c:v>77/78</c:v>
                </c:pt>
                <c:pt idx="59">
                  <c:v>78/79</c:v>
                </c:pt>
                <c:pt idx="60">
                  <c:v>79/80</c:v>
                </c:pt>
                <c:pt idx="61">
                  <c:v>80/81</c:v>
                </c:pt>
                <c:pt idx="62">
                  <c:v>81/82</c:v>
                </c:pt>
                <c:pt idx="63">
                  <c:v>82/83</c:v>
                </c:pt>
                <c:pt idx="64">
                  <c:v>83/84</c:v>
                </c:pt>
                <c:pt idx="65">
                  <c:v>84/85</c:v>
                </c:pt>
                <c:pt idx="66">
                  <c:v>85/86</c:v>
                </c:pt>
                <c:pt idx="67">
                  <c:v>86/87</c:v>
                </c:pt>
                <c:pt idx="68">
                  <c:v>87/88</c:v>
                </c:pt>
              </c:strCache>
            </c:strRef>
          </c:cat>
          <c:val>
            <c:numRef>
              <c:f>[0]!Graph_Concept</c:f>
              <c:numCache>
                <c:formatCode>"£"#,##0_);\("£"#,##0\)</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6178.9349500000008</c:v>
                </c:pt>
                <c:pt idx="18">
                  <c:v>4296.6543500000007</c:v>
                </c:pt>
                <c:pt idx="19">
                  <c:v>4296.6543500000007</c:v>
                </c:pt>
                <c:pt idx="20">
                  <c:v>4296.6543500000007</c:v>
                </c:pt>
                <c:pt idx="21">
                  <c:v>4296.6543500000007</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c:ext xmlns:c16="http://schemas.microsoft.com/office/drawing/2014/chart" uri="{C3380CC4-5D6E-409C-BE32-E72D297353CC}">
              <c16:uniqueId val="{00000002-556F-4918-88A7-988FCAFBDBD4}"/>
            </c:ext>
          </c:extLst>
        </c:ser>
        <c:ser>
          <c:idx val="1"/>
          <c:order val="1"/>
          <c:tx>
            <c:strRef>
              <c:f>Graphs!$D$36</c:f>
              <c:strCache>
                <c:ptCount val="1"/>
                <c:pt idx="0">
                  <c:v>Assessment</c:v>
                </c:pt>
              </c:strCache>
            </c:strRef>
          </c:tx>
          <c:spPr>
            <a:ln w="28575" cap="rnd">
              <a:solidFill>
                <a:schemeClr val="accent2"/>
              </a:solidFill>
              <a:round/>
            </a:ln>
            <a:effectLst/>
          </c:spPr>
          <c:marker>
            <c:symbol val="none"/>
          </c:marker>
          <c:val>
            <c:numRef>
              <c:f>[0]!Graph_Assessment</c:f>
              <c:numCache>
                <c:formatCode>"£"#,##0_);\("£"#,##0\)</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10596.887650000001</c:v>
                </c:pt>
                <c:pt idx="18">
                  <c:v>12996.887650000001</c:v>
                </c:pt>
                <c:pt idx="19">
                  <c:v>10596.887650000001</c:v>
                </c:pt>
                <c:pt idx="20">
                  <c:v>10596.887650000001</c:v>
                </c:pt>
                <c:pt idx="21">
                  <c:v>10596.887650000001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c:ext xmlns:c16="http://schemas.microsoft.com/office/drawing/2014/chart" uri="{C3380CC4-5D6E-409C-BE32-E72D297353CC}">
              <c16:uniqueId val="{00000005-556F-4918-88A7-988FCAFBDBD4}"/>
            </c:ext>
          </c:extLst>
        </c:ser>
        <c:ser>
          <c:idx val="2"/>
          <c:order val="2"/>
          <c:tx>
            <c:strRef>
              <c:f>Graphs!$D$37</c:f>
              <c:strCache>
                <c:ptCount val="1"/>
                <c:pt idx="0">
                  <c:v>Design</c:v>
                </c:pt>
              </c:strCache>
            </c:strRef>
          </c:tx>
          <c:spPr>
            <a:ln w="28575" cap="rnd">
              <a:solidFill>
                <a:schemeClr val="accent3"/>
              </a:solidFill>
              <a:round/>
            </a:ln>
            <a:effectLst/>
          </c:spPr>
          <c:marker>
            <c:symbol val="none"/>
          </c:marker>
          <c:val>
            <c:numRef>
              <c:f>[0]!Graph_Design</c:f>
              <c:numCache>
                <c:formatCode>"£"#,##0_);\("£"#,##0\)</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15688.686399999999</c:v>
                </c:pt>
                <c:pt idx="18">
                  <c:v>15688.686399999999</c:v>
                </c:pt>
                <c:pt idx="19">
                  <c:v>18088.686399999999</c:v>
                </c:pt>
                <c:pt idx="20">
                  <c:v>15688.686399999999</c:v>
                </c:pt>
                <c:pt idx="21">
                  <c:v>15688.686399999999</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c:ext xmlns:c16="http://schemas.microsoft.com/office/drawing/2014/chart" uri="{C3380CC4-5D6E-409C-BE32-E72D297353CC}">
              <c16:uniqueId val="{00000006-556F-4918-88A7-988FCAFBDBD4}"/>
            </c:ext>
          </c:extLst>
        </c:ser>
        <c:ser>
          <c:idx val="3"/>
          <c:order val="3"/>
          <c:tx>
            <c:strRef>
              <c:f>Graphs!$D$38</c:f>
              <c:strCache>
                <c:ptCount val="1"/>
                <c:pt idx="0">
                  <c:v>Manufacture</c:v>
                </c:pt>
              </c:strCache>
            </c:strRef>
          </c:tx>
          <c:spPr>
            <a:ln w="28575" cap="rnd">
              <a:solidFill>
                <a:schemeClr val="accent4"/>
              </a:solidFill>
              <a:round/>
            </a:ln>
            <a:effectLst/>
          </c:spPr>
          <c:marker>
            <c:symbol val="none"/>
          </c:marker>
          <c:val>
            <c:numRef>
              <c:f>[0]!Graph_Manufacture</c:f>
              <c:numCache>
                <c:formatCode>"£"#,##0_);\("£"#,##0\)</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2400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c:ext xmlns:c16="http://schemas.microsoft.com/office/drawing/2014/chart" uri="{C3380CC4-5D6E-409C-BE32-E72D297353CC}">
              <c16:uniqueId val="{00000007-556F-4918-88A7-988FCAFBDBD4}"/>
            </c:ext>
          </c:extLst>
        </c:ser>
        <c:ser>
          <c:idx val="4"/>
          <c:order val="4"/>
          <c:tx>
            <c:strRef>
              <c:f>Graphs!$D$39</c:f>
              <c:strCache>
                <c:ptCount val="1"/>
                <c:pt idx="0">
                  <c:v>In-Service</c:v>
                </c:pt>
              </c:strCache>
            </c:strRef>
          </c:tx>
          <c:spPr>
            <a:ln w="28575" cap="rnd">
              <a:solidFill>
                <a:schemeClr val="accent5"/>
              </a:solidFill>
              <a:round/>
            </a:ln>
            <a:effectLst/>
          </c:spPr>
          <c:marker>
            <c:symbol val="none"/>
          </c:marker>
          <c:val>
            <c:numRef>
              <c:f>[0]!Graph_InService</c:f>
              <c:numCache>
                <c:formatCode>"£"#,##0_);\("£"#,##0\)</c:formatCode>
                <c:ptCount val="6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1901.1872499999999</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numCache>
            </c:numRef>
          </c:val>
          <c:smooth val="0"/>
          <c:extLst>
            <c:ext xmlns:c16="http://schemas.microsoft.com/office/drawing/2014/chart" uri="{C3380CC4-5D6E-409C-BE32-E72D297353CC}">
              <c16:uniqueId val="{00000008-556F-4918-88A7-988FCAFBDBD4}"/>
            </c:ext>
          </c:extLst>
        </c:ser>
        <c:dLbls>
          <c:showLegendKey val="0"/>
          <c:showVal val="0"/>
          <c:showCatName val="0"/>
          <c:showSerName val="0"/>
          <c:showPercent val="0"/>
          <c:showBubbleSize val="0"/>
        </c:dLbls>
        <c:smooth val="0"/>
        <c:axId val="593111512"/>
        <c:axId val="593113480"/>
      </c:lineChart>
      <c:catAx>
        <c:axId val="593111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113480"/>
        <c:crosses val="autoZero"/>
        <c:auto val="1"/>
        <c:lblAlgn val="ctr"/>
        <c:lblOffset val="100"/>
        <c:noMultiLvlLbl val="0"/>
      </c:catAx>
      <c:valAx>
        <c:axId val="5931134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1115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185766719988407E-2"/>
          <c:y val="7.6335877862595422E-2"/>
          <c:w val="0.93124929896583442"/>
          <c:h val="0.7052438340245637"/>
        </c:manualLayout>
      </c:layout>
      <c:lineChart>
        <c:grouping val="stacked"/>
        <c:varyColors val="0"/>
        <c:ser>
          <c:idx val="0"/>
          <c:order val="0"/>
          <c:tx>
            <c:strRef>
              <c:f>Graphs!$D$18</c:f>
              <c:strCache>
                <c:ptCount val="1"/>
                <c:pt idx="0">
                  <c:v>Total</c:v>
                </c:pt>
              </c:strCache>
            </c:strRef>
          </c:tx>
          <c:spPr>
            <a:ln w="28575" cap="rnd">
              <a:solidFill>
                <a:schemeClr val="accent1"/>
              </a:solidFill>
              <a:round/>
            </a:ln>
            <a:effectLst/>
          </c:spPr>
          <c:marker>
            <c:symbol val="none"/>
          </c:marker>
          <c:cat>
            <c:strRef>
              <c:f>[0]!Graph_Timeline_Total</c:f>
              <c:strCache>
                <c:ptCount val="74"/>
                <c:pt idx="0">
                  <c:v>19/20</c:v>
                </c:pt>
                <c:pt idx="1">
                  <c:v>20/21</c:v>
                </c:pt>
                <c:pt idx="2">
                  <c:v>21/22</c:v>
                </c:pt>
                <c:pt idx="3">
                  <c:v>22/23</c:v>
                </c:pt>
                <c:pt idx="4">
                  <c:v>23/24</c:v>
                </c:pt>
                <c:pt idx="5">
                  <c:v>24/25</c:v>
                </c:pt>
                <c:pt idx="6">
                  <c:v>25/26</c:v>
                </c:pt>
                <c:pt idx="7">
                  <c:v>26/27</c:v>
                </c:pt>
                <c:pt idx="8">
                  <c:v>27/28</c:v>
                </c:pt>
                <c:pt idx="9">
                  <c:v>28/29</c:v>
                </c:pt>
                <c:pt idx="10">
                  <c:v>29/30</c:v>
                </c:pt>
                <c:pt idx="11">
                  <c:v>30/31</c:v>
                </c:pt>
                <c:pt idx="12">
                  <c:v>31/32</c:v>
                </c:pt>
                <c:pt idx="13">
                  <c:v>32/33</c:v>
                </c:pt>
                <c:pt idx="14">
                  <c:v>33/34</c:v>
                </c:pt>
                <c:pt idx="15">
                  <c:v>34/35</c:v>
                </c:pt>
                <c:pt idx="16">
                  <c:v>35/36</c:v>
                </c:pt>
                <c:pt idx="17">
                  <c:v>36/37</c:v>
                </c:pt>
                <c:pt idx="18">
                  <c:v>37/38</c:v>
                </c:pt>
                <c:pt idx="19">
                  <c:v>38/39</c:v>
                </c:pt>
                <c:pt idx="20">
                  <c:v>39/40</c:v>
                </c:pt>
                <c:pt idx="21">
                  <c:v>40/41</c:v>
                </c:pt>
                <c:pt idx="22">
                  <c:v>41/42</c:v>
                </c:pt>
                <c:pt idx="23">
                  <c:v>42/43</c:v>
                </c:pt>
                <c:pt idx="24">
                  <c:v>43/44</c:v>
                </c:pt>
                <c:pt idx="25">
                  <c:v>44/45</c:v>
                </c:pt>
                <c:pt idx="26">
                  <c:v>45/46</c:v>
                </c:pt>
                <c:pt idx="27">
                  <c:v>46/47</c:v>
                </c:pt>
                <c:pt idx="28">
                  <c:v>47/48</c:v>
                </c:pt>
                <c:pt idx="29">
                  <c:v>48/49</c:v>
                </c:pt>
                <c:pt idx="30">
                  <c:v>49/50</c:v>
                </c:pt>
                <c:pt idx="31">
                  <c:v>50/51</c:v>
                </c:pt>
                <c:pt idx="32">
                  <c:v>51/52</c:v>
                </c:pt>
                <c:pt idx="33">
                  <c:v>52/53</c:v>
                </c:pt>
                <c:pt idx="34">
                  <c:v>53/54</c:v>
                </c:pt>
                <c:pt idx="35">
                  <c:v>54/55</c:v>
                </c:pt>
                <c:pt idx="36">
                  <c:v>55/56</c:v>
                </c:pt>
                <c:pt idx="37">
                  <c:v>56/57</c:v>
                </c:pt>
                <c:pt idx="38">
                  <c:v>57/58</c:v>
                </c:pt>
                <c:pt idx="39">
                  <c:v>58/59</c:v>
                </c:pt>
                <c:pt idx="40">
                  <c:v>59/60</c:v>
                </c:pt>
                <c:pt idx="41">
                  <c:v>60/61</c:v>
                </c:pt>
                <c:pt idx="42">
                  <c:v>61/62</c:v>
                </c:pt>
                <c:pt idx="43">
                  <c:v>62/63</c:v>
                </c:pt>
                <c:pt idx="44">
                  <c:v>63/64</c:v>
                </c:pt>
                <c:pt idx="45">
                  <c:v>64/65</c:v>
                </c:pt>
                <c:pt idx="46">
                  <c:v>65/66</c:v>
                </c:pt>
                <c:pt idx="47">
                  <c:v>66/67</c:v>
                </c:pt>
                <c:pt idx="48">
                  <c:v>67/68</c:v>
                </c:pt>
                <c:pt idx="49">
                  <c:v>68/69</c:v>
                </c:pt>
                <c:pt idx="50">
                  <c:v>69/70</c:v>
                </c:pt>
                <c:pt idx="51">
                  <c:v>70/71</c:v>
                </c:pt>
                <c:pt idx="52">
                  <c:v>71/72</c:v>
                </c:pt>
                <c:pt idx="53">
                  <c:v>72/73</c:v>
                </c:pt>
                <c:pt idx="54">
                  <c:v>73/74</c:v>
                </c:pt>
                <c:pt idx="55">
                  <c:v>74/75</c:v>
                </c:pt>
                <c:pt idx="56">
                  <c:v>75/76</c:v>
                </c:pt>
                <c:pt idx="57">
                  <c:v>76/77</c:v>
                </c:pt>
                <c:pt idx="58">
                  <c:v>77/78</c:v>
                </c:pt>
                <c:pt idx="59">
                  <c:v>78/79</c:v>
                </c:pt>
                <c:pt idx="60">
                  <c:v>79/80</c:v>
                </c:pt>
                <c:pt idx="61">
                  <c:v>80/81</c:v>
                </c:pt>
                <c:pt idx="62">
                  <c:v>81/82</c:v>
                </c:pt>
                <c:pt idx="63">
                  <c:v>82/83</c:v>
                </c:pt>
                <c:pt idx="64">
                  <c:v>83/84</c:v>
                </c:pt>
                <c:pt idx="65">
                  <c:v>84/85</c:v>
                </c:pt>
                <c:pt idx="66">
                  <c:v>85/86</c:v>
                </c:pt>
                <c:pt idx="67">
                  <c:v>86/87</c:v>
                </c:pt>
                <c:pt idx="68">
                  <c:v>87/88</c:v>
                </c:pt>
                <c:pt idx="69">
                  <c:v>88/89</c:v>
                </c:pt>
                <c:pt idx="70">
                  <c:v>89/90</c:v>
                </c:pt>
                <c:pt idx="71">
                  <c:v>90/91</c:v>
                </c:pt>
                <c:pt idx="72">
                  <c:v>91/92</c:v>
                </c:pt>
                <c:pt idx="73">
                  <c:v>92/93</c:v>
                </c:pt>
              </c:strCache>
            </c:strRef>
          </c:cat>
          <c:val>
            <c:numRef>
              <c:f>[0]!Graph_Total</c:f>
              <c:numCache>
                <c:formatCode>"£"#,##0_);\("£"#,##0\)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32464.508999999998</c:v>
                </c:pt>
                <c:pt idx="18">
                  <c:v>32982.2284</c:v>
                </c:pt>
                <c:pt idx="19">
                  <c:v>32982.2284</c:v>
                </c:pt>
                <c:pt idx="20">
                  <c:v>32982.2284</c:v>
                </c:pt>
                <c:pt idx="21">
                  <c:v>32483.415649999999</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c:ext xmlns:c16="http://schemas.microsoft.com/office/drawing/2014/chart" uri="{C3380CC4-5D6E-409C-BE32-E72D297353CC}">
              <c16:uniqueId val="{00000000-209D-4011-B971-55D5DC1233D0}"/>
            </c:ext>
          </c:extLst>
        </c:ser>
        <c:dLbls>
          <c:showLegendKey val="0"/>
          <c:showVal val="0"/>
          <c:showCatName val="0"/>
          <c:showSerName val="0"/>
          <c:showPercent val="0"/>
          <c:showBubbleSize val="0"/>
        </c:dLbls>
        <c:smooth val="0"/>
        <c:axId val="593111512"/>
        <c:axId val="593113480"/>
      </c:lineChart>
      <c:catAx>
        <c:axId val="593111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113480"/>
        <c:crosses val="autoZero"/>
        <c:auto val="1"/>
        <c:lblAlgn val="ctr"/>
        <c:lblOffset val="100"/>
        <c:noMultiLvlLbl val="0"/>
      </c:catAx>
      <c:valAx>
        <c:axId val="5931134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1115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Graphs!$D$47</c:f>
              <c:strCache>
                <c:ptCount val="1"/>
                <c:pt idx="0">
                  <c:v>Concept</c:v>
                </c:pt>
              </c:strCache>
            </c:strRef>
          </c:tx>
          <c:spPr>
            <a:solidFill>
              <a:schemeClr val="accent1"/>
            </a:solidFill>
            <a:ln>
              <a:noFill/>
            </a:ln>
            <a:effectLst/>
          </c:spPr>
          <c:invertIfNegative val="0"/>
          <c:cat>
            <c:strRef>
              <c:f>Graphs!$F$46:$H$46</c:f>
              <c:strCache>
                <c:ptCount val="3"/>
                <c:pt idx="0">
                  <c:v>Constant</c:v>
                </c:pt>
                <c:pt idx="1">
                  <c:v>Outturn</c:v>
                </c:pt>
                <c:pt idx="2">
                  <c:v>NPV</c:v>
                </c:pt>
              </c:strCache>
            </c:strRef>
          </c:cat>
          <c:val>
            <c:numRef>
              <c:f>Graphs!$F$47:$H$47</c:f>
              <c:numCache>
                <c:formatCode>"£"#,##0_);\("£"#,##0\)</c:formatCode>
                <c:ptCount val="3"/>
                <c:pt idx="0">
                  <c:v>19471.293550000002</c:v>
                </c:pt>
                <c:pt idx="1">
                  <c:v>23365.552299999999</c:v>
                </c:pt>
                <c:pt idx="2">
                  <c:v>6750.7270499999995</c:v>
                </c:pt>
              </c:numCache>
            </c:numRef>
          </c:val>
          <c:extLst>
            <c:ext xmlns:c16="http://schemas.microsoft.com/office/drawing/2014/chart" uri="{C3380CC4-5D6E-409C-BE32-E72D297353CC}">
              <c16:uniqueId val="{00000000-F760-4531-AE82-E82EF6CDB19A}"/>
            </c:ext>
          </c:extLst>
        </c:ser>
        <c:ser>
          <c:idx val="1"/>
          <c:order val="1"/>
          <c:tx>
            <c:strRef>
              <c:f>Graphs!$D$48</c:f>
              <c:strCache>
                <c:ptCount val="1"/>
                <c:pt idx="0">
                  <c:v>Assessment</c:v>
                </c:pt>
              </c:strCache>
            </c:strRef>
          </c:tx>
          <c:spPr>
            <a:solidFill>
              <a:schemeClr val="accent2"/>
            </a:solidFill>
            <a:ln>
              <a:noFill/>
            </a:ln>
            <a:effectLst/>
          </c:spPr>
          <c:invertIfNegative val="0"/>
          <c:cat>
            <c:strRef>
              <c:f>Graphs!$F$46:$H$46</c:f>
              <c:strCache>
                <c:ptCount val="3"/>
                <c:pt idx="0">
                  <c:v>Constant</c:v>
                </c:pt>
                <c:pt idx="1">
                  <c:v>Outturn</c:v>
                </c:pt>
                <c:pt idx="2">
                  <c:v>NPV</c:v>
                </c:pt>
              </c:strCache>
            </c:strRef>
          </c:cat>
          <c:val>
            <c:numRef>
              <c:f>Graphs!$F$48:$H$48</c:f>
              <c:numCache>
                <c:formatCode>"£"#,##0_);\("£"#,##0\)</c:formatCode>
                <c:ptCount val="3"/>
                <c:pt idx="0">
                  <c:v>46153.698600000003</c:v>
                </c:pt>
                <c:pt idx="1">
                  <c:v>55384.438299999994</c:v>
                </c:pt>
                <c:pt idx="2">
                  <c:v>15889.644349999999</c:v>
                </c:pt>
              </c:numCache>
            </c:numRef>
          </c:val>
          <c:extLst>
            <c:ext xmlns:c16="http://schemas.microsoft.com/office/drawing/2014/chart" uri="{C3380CC4-5D6E-409C-BE32-E72D297353CC}">
              <c16:uniqueId val="{00000004-F760-4531-AE82-E82EF6CDB19A}"/>
            </c:ext>
          </c:extLst>
        </c:ser>
        <c:ser>
          <c:idx val="2"/>
          <c:order val="2"/>
          <c:tx>
            <c:strRef>
              <c:f>Graphs!$D$49</c:f>
              <c:strCache>
                <c:ptCount val="1"/>
                <c:pt idx="0">
                  <c:v>Design</c:v>
                </c:pt>
              </c:strCache>
            </c:strRef>
          </c:tx>
          <c:spPr>
            <a:solidFill>
              <a:schemeClr val="accent3"/>
            </a:solidFill>
            <a:ln>
              <a:noFill/>
            </a:ln>
            <a:effectLst/>
          </c:spPr>
          <c:invertIfNegative val="0"/>
          <c:cat>
            <c:strRef>
              <c:f>Graphs!$F$46:$H$46</c:f>
              <c:strCache>
                <c:ptCount val="3"/>
                <c:pt idx="0">
                  <c:v>Constant</c:v>
                </c:pt>
                <c:pt idx="1">
                  <c:v>Outturn</c:v>
                </c:pt>
                <c:pt idx="2">
                  <c:v>NPV</c:v>
                </c:pt>
              </c:strCache>
            </c:strRef>
          </c:cat>
          <c:val>
            <c:numRef>
              <c:f>Graphs!$F$49:$H$49</c:f>
              <c:numCache>
                <c:formatCode>"£"#,##0_);\("£"#,##0\)</c:formatCode>
                <c:ptCount val="3"/>
                <c:pt idx="0">
                  <c:v>67369.52665</c:v>
                </c:pt>
                <c:pt idx="1">
                  <c:v>80843.431949999998</c:v>
                </c:pt>
                <c:pt idx="2">
                  <c:v>23136.019350000002</c:v>
                </c:pt>
              </c:numCache>
            </c:numRef>
          </c:val>
          <c:extLst>
            <c:ext xmlns:c16="http://schemas.microsoft.com/office/drawing/2014/chart" uri="{C3380CC4-5D6E-409C-BE32-E72D297353CC}">
              <c16:uniqueId val="{00000005-F760-4531-AE82-E82EF6CDB19A}"/>
            </c:ext>
          </c:extLst>
        </c:ser>
        <c:ser>
          <c:idx val="3"/>
          <c:order val="3"/>
          <c:tx>
            <c:strRef>
              <c:f>Graphs!$D$50</c:f>
              <c:strCache>
                <c:ptCount val="1"/>
                <c:pt idx="0">
                  <c:v>Manufacture</c:v>
                </c:pt>
              </c:strCache>
            </c:strRef>
          </c:tx>
          <c:spPr>
            <a:solidFill>
              <a:schemeClr val="accent4"/>
            </a:solidFill>
            <a:ln>
              <a:noFill/>
            </a:ln>
            <a:effectLst/>
          </c:spPr>
          <c:invertIfNegative val="0"/>
          <c:cat>
            <c:strRef>
              <c:f>Graphs!$F$46:$H$46</c:f>
              <c:strCache>
                <c:ptCount val="3"/>
                <c:pt idx="0">
                  <c:v>Constant</c:v>
                </c:pt>
                <c:pt idx="1">
                  <c:v>Outturn</c:v>
                </c:pt>
                <c:pt idx="2">
                  <c:v>NPV</c:v>
                </c:pt>
              </c:strCache>
            </c:strRef>
          </c:cat>
          <c:val>
            <c:numRef>
              <c:f>Graphs!$F$50:$H$50</c:f>
              <c:numCache>
                <c:formatCode>"£"#,##0_);\("£"#,##0\)</c:formatCode>
                <c:ptCount val="3"/>
                <c:pt idx="0">
                  <c:v>2000</c:v>
                </c:pt>
                <c:pt idx="1">
                  <c:v>2400</c:v>
                </c:pt>
                <c:pt idx="2">
                  <c:v>646.64239999999995</c:v>
                </c:pt>
              </c:numCache>
            </c:numRef>
          </c:val>
          <c:extLst>
            <c:ext xmlns:c16="http://schemas.microsoft.com/office/drawing/2014/chart" uri="{C3380CC4-5D6E-409C-BE32-E72D297353CC}">
              <c16:uniqueId val="{00000006-F760-4531-AE82-E82EF6CDB19A}"/>
            </c:ext>
          </c:extLst>
        </c:ser>
        <c:ser>
          <c:idx val="4"/>
          <c:order val="4"/>
          <c:tx>
            <c:strRef>
              <c:f>Graphs!$D$51</c:f>
              <c:strCache>
                <c:ptCount val="1"/>
                <c:pt idx="0">
                  <c:v>In-Service</c:v>
                </c:pt>
              </c:strCache>
            </c:strRef>
          </c:tx>
          <c:spPr>
            <a:solidFill>
              <a:schemeClr val="accent5"/>
            </a:solidFill>
            <a:ln>
              <a:noFill/>
            </a:ln>
            <a:effectLst/>
          </c:spPr>
          <c:invertIfNegative val="0"/>
          <c:cat>
            <c:strRef>
              <c:f>Graphs!$F$46:$H$46</c:f>
              <c:strCache>
                <c:ptCount val="3"/>
                <c:pt idx="0">
                  <c:v>Constant</c:v>
                </c:pt>
                <c:pt idx="1">
                  <c:v>Outturn</c:v>
                </c:pt>
                <c:pt idx="2">
                  <c:v>NPV</c:v>
                </c:pt>
              </c:strCache>
            </c:strRef>
          </c:cat>
          <c:val>
            <c:numRef>
              <c:f>Graphs!$F$51:$H$51</c:f>
              <c:numCache>
                <c:formatCode>"£"#,##0_);\("£"#,##0\)</c:formatCode>
                <c:ptCount val="3"/>
                <c:pt idx="0">
                  <c:v>1584.3227000000002</c:v>
                </c:pt>
                <c:pt idx="1">
                  <c:v>1901.1872499999999</c:v>
                </c:pt>
                <c:pt idx="2">
                  <c:v>483.79544999999996</c:v>
                </c:pt>
              </c:numCache>
            </c:numRef>
          </c:val>
          <c:extLst>
            <c:ext xmlns:c16="http://schemas.microsoft.com/office/drawing/2014/chart" uri="{C3380CC4-5D6E-409C-BE32-E72D297353CC}">
              <c16:uniqueId val="{00000007-F760-4531-AE82-E82EF6CDB19A}"/>
            </c:ext>
          </c:extLst>
        </c:ser>
        <c:dLbls>
          <c:showLegendKey val="0"/>
          <c:showVal val="0"/>
          <c:showCatName val="0"/>
          <c:showSerName val="0"/>
          <c:showPercent val="0"/>
          <c:showBubbleSize val="0"/>
        </c:dLbls>
        <c:gapWidth val="150"/>
        <c:overlap val="100"/>
        <c:axId val="214676000"/>
        <c:axId val="214672064"/>
      </c:barChart>
      <c:catAx>
        <c:axId val="21467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672064"/>
        <c:crosses val="autoZero"/>
        <c:auto val="1"/>
        <c:lblAlgn val="ctr"/>
        <c:lblOffset val="100"/>
        <c:noMultiLvlLbl val="0"/>
      </c:catAx>
      <c:valAx>
        <c:axId val="2146720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67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Graphs!$D$61</c:f>
              <c:strCache>
                <c:ptCount val="1"/>
                <c:pt idx="0">
                  <c:v>Training</c:v>
                </c:pt>
              </c:strCache>
            </c:strRef>
          </c:tx>
          <c:spPr>
            <a:solidFill>
              <a:schemeClr val="accent1"/>
            </a:solidFill>
            <a:ln>
              <a:noFill/>
            </a:ln>
            <a:effectLst/>
          </c:spPr>
          <c:invertIfNegative val="0"/>
          <c:cat>
            <c:strRef>
              <c:f>Graphs!$F$60:$H$60</c:f>
              <c:strCache>
                <c:ptCount val="3"/>
                <c:pt idx="0">
                  <c:v>Constant</c:v>
                </c:pt>
                <c:pt idx="1">
                  <c:v>Outturn</c:v>
                </c:pt>
                <c:pt idx="2">
                  <c:v>NPV</c:v>
                </c:pt>
              </c:strCache>
            </c:strRef>
          </c:cat>
          <c:val>
            <c:numRef>
              <c:f>Graphs!$F$61:$H$61</c:f>
              <c:numCache>
                <c:formatCode>"£"#,##0_);\("£"#,##0\)</c:formatCode>
                <c:ptCount val="3"/>
                <c:pt idx="0">
                  <c:v>66938.093800000002</c:v>
                </c:pt>
                <c:pt idx="1">
                  <c:v>80325.712549999997</c:v>
                </c:pt>
                <c:pt idx="2">
                  <c:v>23053.33555</c:v>
                </c:pt>
              </c:numCache>
            </c:numRef>
          </c:val>
          <c:extLst>
            <c:ext xmlns:c16="http://schemas.microsoft.com/office/drawing/2014/chart" uri="{C3380CC4-5D6E-409C-BE32-E72D297353CC}">
              <c16:uniqueId val="{00000000-5DFC-45E8-ACC9-8A26A534A24B}"/>
            </c:ext>
          </c:extLst>
        </c:ser>
        <c:ser>
          <c:idx val="1"/>
          <c:order val="1"/>
          <c:tx>
            <c:strRef>
              <c:f>Graphs!$D$62</c:f>
              <c:strCache>
                <c:ptCount val="1"/>
                <c:pt idx="0">
                  <c:v>Equipment</c:v>
                </c:pt>
              </c:strCache>
            </c:strRef>
          </c:tx>
          <c:spPr>
            <a:solidFill>
              <a:schemeClr val="accent2"/>
            </a:solidFill>
            <a:ln>
              <a:noFill/>
            </a:ln>
            <a:effectLst/>
          </c:spPr>
          <c:invertIfNegative val="0"/>
          <c:cat>
            <c:strRef>
              <c:f>Graphs!$F$60:$H$60</c:f>
              <c:strCache>
                <c:ptCount val="3"/>
                <c:pt idx="0">
                  <c:v>Constant</c:v>
                </c:pt>
                <c:pt idx="1">
                  <c:v>Outturn</c:v>
                </c:pt>
                <c:pt idx="2">
                  <c:v>NPV</c:v>
                </c:pt>
              </c:strCache>
            </c:strRef>
          </c:cat>
          <c:val>
            <c:numRef>
              <c:f>Graphs!$F$62:$H$62</c:f>
              <c:numCache>
                <c:formatCode>"£"#,##0_);\("£"#,##0\)</c:formatCode>
                <c:ptCount val="3"/>
                <c:pt idx="0">
                  <c:v>2000</c:v>
                </c:pt>
                <c:pt idx="1">
                  <c:v>2400</c:v>
                </c:pt>
                <c:pt idx="2">
                  <c:v>724.93010000000004</c:v>
                </c:pt>
              </c:numCache>
            </c:numRef>
          </c:val>
          <c:extLst>
            <c:ext xmlns:c16="http://schemas.microsoft.com/office/drawing/2014/chart" uri="{C3380CC4-5D6E-409C-BE32-E72D297353CC}">
              <c16:uniqueId val="{00000001-5DFC-45E8-ACC9-8A26A534A24B}"/>
            </c:ext>
          </c:extLst>
        </c:ser>
        <c:ser>
          <c:idx val="2"/>
          <c:order val="2"/>
          <c:tx>
            <c:strRef>
              <c:f>Graphs!$D$63</c:f>
              <c:strCache>
                <c:ptCount val="1"/>
                <c:pt idx="0">
                  <c:v>Personnel</c:v>
                </c:pt>
              </c:strCache>
            </c:strRef>
          </c:tx>
          <c:spPr>
            <a:solidFill>
              <a:schemeClr val="accent3"/>
            </a:solidFill>
            <a:ln>
              <a:noFill/>
            </a:ln>
            <a:effectLst/>
          </c:spPr>
          <c:invertIfNegative val="0"/>
          <c:cat>
            <c:strRef>
              <c:f>Graphs!$F$60:$H$60</c:f>
              <c:strCache>
                <c:ptCount val="3"/>
                <c:pt idx="0">
                  <c:v>Constant</c:v>
                </c:pt>
                <c:pt idx="1">
                  <c:v>Outturn</c:v>
                </c:pt>
                <c:pt idx="2">
                  <c:v>NPV</c:v>
                </c:pt>
              </c:strCache>
            </c:strRef>
          </c:cat>
          <c:val>
            <c:numRef>
              <c:f>Graphs!$F$63:$H$63</c:f>
              <c:numCache>
                <c:formatCode>"£"#,##0_);\("£"#,##0\)</c:formatCode>
                <c:ptCount val="3"/>
                <c:pt idx="0">
                  <c:v>2000</c:v>
                </c:pt>
                <c:pt idx="1">
                  <c:v>2400</c:v>
                </c:pt>
                <c:pt idx="2">
                  <c:v>724.93010000000004</c:v>
                </c:pt>
              </c:numCache>
            </c:numRef>
          </c:val>
          <c:extLst>
            <c:ext xmlns:c16="http://schemas.microsoft.com/office/drawing/2014/chart" uri="{C3380CC4-5D6E-409C-BE32-E72D297353CC}">
              <c16:uniqueId val="{00000002-5DFC-45E8-ACC9-8A26A534A24B}"/>
            </c:ext>
          </c:extLst>
        </c:ser>
        <c:ser>
          <c:idx val="3"/>
          <c:order val="3"/>
          <c:tx>
            <c:strRef>
              <c:f>Graphs!$D$64</c:f>
              <c:strCache>
                <c:ptCount val="1"/>
                <c:pt idx="0">
                  <c:v>Information</c:v>
                </c:pt>
              </c:strCache>
            </c:strRef>
          </c:tx>
          <c:spPr>
            <a:solidFill>
              <a:schemeClr val="accent4"/>
            </a:solidFill>
            <a:ln>
              <a:noFill/>
            </a:ln>
            <a:effectLst/>
          </c:spPr>
          <c:invertIfNegative val="0"/>
          <c:cat>
            <c:strRef>
              <c:f>Graphs!$F$60:$H$60</c:f>
              <c:strCache>
                <c:ptCount val="3"/>
                <c:pt idx="0">
                  <c:v>Constant</c:v>
                </c:pt>
                <c:pt idx="1">
                  <c:v>Outturn</c:v>
                </c:pt>
                <c:pt idx="2">
                  <c:v>NPV</c:v>
                </c:pt>
              </c:strCache>
            </c:strRef>
          </c:cat>
          <c:val>
            <c:numRef>
              <c:f>Graphs!$F$64:$H$64</c:f>
              <c:numCache>
                <c:formatCode>"£"#,##0_);\("£"#,##0\)</c:formatCode>
                <c:ptCount val="3"/>
                <c:pt idx="0">
                  <c:v>2000</c:v>
                </c:pt>
                <c:pt idx="1">
                  <c:v>2400</c:v>
                </c:pt>
                <c:pt idx="2">
                  <c:v>724.93010000000004</c:v>
                </c:pt>
              </c:numCache>
            </c:numRef>
          </c:val>
          <c:extLst>
            <c:ext xmlns:c16="http://schemas.microsoft.com/office/drawing/2014/chart" uri="{C3380CC4-5D6E-409C-BE32-E72D297353CC}">
              <c16:uniqueId val="{00000003-5DFC-45E8-ACC9-8A26A534A24B}"/>
            </c:ext>
          </c:extLst>
        </c:ser>
        <c:ser>
          <c:idx val="4"/>
          <c:order val="4"/>
          <c:tx>
            <c:strRef>
              <c:f>Graphs!$D$65</c:f>
              <c:strCache>
                <c:ptCount val="1"/>
                <c:pt idx="0">
                  <c:v>Concepts and Doctrine</c:v>
                </c:pt>
              </c:strCache>
            </c:strRef>
          </c:tx>
          <c:spPr>
            <a:solidFill>
              <a:schemeClr val="accent5"/>
            </a:solidFill>
            <a:ln>
              <a:noFill/>
            </a:ln>
            <a:effectLst/>
          </c:spPr>
          <c:invertIfNegative val="0"/>
          <c:cat>
            <c:strRef>
              <c:f>Graphs!$F$60:$H$60</c:f>
              <c:strCache>
                <c:ptCount val="3"/>
                <c:pt idx="0">
                  <c:v>Constant</c:v>
                </c:pt>
                <c:pt idx="1">
                  <c:v>Outturn</c:v>
                </c:pt>
                <c:pt idx="2">
                  <c:v>NPV</c:v>
                </c:pt>
              </c:strCache>
            </c:strRef>
          </c:cat>
          <c:val>
            <c:numRef>
              <c:f>Graphs!$F$65:$H$65</c:f>
              <c:numCache>
                <c:formatCode>"£"#,##0_);\("£"#,##0\)</c:formatCode>
                <c:ptCount val="3"/>
                <c:pt idx="0">
                  <c:v>1584.3227000000002</c:v>
                </c:pt>
                <c:pt idx="1">
                  <c:v>1901.1872499999999</c:v>
                </c:pt>
                <c:pt idx="2">
                  <c:v>483.79544999999996</c:v>
                </c:pt>
              </c:numCache>
            </c:numRef>
          </c:val>
          <c:extLst>
            <c:ext xmlns:c16="http://schemas.microsoft.com/office/drawing/2014/chart" uri="{C3380CC4-5D6E-409C-BE32-E72D297353CC}">
              <c16:uniqueId val="{00000004-5DFC-45E8-ACC9-8A26A534A24B}"/>
            </c:ext>
          </c:extLst>
        </c:ser>
        <c:ser>
          <c:idx val="5"/>
          <c:order val="5"/>
          <c:tx>
            <c:strRef>
              <c:f>Graphs!$D$66</c:f>
              <c:strCache>
                <c:ptCount val="1"/>
                <c:pt idx="0">
                  <c:v>Organisation</c:v>
                </c:pt>
              </c:strCache>
            </c:strRef>
          </c:tx>
          <c:spPr>
            <a:solidFill>
              <a:schemeClr val="accent6"/>
            </a:solidFill>
            <a:ln>
              <a:noFill/>
            </a:ln>
            <a:effectLst/>
          </c:spPr>
          <c:invertIfNegative val="0"/>
          <c:cat>
            <c:strRef>
              <c:f>Graphs!$F$60:$H$60</c:f>
              <c:strCache>
                <c:ptCount val="3"/>
                <c:pt idx="0">
                  <c:v>Constant</c:v>
                </c:pt>
                <c:pt idx="1">
                  <c:v>Outturn</c:v>
                </c:pt>
                <c:pt idx="2">
                  <c:v>NPV</c:v>
                </c:pt>
              </c:strCache>
            </c:strRef>
          </c:cat>
          <c:val>
            <c:numRef>
              <c:f>Graphs!$F$66:$H$66</c:f>
              <c:numCache>
                <c:formatCode>"£"#,##0_);\("£"#,##0\)</c:formatCode>
                <c:ptCount val="3"/>
                <c:pt idx="0">
                  <c:v>9886.0418500000014</c:v>
                </c:pt>
                <c:pt idx="1">
                  <c:v>11863.250250000001</c:v>
                </c:pt>
                <c:pt idx="2">
                  <c:v>3395.3894</c:v>
                </c:pt>
              </c:numCache>
            </c:numRef>
          </c:val>
          <c:extLst>
            <c:ext xmlns:c16="http://schemas.microsoft.com/office/drawing/2014/chart" uri="{C3380CC4-5D6E-409C-BE32-E72D297353CC}">
              <c16:uniqueId val="{00000000-426E-43EA-86BF-1902E0BEE3AE}"/>
            </c:ext>
          </c:extLst>
        </c:ser>
        <c:ser>
          <c:idx val="6"/>
          <c:order val="6"/>
          <c:tx>
            <c:strRef>
              <c:f>Graphs!$D$67</c:f>
              <c:strCache>
                <c:ptCount val="1"/>
                <c:pt idx="0">
                  <c:v>Infrastructure</c:v>
                </c:pt>
              </c:strCache>
            </c:strRef>
          </c:tx>
          <c:spPr>
            <a:solidFill>
              <a:schemeClr val="accent1">
                <a:lumMod val="60000"/>
              </a:schemeClr>
            </a:solidFill>
            <a:ln>
              <a:noFill/>
            </a:ln>
            <a:effectLst/>
          </c:spPr>
          <c:invertIfNegative val="0"/>
          <c:cat>
            <c:strRef>
              <c:f>Graphs!$F$60:$H$60</c:f>
              <c:strCache>
                <c:ptCount val="3"/>
                <c:pt idx="0">
                  <c:v>Constant</c:v>
                </c:pt>
                <c:pt idx="1">
                  <c:v>Outturn</c:v>
                </c:pt>
                <c:pt idx="2">
                  <c:v>NPV</c:v>
                </c:pt>
              </c:strCache>
            </c:strRef>
          </c:cat>
          <c:val>
            <c:numRef>
              <c:f>Graphs!$F$67:$H$67</c:f>
              <c:numCache>
                <c:formatCode>"£"#,##0_);\("£"#,##0\)</c:formatCode>
                <c:ptCount val="3"/>
                <c:pt idx="0">
                  <c:v>17902.7264</c:v>
                </c:pt>
                <c:pt idx="1">
                  <c:v>21483.271700000001</c:v>
                </c:pt>
                <c:pt idx="2">
                  <c:v>6148.7426500000001</c:v>
                </c:pt>
              </c:numCache>
            </c:numRef>
          </c:val>
          <c:extLst>
            <c:ext xmlns:c16="http://schemas.microsoft.com/office/drawing/2014/chart" uri="{C3380CC4-5D6E-409C-BE32-E72D297353CC}">
              <c16:uniqueId val="{00000001-426E-43EA-86BF-1902E0BEE3AE}"/>
            </c:ext>
          </c:extLst>
        </c:ser>
        <c:ser>
          <c:idx val="7"/>
          <c:order val="7"/>
          <c:tx>
            <c:strRef>
              <c:f>Graphs!$D$68</c:f>
              <c:strCache>
                <c:ptCount val="1"/>
                <c:pt idx="0">
                  <c:v>Logistics</c:v>
                </c:pt>
              </c:strCache>
            </c:strRef>
          </c:tx>
          <c:spPr>
            <a:solidFill>
              <a:schemeClr val="accent2">
                <a:lumMod val="60000"/>
              </a:schemeClr>
            </a:solidFill>
            <a:ln>
              <a:noFill/>
            </a:ln>
            <a:effectLst/>
          </c:spPr>
          <c:invertIfNegative val="0"/>
          <c:cat>
            <c:strRef>
              <c:f>Graphs!$F$60:$H$60</c:f>
              <c:strCache>
                <c:ptCount val="3"/>
                <c:pt idx="0">
                  <c:v>Constant</c:v>
                </c:pt>
                <c:pt idx="1">
                  <c:v>Outturn</c:v>
                </c:pt>
                <c:pt idx="2">
                  <c:v>NPV</c:v>
                </c:pt>
              </c:strCache>
            </c:strRef>
          </c:cat>
          <c:val>
            <c:numRef>
              <c:f>Graphs!$F$68:$H$68</c:f>
              <c:numCache>
                <c:formatCode>"£"#,##0_);\("£"#,##0\)</c:formatCode>
                <c:ptCount val="3"/>
                <c:pt idx="0">
                  <c:v>34285.972450000001</c:v>
                </c:pt>
                <c:pt idx="1">
                  <c:v>41143.166849999994</c:v>
                </c:pt>
                <c:pt idx="2">
                  <c:v>11775.615449999999</c:v>
                </c:pt>
              </c:numCache>
            </c:numRef>
          </c:val>
          <c:extLst>
            <c:ext xmlns:c16="http://schemas.microsoft.com/office/drawing/2014/chart" uri="{C3380CC4-5D6E-409C-BE32-E72D297353CC}">
              <c16:uniqueId val="{00000002-426E-43EA-86BF-1902E0BEE3AE}"/>
            </c:ext>
          </c:extLst>
        </c:ser>
        <c:dLbls>
          <c:showLegendKey val="0"/>
          <c:showVal val="0"/>
          <c:showCatName val="0"/>
          <c:showSerName val="0"/>
          <c:showPercent val="0"/>
          <c:showBubbleSize val="0"/>
        </c:dLbls>
        <c:gapWidth val="150"/>
        <c:overlap val="100"/>
        <c:axId val="214676000"/>
        <c:axId val="214672064"/>
      </c:barChart>
      <c:catAx>
        <c:axId val="21467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672064"/>
        <c:crosses val="autoZero"/>
        <c:auto val="1"/>
        <c:lblAlgn val="ctr"/>
        <c:lblOffset val="100"/>
        <c:noMultiLvlLbl val="0"/>
      </c:catAx>
      <c:valAx>
        <c:axId val="2146720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67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247117844446662E-2"/>
          <c:y val="4.491498235482836E-2"/>
          <c:w val="0.88928635502840625"/>
          <c:h val="0.92552701845859253"/>
        </c:manualLayout>
      </c:layout>
      <c:barChart>
        <c:barDir val="col"/>
        <c:grouping val="clustered"/>
        <c:varyColors val="0"/>
        <c:ser>
          <c:idx val="0"/>
          <c:order val="0"/>
          <c:tx>
            <c:strRef>
              <c:f>Histogram!$F$10</c:f>
              <c:strCache>
                <c:ptCount val="1"/>
                <c:pt idx="0">
                  <c:v>Frequency</c:v>
                </c:pt>
              </c:strCache>
            </c:strRef>
          </c:tx>
          <c:spPr>
            <a:solidFill>
              <a:schemeClr val="accent1"/>
            </a:solidFill>
            <a:ln>
              <a:noFill/>
            </a:ln>
            <a:effectLst/>
          </c:spPr>
          <c:invertIfNegative val="0"/>
          <c:cat>
            <c:multiLvlStrRef>
              <c:f>[0]!Histo_xAxis</c:f>
            </c:multiLvlStrRef>
          </c:cat>
          <c:val>
            <c:numRef>
              <c:f>[0]!Histo_Values</c:f>
              <c:numCache>
                <c:formatCode>General</c:formatCode>
                <c:ptCount val="1"/>
                <c:pt idx="0">
                  <c:v>1</c:v>
                </c:pt>
              </c:numCache>
            </c:numRef>
          </c:val>
          <c:extLst>
            <c:ext xmlns:c16="http://schemas.microsoft.com/office/drawing/2014/chart" uri="{C3380CC4-5D6E-409C-BE32-E72D297353CC}">
              <c16:uniqueId val="{00000000-6499-49BF-A6E7-EB27F90212C3}"/>
            </c:ext>
          </c:extLst>
        </c:ser>
        <c:dLbls>
          <c:showLegendKey val="0"/>
          <c:showVal val="0"/>
          <c:showCatName val="0"/>
          <c:showSerName val="0"/>
          <c:showPercent val="0"/>
          <c:showBubbleSize val="0"/>
        </c:dLbls>
        <c:gapWidth val="25"/>
        <c:axId val="401162248"/>
        <c:axId val="401155032"/>
      </c:barChart>
      <c:lineChart>
        <c:grouping val="standard"/>
        <c:varyColors val="0"/>
        <c:ser>
          <c:idx val="1"/>
          <c:order val="1"/>
          <c:tx>
            <c:strRef>
              <c:f>Histogram!$G$10</c:f>
              <c:strCache>
                <c:ptCount val="1"/>
                <c:pt idx="0">
                  <c:v>Percentage</c:v>
                </c:pt>
              </c:strCache>
            </c:strRef>
          </c:tx>
          <c:spPr>
            <a:ln w="28575" cap="rnd">
              <a:solidFill>
                <a:schemeClr val="accent2"/>
              </a:solidFill>
              <a:round/>
            </a:ln>
            <a:effectLst/>
          </c:spPr>
          <c:marker>
            <c:symbol val="none"/>
          </c:marker>
          <c:val>
            <c:numRef>
              <c:f>[0]!histo_Percent</c:f>
              <c:numCache>
                <c:formatCode>General</c:formatCode>
                <c:ptCount val="1"/>
                <c:pt idx="0">
                  <c:v>1</c:v>
                </c:pt>
              </c:numCache>
            </c:numRef>
          </c:val>
          <c:smooth val="0"/>
          <c:extLst>
            <c:ext xmlns:c16="http://schemas.microsoft.com/office/drawing/2014/chart" uri="{C3380CC4-5D6E-409C-BE32-E72D297353CC}">
              <c16:uniqueId val="{00000000-00D3-45AA-800C-9B04BD90A84C}"/>
            </c:ext>
          </c:extLst>
        </c:ser>
        <c:dLbls>
          <c:showLegendKey val="0"/>
          <c:showVal val="0"/>
          <c:showCatName val="0"/>
          <c:showSerName val="0"/>
          <c:showPercent val="0"/>
          <c:showBubbleSize val="0"/>
        </c:dLbls>
        <c:marker val="1"/>
        <c:smooth val="0"/>
        <c:axId val="212668352"/>
        <c:axId val="212666384"/>
      </c:lineChart>
      <c:catAx>
        <c:axId val="401162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155032"/>
        <c:crosses val="autoZero"/>
        <c:auto val="1"/>
        <c:lblAlgn val="ctr"/>
        <c:lblOffset val="100"/>
        <c:noMultiLvlLbl val="0"/>
      </c:catAx>
      <c:valAx>
        <c:axId val="401155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162248"/>
        <c:crosses val="autoZero"/>
        <c:crossBetween val="between"/>
      </c:valAx>
      <c:valAx>
        <c:axId val="212666384"/>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668352"/>
        <c:crosses val="max"/>
        <c:crossBetween val="between"/>
      </c:valAx>
      <c:catAx>
        <c:axId val="212668352"/>
        <c:scaling>
          <c:orientation val="minMax"/>
        </c:scaling>
        <c:delete val="1"/>
        <c:axPos val="b"/>
        <c:majorTickMark val="out"/>
        <c:minorTickMark val="none"/>
        <c:tickLblPos val="nextTo"/>
        <c:crossAx val="21266638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xdr:col>
      <xdr:colOff>76200</xdr:colOff>
      <xdr:row>11</xdr:row>
      <xdr:rowOff>182550</xdr:rowOff>
    </xdr:from>
    <xdr:to>
      <xdr:col>3</xdr:col>
      <xdr:colOff>346020</xdr:colOff>
      <xdr:row>14</xdr:row>
      <xdr:rowOff>145110</xdr:rowOff>
    </xdr:to>
    <xdr:sp macro="" textlink="">
      <xdr:nvSpPr>
        <xdr:cNvPr id="2" name="Rounded Rectangle 1"/>
        <xdr:cNvSpPr/>
      </xdr:nvSpPr>
      <xdr:spPr>
        <a:xfrm>
          <a:off x="266700" y="2278050"/>
          <a:ext cx="1252800" cy="51120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a:solidFill>
                <a:schemeClr val="tx1"/>
              </a:solidFill>
              <a:latin typeface="+mn-lt"/>
              <a:ea typeface="+mn-ea"/>
              <a:cs typeface="+mn-cs"/>
            </a:rPr>
            <a:t>Sources</a:t>
          </a:r>
        </a:p>
      </xdr:txBody>
    </xdr:sp>
    <xdr:clientData/>
  </xdr:twoCellAnchor>
  <xdr:twoCellAnchor>
    <xdr:from>
      <xdr:col>1</xdr:col>
      <xdr:colOff>111820</xdr:colOff>
      <xdr:row>7</xdr:row>
      <xdr:rowOff>137160</xdr:rowOff>
    </xdr:from>
    <xdr:to>
      <xdr:col>3</xdr:col>
      <xdr:colOff>309940</xdr:colOff>
      <xdr:row>10</xdr:row>
      <xdr:rowOff>99060</xdr:rowOff>
    </xdr:to>
    <xdr:sp macro="" textlink="">
      <xdr:nvSpPr>
        <xdr:cNvPr id="3" name="Rounded Rectangle 2"/>
        <xdr:cNvSpPr/>
      </xdr:nvSpPr>
      <xdr:spPr>
        <a:xfrm>
          <a:off x="302320" y="1501140"/>
          <a:ext cx="1181100" cy="51054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Global Constants</a:t>
          </a:r>
        </a:p>
      </xdr:txBody>
    </xdr:sp>
    <xdr:clientData/>
  </xdr:twoCellAnchor>
  <xdr:twoCellAnchor>
    <xdr:from>
      <xdr:col>4</xdr:col>
      <xdr:colOff>213130</xdr:colOff>
      <xdr:row>12</xdr:row>
      <xdr:rowOff>3480</xdr:rowOff>
    </xdr:from>
    <xdr:to>
      <xdr:col>6</xdr:col>
      <xdr:colOff>246730</xdr:colOff>
      <xdr:row>14</xdr:row>
      <xdr:rowOff>148920</xdr:rowOff>
    </xdr:to>
    <xdr:sp macro="" textlink="">
      <xdr:nvSpPr>
        <xdr:cNvPr id="4" name="Rounded Rectangle 3"/>
        <xdr:cNvSpPr/>
      </xdr:nvSpPr>
      <xdr:spPr>
        <a:xfrm>
          <a:off x="1996210" y="2281860"/>
          <a:ext cx="1252800" cy="51120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a:solidFill>
                <a:schemeClr val="tx1"/>
              </a:solidFill>
              <a:latin typeface="+mn-lt"/>
              <a:ea typeface="+mn-ea"/>
              <a:cs typeface="+mn-cs"/>
            </a:rPr>
            <a:t>Cost</a:t>
          </a:r>
          <a:r>
            <a:rPr lang="en-GB" sz="1100" baseline="0">
              <a:solidFill>
                <a:schemeClr val="tx1"/>
              </a:solidFill>
              <a:latin typeface="+mn-lt"/>
              <a:ea typeface="+mn-ea"/>
              <a:cs typeface="+mn-cs"/>
            </a:rPr>
            <a:t> &amp; Risk Inputs</a:t>
          </a:r>
        </a:p>
      </xdr:txBody>
    </xdr:sp>
    <xdr:clientData/>
  </xdr:twoCellAnchor>
  <xdr:twoCellAnchor>
    <xdr:from>
      <xdr:col>7</xdr:col>
      <xdr:colOff>113380</xdr:colOff>
      <xdr:row>12</xdr:row>
      <xdr:rowOff>0</xdr:rowOff>
    </xdr:from>
    <xdr:to>
      <xdr:col>9</xdr:col>
      <xdr:colOff>75280</xdr:colOff>
      <xdr:row>14</xdr:row>
      <xdr:rowOff>144780</xdr:rowOff>
    </xdr:to>
    <xdr:sp macro="" textlink="">
      <xdr:nvSpPr>
        <xdr:cNvPr id="9" name="Rounded Rectangle 8"/>
        <xdr:cNvSpPr/>
      </xdr:nvSpPr>
      <xdr:spPr>
        <a:xfrm>
          <a:off x="3725260" y="227838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Profile &amp; Baseline</a:t>
          </a:r>
        </a:p>
      </xdr:txBody>
    </xdr:sp>
    <xdr:clientData/>
  </xdr:twoCellAnchor>
  <xdr:twoCellAnchor>
    <xdr:from>
      <xdr:col>9</xdr:col>
      <xdr:colOff>551760</xdr:colOff>
      <xdr:row>12</xdr:row>
      <xdr:rowOff>0</xdr:rowOff>
    </xdr:from>
    <xdr:to>
      <xdr:col>11</xdr:col>
      <xdr:colOff>513660</xdr:colOff>
      <xdr:row>14</xdr:row>
      <xdr:rowOff>144780</xdr:rowOff>
    </xdr:to>
    <xdr:sp macro="" textlink="">
      <xdr:nvSpPr>
        <xdr:cNvPr id="10" name="Rounded Rectangle 9"/>
        <xdr:cNvSpPr/>
      </xdr:nvSpPr>
      <xdr:spPr>
        <a:xfrm>
          <a:off x="5382840" y="227838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Constant Ecs GBP</a:t>
          </a:r>
        </a:p>
      </xdr:txBody>
    </xdr:sp>
    <xdr:clientData/>
  </xdr:twoCellAnchor>
  <xdr:twoCellAnchor>
    <xdr:from>
      <xdr:col>12</xdr:col>
      <xdr:colOff>380540</xdr:colOff>
      <xdr:row>12</xdr:row>
      <xdr:rowOff>0</xdr:rowOff>
    </xdr:from>
    <xdr:to>
      <xdr:col>14</xdr:col>
      <xdr:colOff>342440</xdr:colOff>
      <xdr:row>14</xdr:row>
      <xdr:rowOff>144780</xdr:rowOff>
    </xdr:to>
    <xdr:sp macro="" textlink="">
      <xdr:nvSpPr>
        <xdr:cNvPr id="11" name="Rounded Rectangle 10"/>
        <xdr:cNvSpPr/>
      </xdr:nvSpPr>
      <xdr:spPr>
        <a:xfrm>
          <a:off x="7040420" y="227838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Inflated Cost exc</a:t>
          </a:r>
          <a:r>
            <a:rPr lang="en-GB" sz="1100" baseline="0">
              <a:solidFill>
                <a:schemeClr val="tx1"/>
              </a:solidFill>
            </a:rPr>
            <a:t> VAT</a:t>
          </a:r>
          <a:endParaRPr lang="en-GB" sz="1100">
            <a:solidFill>
              <a:schemeClr val="tx1"/>
            </a:solidFill>
          </a:endParaRPr>
        </a:p>
      </xdr:txBody>
    </xdr:sp>
    <xdr:clientData/>
  </xdr:twoCellAnchor>
  <xdr:twoCellAnchor>
    <xdr:from>
      <xdr:col>15</xdr:col>
      <xdr:colOff>241820</xdr:colOff>
      <xdr:row>12</xdr:row>
      <xdr:rowOff>0</xdr:rowOff>
    </xdr:from>
    <xdr:to>
      <xdr:col>17</xdr:col>
      <xdr:colOff>203720</xdr:colOff>
      <xdr:row>14</xdr:row>
      <xdr:rowOff>144780</xdr:rowOff>
    </xdr:to>
    <xdr:sp macro="" textlink="">
      <xdr:nvSpPr>
        <xdr:cNvPr id="12" name="Rounded Rectangle 11"/>
        <xdr:cNvSpPr/>
      </xdr:nvSpPr>
      <xdr:spPr>
        <a:xfrm>
          <a:off x="8730500" y="227838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Outturn</a:t>
          </a:r>
        </a:p>
      </xdr:txBody>
    </xdr:sp>
    <xdr:clientData/>
  </xdr:twoCellAnchor>
  <xdr:twoCellAnchor>
    <xdr:from>
      <xdr:col>9</xdr:col>
      <xdr:colOff>554240</xdr:colOff>
      <xdr:row>8</xdr:row>
      <xdr:rowOff>22860</xdr:rowOff>
    </xdr:from>
    <xdr:to>
      <xdr:col>11</xdr:col>
      <xdr:colOff>516140</xdr:colOff>
      <xdr:row>10</xdr:row>
      <xdr:rowOff>167640</xdr:rowOff>
    </xdr:to>
    <xdr:sp macro="" textlink="">
      <xdr:nvSpPr>
        <xdr:cNvPr id="13" name="Rounded Rectangle 12"/>
        <xdr:cNvSpPr/>
      </xdr:nvSpPr>
      <xdr:spPr>
        <a:xfrm>
          <a:off x="5385320" y="156972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NPV</a:t>
          </a:r>
        </a:p>
      </xdr:txBody>
    </xdr:sp>
    <xdr:clientData/>
  </xdr:twoCellAnchor>
  <xdr:twoCellAnchor>
    <xdr:from>
      <xdr:col>15</xdr:col>
      <xdr:colOff>218960</xdr:colOff>
      <xdr:row>4</xdr:row>
      <xdr:rowOff>53340</xdr:rowOff>
    </xdr:from>
    <xdr:to>
      <xdr:col>17</xdr:col>
      <xdr:colOff>180860</xdr:colOff>
      <xdr:row>7</xdr:row>
      <xdr:rowOff>15240</xdr:rowOff>
    </xdr:to>
    <xdr:sp macro="" textlink="">
      <xdr:nvSpPr>
        <xdr:cNvPr id="14" name="Rounded Rectangle 13"/>
        <xdr:cNvSpPr/>
      </xdr:nvSpPr>
      <xdr:spPr>
        <a:xfrm>
          <a:off x="8707640" y="86868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EAC</a:t>
          </a:r>
        </a:p>
      </xdr:txBody>
    </xdr:sp>
    <xdr:clientData/>
  </xdr:twoCellAnchor>
  <xdr:twoCellAnchor>
    <xdr:from>
      <xdr:col>26</xdr:col>
      <xdr:colOff>99060</xdr:colOff>
      <xdr:row>12</xdr:row>
      <xdr:rowOff>0</xdr:rowOff>
    </xdr:from>
    <xdr:to>
      <xdr:col>28</xdr:col>
      <xdr:colOff>60960</xdr:colOff>
      <xdr:row>14</xdr:row>
      <xdr:rowOff>144780</xdr:rowOff>
    </xdr:to>
    <xdr:sp macro="" textlink="">
      <xdr:nvSpPr>
        <xdr:cNvPr id="15" name="Rounded Rectangle 14"/>
        <xdr:cNvSpPr/>
      </xdr:nvSpPr>
      <xdr:spPr>
        <a:xfrm>
          <a:off x="15293340" y="2278380"/>
          <a:ext cx="1181100" cy="51054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Outputs</a:t>
          </a:r>
        </a:p>
      </xdr:txBody>
    </xdr:sp>
    <xdr:clientData/>
  </xdr:twoCellAnchor>
  <xdr:twoCellAnchor>
    <xdr:from>
      <xdr:col>6</xdr:col>
      <xdr:colOff>246730</xdr:colOff>
      <xdr:row>13</xdr:row>
      <xdr:rowOff>72390</xdr:rowOff>
    </xdr:from>
    <xdr:to>
      <xdr:col>7</xdr:col>
      <xdr:colOff>113380</xdr:colOff>
      <xdr:row>13</xdr:row>
      <xdr:rowOff>76200</xdr:rowOff>
    </xdr:to>
    <xdr:cxnSp macro="">
      <xdr:nvCxnSpPr>
        <xdr:cNvPr id="16" name="Straight Arrow Connector 15"/>
        <xdr:cNvCxnSpPr>
          <a:stCxn id="4" idx="3"/>
          <a:endCxn id="9" idx="1"/>
        </xdr:cNvCxnSpPr>
      </xdr:nvCxnSpPr>
      <xdr:spPr>
        <a:xfrm flipV="1">
          <a:off x="3249010" y="2533650"/>
          <a:ext cx="476250" cy="381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75280</xdr:colOff>
      <xdr:row>13</xdr:row>
      <xdr:rowOff>72390</xdr:rowOff>
    </xdr:from>
    <xdr:to>
      <xdr:col>9</xdr:col>
      <xdr:colOff>551760</xdr:colOff>
      <xdr:row>13</xdr:row>
      <xdr:rowOff>72390</xdr:rowOff>
    </xdr:to>
    <xdr:cxnSp macro="">
      <xdr:nvCxnSpPr>
        <xdr:cNvPr id="27" name="Straight Arrow Connector 26"/>
        <xdr:cNvCxnSpPr>
          <a:stCxn id="9" idx="3"/>
          <a:endCxn id="10" idx="1"/>
        </xdr:cNvCxnSpPr>
      </xdr:nvCxnSpPr>
      <xdr:spPr>
        <a:xfrm>
          <a:off x="4906360" y="2533650"/>
          <a:ext cx="4764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513660</xdr:colOff>
      <xdr:row>13</xdr:row>
      <xdr:rowOff>72390</xdr:rowOff>
    </xdr:from>
    <xdr:to>
      <xdr:col>12</xdr:col>
      <xdr:colOff>380540</xdr:colOff>
      <xdr:row>13</xdr:row>
      <xdr:rowOff>72390</xdr:rowOff>
    </xdr:to>
    <xdr:cxnSp macro="">
      <xdr:nvCxnSpPr>
        <xdr:cNvPr id="28" name="Straight Arrow Connector 27"/>
        <xdr:cNvCxnSpPr>
          <a:stCxn id="10" idx="3"/>
          <a:endCxn id="11" idx="1"/>
        </xdr:cNvCxnSpPr>
      </xdr:nvCxnSpPr>
      <xdr:spPr>
        <a:xfrm>
          <a:off x="6563940" y="2533650"/>
          <a:ext cx="4764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342440</xdr:colOff>
      <xdr:row>13</xdr:row>
      <xdr:rowOff>72390</xdr:rowOff>
    </xdr:from>
    <xdr:to>
      <xdr:col>15</xdr:col>
      <xdr:colOff>241820</xdr:colOff>
      <xdr:row>13</xdr:row>
      <xdr:rowOff>72390</xdr:rowOff>
    </xdr:to>
    <xdr:cxnSp macro="">
      <xdr:nvCxnSpPr>
        <xdr:cNvPr id="31" name="Straight Arrow Connector 30"/>
        <xdr:cNvCxnSpPr>
          <a:stCxn id="11" idx="3"/>
          <a:endCxn id="12" idx="1"/>
        </xdr:cNvCxnSpPr>
      </xdr:nvCxnSpPr>
      <xdr:spPr>
        <a:xfrm>
          <a:off x="8221520" y="2533650"/>
          <a:ext cx="508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203720</xdr:colOff>
      <xdr:row>13</xdr:row>
      <xdr:rowOff>72390</xdr:rowOff>
    </xdr:from>
    <xdr:to>
      <xdr:col>18</xdr:col>
      <xdr:colOff>112280</xdr:colOff>
      <xdr:row>13</xdr:row>
      <xdr:rowOff>72390</xdr:rowOff>
    </xdr:to>
    <xdr:cxnSp macro="">
      <xdr:nvCxnSpPr>
        <xdr:cNvPr id="34" name="Straight Arrow Connector 33"/>
        <xdr:cNvCxnSpPr>
          <a:stCxn id="12" idx="3"/>
          <a:endCxn id="39" idx="1"/>
        </xdr:cNvCxnSpPr>
      </xdr:nvCxnSpPr>
      <xdr:spPr>
        <a:xfrm>
          <a:off x="9911600" y="2533650"/>
          <a:ext cx="51816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532710</xdr:colOff>
      <xdr:row>10</xdr:row>
      <xdr:rowOff>167640</xdr:rowOff>
    </xdr:from>
    <xdr:to>
      <xdr:col>10</xdr:col>
      <xdr:colOff>535190</xdr:colOff>
      <xdr:row>12</xdr:row>
      <xdr:rowOff>0</xdr:rowOff>
    </xdr:to>
    <xdr:cxnSp macro="">
      <xdr:nvCxnSpPr>
        <xdr:cNvPr id="47" name="Straight Arrow Connector 46"/>
        <xdr:cNvCxnSpPr>
          <a:stCxn id="10" idx="0"/>
          <a:endCxn id="13" idx="2"/>
        </xdr:cNvCxnSpPr>
      </xdr:nvCxnSpPr>
      <xdr:spPr>
        <a:xfrm flipV="1">
          <a:off x="5973390" y="2080260"/>
          <a:ext cx="2480" cy="1981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111820</xdr:colOff>
      <xdr:row>16</xdr:row>
      <xdr:rowOff>0</xdr:rowOff>
    </xdr:from>
    <xdr:to>
      <xdr:col>3</xdr:col>
      <xdr:colOff>309940</xdr:colOff>
      <xdr:row>18</xdr:row>
      <xdr:rowOff>144780</xdr:rowOff>
    </xdr:to>
    <xdr:sp macro="" textlink="">
      <xdr:nvSpPr>
        <xdr:cNvPr id="50" name="Rounded Rectangle 49"/>
        <xdr:cNvSpPr/>
      </xdr:nvSpPr>
      <xdr:spPr>
        <a:xfrm>
          <a:off x="302320" y="3009900"/>
          <a:ext cx="1181100" cy="51054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Timeline</a:t>
          </a:r>
        </a:p>
      </xdr:txBody>
    </xdr:sp>
    <xdr:clientData/>
  </xdr:twoCellAnchor>
  <xdr:twoCellAnchor>
    <xdr:from>
      <xdr:col>17</xdr:col>
      <xdr:colOff>180860</xdr:colOff>
      <xdr:row>5</xdr:row>
      <xdr:rowOff>125730</xdr:rowOff>
    </xdr:from>
    <xdr:to>
      <xdr:col>27</xdr:col>
      <xdr:colOff>80010</xdr:colOff>
      <xdr:row>12</xdr:row>
      <xdr:rowOff>0</xdr:rowOff>
    </xdr:to>
    <xdr:cxnSp macro="">
      <xdr:nvCxnSpPr>
        <xdr:cNvPr id="51" name="Elbow Connector 50"/>
        <xdr:cNvCxnSpPr>
          <a:stCxn id="14" idx="3"/>
          <a:endCxn id="15" idx="0"/>
        </xdr:cNvCxnSpPr>
      </xdr:nvCxnSpPr>
      <xdr:spPr>
        <a:xfrm>
          <a:off x="9888740" y="1123950"/>
          <a:ext cx="5995150" cy="115443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516140</xdr:colOff>
      <xdr:row>9</xdr:row>
      <xdr:rowOff>95250</xdr:rowOff>
    </xdr:from>
    <xdr:to>
      <xdr:col>27</xdr:col>
      <xdr:colOff>80010</xdr:colOff>
      <xdr:row>12</xdr:row>
      <xdr:rowOff>0</xdr:rowOff>
    </xdr:to>
    <xdr:cxnSp macro="">
      <xdr:nvCxnSpPr>
        <xdr:cNvPr id="54" name="Elbow Connector 53"/>
        <xdr:cNvCxnSpPr>
          <a:stCxn id="13" idx="3"/>
          <a:endCxn id="15" idx="0"/>
        </xdr:cNvCxnSpPr>
      </xdr:nvCxnSpPr>
      <xdr:spPr>
        <a:xfrm>
          <a:off x="6566420" y="1824990"/>
          <a:ext cx="9317470" cy="45339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246730</xdr:colOff>
      <xdr:row>5</xdr:row>
      <xdr:rowOff>125730</xdr:rowOff>
    </xdr:from>
    <xdr:to>
      <xdr:col>15</xdr:col>
      <xdr:colOff>218960</xdr:colOff>
      <xdr:row>13</xdr:row>
      <xdr:rowOff>76200</xdr:rowOff>
    </xdr:to>
    <xdr:cxnSp macro="">
      <xdr:nvCxnSpPr>
        <xdr:cNvPr id="25" name="Elbow Connector 24"/>
        <xdr:cNvCxnSpPr>
          <a:stCxn id="4" idx="3"/>
          <a:endCxn id="14" idx="1"/>
        </xdr:cNvCxnSpPr>
      </xdr:nvCxnSpPr>
      <xdr:spPr>
        <a:xfrm flipV="1">
          <a:off x="3249010" y="1123950"/>
          <a:ext cx="5458630" cy="1413510"/>
        </a:xfrm>
        <a:prstGeom prst="bentConnector3">
          <a:avLst>
            <a:gd name="adj1" fmla="val 463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112280</xdr:colOff>
      <xdr:row>12</xdr:row>
      <xdr:rowOff>0</xdr:rowOff>
    </xdr:from>
    <xdr:to>
      <xdr:col>20</xdr:col>
      <xdr:colOff>74180</xdr:colOff>
      <xdr:row>14</xdr:row>
      <xdr:rowOff>144780</xdr:rowOff>
    </xdr:to>
    <xdr:sp macro="" textlink="">
      <xdr:nvSpPr>
        <xdr:cNvPr id="39" name="Rounded Rectangle 38"/>
        <xdr:cNvSpPr/>
      </xdr:nvSpPr>
      <xdr:spPr>
        <a:xfrm>
          <a:off x="10429760" y="227838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Calc Feeder</a:t>
          </a:r>
        </a:p>
      </xdr:txBody>
    </xdr:sp>
    <xdr:clientData/>
  </xdr:twoCellAnchor>
  <xdr:twoCellAnchor>
    <xdr:from>
      <xdr:col>20</xdr:col>
      <xdr:colOff>447560</xdr:colOff>
      <xdr:row>12</xdr:row>
      <xdr:rowOff>0</xdr:rowOff>
    </xdr:from>
    <xdr:to>
      <xdr:col>22</xdr:col>
      <xdr:colOff>409460</xdr:colOff>
      <xdr:row>14</xdr:row>
      <xdr:rowOff>144780</xdr:rowOff>
    </xdr:to>
    <xdr:sp macro="" textlink="">
      <xdr:nvSpPr>
        <xdr:cNvPr id="44" name="Rounded Rectangle 43"/>
        <xdr:cNvSpPr/>
      </xdr:nvSpPr>
      <xdr:spPr>
        <a:xfrm>
          <a:off x="11984240" y="2278380"/>
          <a:ext cx="1181100" cy="510540"/>
        </a:xfrm>
        <a:prstGeom prst="roundRect">
          <a:avLst/>
        </a:prstGeom>
        <a:solidFill>
          <a:srgbClr val="D889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Calc Tables</a:t>
          </a:r>
        </a:p>
      </xdr:txBody>
    </xdr:sp>
    <xdr:clientData/>
  </xdr:twoCellAnchor>
  <xdr:twoCellAnchor>
    <xdr:from>
      <xdr:col>20</xdr:col>
      <xdr:colOff>74180</xdr:colOff>
      <xdr:row>13</xdr:row>
      <xdr:rowOff>72390</xdr:rowOff>
    </xdr:from>
    <xdr:to>
      <xdr:col>20</xdr:col>
      <xdr:colOff>447560</xdr:colOff>
      <xdr:row>13</xdr:row>
      <xdr:rowOff>72390</xdr:rowOff>
    </xdr:to>
    <xdr:cxnSp macro="">
      <xdr:nvCxnSpPr>
        <xdr:cNvPr id="45" name="Straight Arrow Connector 44"/>
        <xdr:cNvCxnSpPr>
          <a:stCxn id="39" idx="3"/>
          <a:endCxn id="44" idx="1"/>
        </xdr:cNvCxnSpPr>
      </xdr:nvCxnSpPr>
      <xdr:spPr>
        <a:xfrm>
          <a:off x="11610860" y="2533650"/>
          <a:ext cx="3733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257060</xdr:colOff>
      <xdr:row>12</xdr:row>
      <xdr:rowOff>0</xdr:rowOff>
    </xdr:from>
    <xdr:to>
      <xdr:col>25</xdr:col>
      <xdr:colOff>218960</xdr:colOff>
      <xdr:row>14</xdr:row>
      <xdr:rowOff>144780</xdr:rowOff>
    </xdr:to>
    <xdr:sp macro="" textlink="">
      <xdr:nvSpPr>
        <xdr:cNvPr id="52" name="Rounded Rectangle 51"/>
        <xdr:cNvSpPr/>
      </xdr:nvSpPr>
      <xdr:spPr>
        <a:xfrm>
          <a:off x="13622540" y="227838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Percentiles</a:t>
          </a:r>
        </a:p>
      </xdr:txBody>
    </xdr:sp>
    <xdr:clientData/>
  </xdr:twoCellAnchor>
  <xdr:twoCellAnchor>
    <xdr:from>
      <xdr:col>22</xdr:col>
      <xdr:colOff>409460</xdr:colOff>
      <xdr:row>13</xdr:row>
      <xdr:rowOff>72390</xdr:rowOff>
    </xdr:from>
    <xdr:to>
      <xdr:col>23</xdr:col>
      <xdr:colOff>257060</xdr:colOff>
      <xdr:row>13</xdr:row>
      <xdr:rowOff>72390</xdr:rowOff>
    </xdr:to>
    <xdr:cxnSp macro="">
      <xdr:nvCxnSpPr>
        <xdr:cNvPr id="53" name="Straight Arrow Connector 52"/>
        <xdr:cNvCxnSpPr>
          <a:stCxn id="44" idx="3"/>
          <a:endCxn id="52" idx="1"/>
        </xdr:cNvCxnSpPr>
      </xdr:nvCxnSpPr>
      <xdr:spPr>
        <a:xfrm>
          <a:off x="13165340" y="2533650"/>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218960</xdr:colOff>
      <xdr:row>13</xdr:row>
      <xdr:rowOff>72390</xdr:rowOff>
    </xdr:from>
    <xdr:to>
      <xdr:col>26</xdr:col>
      <xdr:colOff>99060</xdr:colOff>
      <xdr:row>13</xdr:row>
      <xdr:rowOff>72390</xdr:rowOff>
    </xdr:to>
    <xdr:cxnSp macro="">
      <xdr:nvCxnSpPr>
        <xdr:cNvPr id="56" name="Straight Arrow Connector 55"/>
        <xdr:cNvCxnSpPr>
          <a:stCxn id="52" idx="3"/>
          <a:endCxn id="15" idx="1"/>
        </xdr:cNvCxnSpPr>
      </xdr:nvCxnSpPr>
      <xdr:spPr>
        <a:xfrm>
          <a:off x="14803640" y="2533650"/>
          <a:ext cx="4897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571500</xdr:colOff>
      <xdr:row>12</xdr:row>
      <xdr:rowOff>0</xdr:rowOff>
    </xdr:from>
    <xdr:to>
      <xdr:col>30</xdr:col>
      <xdr:colOff>533400</xdr:colOff>
      <xdr:row>14</xdr:row>
      <xdr:rowOff>144780</xdr:rowOff>
    </xdr:to>
    <xdr:sp macro="" textlink="">
      <xdr:nvSpPr>
        <xdr:cNvPr id="59" name="Rounded Rectangle 58"/>
        <xdr:cNvSpPr/>
      </xdr:nvSpPr>
      <xdr:spPr>
        <a:xfrm>
          <a:off x="16984980" y="2278380"/>
          <a:ext cx="1181100" cy="51054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Outputs</a:t>
          </a:r>
        </a:p>
      </xdr:txBody>
    </xdr:sp>
    <xdr:clientData/>
  </xdr:twoCellAnchor>
  <xdr:twoCellAnchor>
    <xdr:from>
      <xdr:col>28</xdr:col>
      <xdr:colOff>60960</xdr:colOff>
      <xdr:row>13</xdr:row>
      <xdr:rowOff>72390</xdr:rowOff>
    </xdr:from>
    <xdr:to>
      <xdr:col>28</xdr:col>
      <xdr:colOff>571500</xdr:colOff>
      <xdr:row>13</xdr:row>
      <xdr:rowOff>72390</xdr:rowOff>
    </xdr:to>
    <xdr:cxnSp macro="">
      <xdr:nvCxnSpPr>
        <xdr:cNvPr id="60" name="Straight Arrow Connector 59"/>
        <xdr:cNvCxnSpPr>
          <a:stCxn id="15" idx="3"/>
          <a:endCxn id="59" idx="1"/>
        </xdr:cNvCxnSpPr>
      </xdr:nvCxnSpPr>
      <xdr:spPr>
        <a:xfrm>
          <a:off x="16474440" y="2533650"/>
          <a:ext cx="51054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486760</xdr:colOff>
      <xdr:row>21</xdr:row>
      <xdr:rowOff>167640</xdr:rowOff>
    </xdr:from>
    <xdr:to>
      <xdr:col>5</xdr:col>
      <xdr:colOff>448660</xdr:colOff>
      <xdr:row>24</xdr:row>
      <xdr:rowOff>129540</xdr:rowOff>
    </xdr:to>
    <xdr:sp macro="" textlink="">
      <xdr:nvSpPr>
        <xdr:cNvPr id="30" name="Rounded Rectangle 29"/>
        <xdr:cNvSpPr/>
      </xdr:nvSpPr>
      <xdr:spPr>
        <a:xfrm>
          <a:off x="1660240" y="3726180"/>
          <a:ext cx="1181100" cy="510540"/>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Calculation Sheets</a:t>
          </a:r>
        </a:p>
      </xdr:txBody>
    </xdr:sp>
    <xdr:clientData/>
  </xdr:twoCellAnchor>
  <xdr:twoCellAnchor>
    <xdr:from>
      <xdr:col>1</xdr:col>
      <xdr:colOff>88960</xdr:colOff>
      <xdr:row>21</xdr:row>
      <xdr:rowOff>167640</xdr:rowOff>
    </xdr:from>
    <xdr:to>
      <xdr:col>3</xdr:col>
      <xdr:colOff>287080</xdr:colOff>
      <xdr:row>24</xdr:row>
      <xdr:rowOff>129540</xdr:rowOff>
    </xdr:to>
    <xdr:sp macro="" textlink="">
      <xdr:nvSpPr>
        <xdr:cNvPr id="33" name="Rounded Rectangle 32"/>
        <xdr:cNvSpPr/>
      </xdr:nvSpPr>
      <xdr:spPr>
        <a:xfrm>
          <a:off x="279460" y="3726180"/>
          <a:ext cx="1181100" cy="51054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Input Sheets</a:t>
          </a:r>
        </a:p>
      </xdr:txBody>
    </xdr:sp>
    <xdr:clientData/>
  </xdr:twoCellAnchor>
  <xdr:twoCellAnchor>
    <xdr:from>
      <xdr:col>6</xdr:col>
      <xdr:colOff>51320</xdr:colOff>
      <xdr:row>21</xdr:row>
      <xdr:rowOff>152400</xdr:rowOff>
    </xdr:from>
    <xdr:to>
      <xdr:col>8</xdr:col>
      <xdr:colOff>13220</xdr:colOff>
      <xdr:row>24</xdr:row>
      <xdr:rowOff>114300</xdr:rowOff>
    </xdr:to>
    <xdr:sp macro="" textlink="">
      <xdr:nvSpPr>
        <xdr:cNvPr id="35" name="Rounded Rectangle 34"/>
        <xdr:cNvSpPr/>
      </xdr:nvSpPr>
      <xdr:spPr>
        <a:xfrm>
          <a:off x="3053600" y="3710940"/>
          <a:ext cx="1181100" cy="510540"/>
        </a:xfrm>
        <a:prstGeom prst="roundRect">
          <a:avLst/>
        </a:prstGeom>
        <a:solidFill>
          <a:srgbClr val="D889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Macro Driven Sheets</a:t>
          </a:r>
        </a:p>
      </xdr:txBody>
    </xdr:sp>
    <xdr:clientData/>
  </xdr:twoCellAnchor>
  <xdr:twoCellAnchor>
    <xdr:from>
      <xdr:col>8</xdr:col>
      <xdr:colOff>243840</xdr:colOff>
      <xdr:row>21</xdr:row>
      <xdr:rowOff>144780</xdr:rowOff>
    </xdr:from>
    <xdr:to>
      <xdr:col>10</xdr:col>
      <xdr:colOff>205740</xdr:colOff>
      <xdr:row>24</xdr:row>
      <xdr:rowOff>106680</xdr:rowOff>
    </xdr:to>
    <xdr:sp macro="" textlink="">
      <xdr:nvSpPr>
        <xdr:cNvPr id="36" name="Rounded Rectangle 35"/>
        <xdr:cNvSpPr/>
      </xdr:nvSpPr>
      <xdr:spPr>
        <a:xfrm>
          <a:off x="4465320" y="4069080"/>
          <a:ext cx="1181100" cy="51054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Outputs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373380</xdr:colOff>
      <xdr:row>5</xdr:row>
      <xdr:rowOff>15240</xdr:rowOff>
    </xdr:from>
    <xdr:to>
      <xdr:col>6</xdr:col>
      <xdr:colOff>22860</xdr:colOff>
      <xdr:row>6</xdr:row>
      <xdr:rowOff>152400</xdr:rowOff>
    </xdr:to>
    <xdr:sp macro="[0]!MonteCarloSim" textlink="">
      <xdr:nvSpPr>
        <xdr:cNvPr id="2" name="Rounded Rectangle 1"/>
        <xdr:cNvSpPr/>
      </xdr:nvSpPr>
      <xdr:spPr>
        <a:xfrm>
          <a:off x="2689860" y="1013460"/>
          <a:ext cx="1386840" cy="32004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ysClr val="windowText" lastClr="000000"/>
              </a:solidFill>
            </a:rPr>
            <a:t>Run Monte Carlo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21</xdr:row>
      <xdr:rowOff>0</xdr:rowOff>
    </xdr:from>
    <xdr:to>
      <xdr:col>24</xdr:col>
      <xdr:colOff>7620</xdr:colOff>
      <xdr:row>31</xdr:row>
      <xdr:rowOff>167640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4</xdr:row>
      <xdr:rowOff>0</xdr:rowOff>
    </xdr:from>
    <xdr:to>
      <xdr:col>24</xdr:col>
      <xdr:colOff>7620</xdr:colOff>
      <xdr:row>14</xdr:row>
      <xdr:rowOff>167640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403860</xdr:colOff>
      <xdr:row>40</xdr:row>
      <xdr:rowOff>148590</xdr:rowOff>
    </xdr:from>
    <xdr:to>
      <xdr:col>15</xdr:col>
      <xdr:colOff>548640</xdr:colOff>
      <xdr:row>53</xdr:row>
      <xdr:rowOff>15240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403860</xdr:colOff>
      <xdr:row>54</xdr:row>
      <xdr:rowOff>148590</xdr:rowOff>
    </xdr:from>
    <xdr:to>
      <xdr:col>15</xdr:col>
      <xdr:colOff>548640</xdr:colOff>
      <xdr:row>70</xdr:row>
      <xdr:rowOff>15240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8</xdr:row>
      <xdr:rowOff>179070</xdr:rowOff>
    </xdr:from>
    <xdr:to>
      <xdr:col>17</xdr:col>
      <xdr:colOff>533400</xdr:colOff>
      <xdr:row>30</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5:E7"/>
  <sheetViews>
    <sheetView showGridLines="0" workbookViewId="0">
      <selection activeCell="E8" sqref="E8"/>
    </sheetView>
  </sheetViews>
  <sheetFormatPr defaultRowHeight="14.4" x14ac:dyDescent="0.3"/>
  <cols>
    <col min="1" max="2" width="2.77734375" customWidth="1"/>
    <col min="3" max="7" width="13.33203125" customWidth="1"/>
  </cols>
  <sheetData>
    <row r="5" spans="5:5" ht="21" x14ac:dyDescent="0.4">
      <c r="E5" s="38" t="s">
        <v>175</v>
      </c>
    </row>
    <row r="7" spans="5:5" x14ac:dyDescent="0.3">
      <c r="E7" t="s">
        <v>211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3:J17"/>
  <sheetViews>
    <sheetView showGridLines="0" workbookViewId="0"/>
  </sheetViews>
  <sheetFormatPr defaultRowHeight="14.4" x14ac:dyDescent="0.3"/>
  <cols>
    <col min="1" max="2" width="2.77734375" customWidth="1"/>
    <col min="4" max="4" width="18.44140625" customWidth="1"/>
    <col min="5" max="5" width="80.44140625" customWidth="1"/>
    <col min="6" max="6" width="15.33203125" bestFit="1" customWidth="1"/>
    <col min="7" max="7" width="2.77734375" customWidth="1"/>
    <col min="9" max="9" width="10.109375" bestFit="1" customWidth="1"/>
  </cols>
  <sheetData>
    <row r="3" spans="3:10" ht="21" x14ac:dyDescent="0.4">
      <c r="C3" s="3" t="s">
        <v>83</v>
      </c>
    </row>
    <row r="6" spans="3:10" x14ac:dyDescent="0.3">
      <c r="C6" s="39"/>
      <c r="D6" s="39" t="s">
        <v>84</v>
      </c>
      <c r="E6" s="40"/>
      <c r="F6" s="40"/>
      <c r="H6" s="40"/>
      <c r="I6" s="40"/>
      <c r="J6" s="40"/>
    </row>
    <row r="7" spans="3:10" x14ac:dyDescent="0.3">
      <c r="C7" s="41"/>
      <c r="D7" s="41"/>
      <c r="E7" s="41"/>
      <c r="F7" s="41"/>
      <c r="H7" s="79" t="s">
        <v>85</v>
      </c>
      <c r="I7" s="79"/>
      <c r="J7" s="79"/>
    </row>
    <row r="8" spans="3:10" x14ac:dyDescent="0.3">
      <c r="C8" s="43" t="s">
        <v>86</v>
      </c>
      <c r="D8" s="43" t="s">
        <v>87</v>
      </c>
      <c r="E8" s="43" t="s">
        <v>88</v>
      </c>
      <c r="F8" s="43" t="s">
        <v>89</v>
      </c>
      <c r="H8" s="43" t="s">
        <v>22</v>
      </c>
      <c r="I8" s="43" t="s">
        <v>86</v>
      </c>
      <c r="J8" s="43" t="s">
        <v>90</v>
      </c>
    </row>
    <row r="9" spans="3:10" x14ac:dyDescent="0.3">
      <c r="C9" s="42"/>
      <c r="D9" s="42"/>
      <c r="E9" s="42"/>
      <c r="F9" s="42"/>
      <c r="H9" s="42"/>
      <c r="I9" s="44"/>
      <c r="J9" s="44"/>
    </row>
    <row r="10" spans="3:10" x14ac:dyDescent="0.3">
      <c r="C10" s="45">
        <v>43346</v>
      </c>
      <c r="D10" s="46" t="s">
        <v>91</v>
      </c>
      <c r="E10" s="47" t="s">
        <v>92</v>
      </c>
      <c r="F10" s="47" t="s">
        <v>93</v>
      </c>
      <c r="H10" s="48"/>
      <c r="I10" s="49"/>
      <c r="J10" s="48"/>
    </row>
    <row r="11" spans="3:10" x14ac:dyDescent="0.3">
      <c r="C11" s="45">
        <v>43643</v>
      </c>
      <c r="D11" s="46" t="s">
        <v>119</v>
      </c>
      <c r="E11" s="47" t="s">
        <v>120</v>
      </c>
      <c r="F11" s="47" t="s">
        <v>121</v>
      </c>
      <c r="H11" s="48"/>
      <c r="I11" s="49"/>
      <c r="J11" s="48"/>
    </row>
    <row r="12" spans="3:10" ht="145.80000000000001" x14ac:dyDescent="0.3">
      <c r="C12" s="45">
        <v>43644</v>
      </c>
      <c r="D12" s="46" t="s">
        <v>127</v>
      </c>
      <c r="E12" s="59" t="s">
        <v>123</v>
      </c>
      <c r="F12" s="47" t="s">
        <v>93</v>
      </c>
      <c r="H12" s="48"/>
      <c r="I12" s="49"/>
      <c r="J12" s="48"/>
    </row>
    <row r="13" spans="3:10" ht="145.80000000000001" x14ac:dyDescent="0.3">
      <c r="C13" s="45">
        <v>43647</v>
      </c>
      <c r="D13" s="46" t="s">
        <v>126</v>
      </c>
      <c r="E13" s="59" t="s">
        <v>169</v>
      </c>
      <c r="F13" s="47" t="s">
        <v>93</v>
      </c>
      <c r="H13" s="48"/>
      <c r="I13" s="49"/>
      <c r="J13" s="48"/>
    </row>
    <row r="14" spans="3:10" ht="93" x14ac:dyDescent="0.3">
      <c r="C14" s="45">
        <v>43705</v>
      </c>
      <c r="D14" s="46" t="s">
        <v>165</v>
      </c>
      <c r="E14" s="59" t="s">
        <v>174</v>
      </c>
      <c r="F14" s="47" t="s">
        <v>93</v>
      </c>
      <c r="H14" s="48" t="s">
        <v>198</v>
      </c>
      <c r="I14" s="49">
        <v>43700</v>
      </c>
      <c r="J14" s="48"/>
    </row>
    <row r="15" spans="3:10" ht="198.6" x14ac:dyDescent="0.3">
      <c r="C15" s="45">
        <v>43753</v>
      </c>
      <c r="D15" s="46" t="s">
        <v>176</v>
      </c>
      <c r="E15" s="59" t="s">
        <v>197</v>
      </c>
      <c r="F15" s="47" t="s">
        <v>121</v>
      </c>
      <c r="H15" s="48"/>
      <c r="I15" s="49"/>
      <c r="J15" s="48"/>
    </row>
    <row r="16" spans="3:10" ht="27" x14ac:dyDescent="0.3">
      <c r="C16" s="45">
        <v>43787</v>
      </c>
      <c r="D16" s="46" t="s">
        <v>203</v>
      </c>
      <c r="E16" s="59" t="s">
        <v>204</v>
      </c>
      <c r="F16" s="47" t="s">
        <v>121</v>
      </c>
      <c r="H16" s="48" t="s">
        <v>206</v>
      </c>
      <c r="I16" s="49">
        <v>43798</v>
      </c>
      <c r="J16" s="48"/>
    </row>
    <row r="17" spans="3:10" ht="66.599999999999994" x14ac:dyDescent="0.3">
      <c r="C17" s="45">
        <v>43788</v>
      </c>
      <c r="D17" s="46" t="s">
        <v>205</v>
      </c>
      <c r="E17" s="59" t="s">
        <v>210</v>
      </c>
      <c r="F17" s="47" t="s">
        <v>121</v>
      </c>
      <c r="H17" s="48"/>
      <c r="I17" s="49"/>
      <c r="J17" s="48"/>
    </row>
  </sheetData>
  <mergeCells count="1">
    <mergeCell ref="H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2:P21"/>
  <sheetViews>
    <sheetView showGridLines="0" workbookViewId="0">
      <selection activeCell="N5" sqref="N5:N9"/>
    </sheetView>
  </sheetViews>
  <sheetFormatPr defaultRowHeight="14.4" x14ac:dyDescent="0.3"/>
  <cols>
    <col min="1" max="2" width="2.77734375" customWidth="1"/>
    <col min="3" max="3" width="11.5546875" bestFit="1" customWidth="1"/>
    <col min="4" max="4" width="2.77734375" customWidth="1"/>
    <col min="6" max="6" width="2.77734375" customWidth="1"/>
    <col min="7" max="7" width="19.6640625" bestFit="1" customWidth="1"/>
    <col min="8" max="8" width="2.77734375" customWidth="1"/>
    <col min="9" max="9" width="12.33203125" bestFit="1" customWidth="1"/>
    <col min="10" max="10" width="2.77734375" customWidth="1"/>
    <col min="11" max="11" width="9.88671875" bestFit="1" customWidth="1"/>
    <col min="12" max="12" width="2.77734375" customWidth="1"/>
    <col min="13" max="13" width="18.33203125" bestFit="1" customWidth="1"/>
    <col min="14" max="14" width="11.77734375" bestFit="1" customWidth="1"/>
    <col min="15" max="15" width="2.77734375" customWidth="1"/>
    <col min="16" max="16" width="15.33203125" bestFit="1" customWidth="1"/>
  </cols>
  <sheetData>
    <row r="2" spans="3:16" ht="21" x14ac:dyDescent="0.4">
      <c r="C2" s="3" t="s">
        <v>0</v>
      </c>
    </row>
    <row r="3" spans="3:16" x14ac:dyDescent="0.3">
      <c r="M3" t="s">
        <v>118</v>
      </c>
    </row>
    <row r="4" spans="3:16" x14ac:dyDescent="0.3">
      <c r="C4" s="6" t="s">
        <v>5</v>
      </c>
      <c r="E4" s="6" t="s">
        <v>7</v>
      </c>
      <c r="G4" s="11" t="s">
        <v>24</v>
      </c>
      <c r="I4" s="11" t="s">
        <v>115</v>
      </c>
      <c r="K4" s="11" t="s">
        <v>95</v>
      </c>
      <c r="M4" s="11" t="s">
        <v>103</v>
      </c>
      <c r="N4" s="1">
        <v>1000</v>
      </c>
      <c r="P4" s="11" t="s">
        <v>136</v>
      </c>
    </row>
    <row r="5" spans="3:16" x14ac:dyDescent="0.3">
      <c r="C5" s="1" t="s">
        <v>1</v>
      </c>
      <c r="E5" s="1">
        <v>1.2</v>
      </c>
      <c r="G5" s="1" t="s">
        <v>177</v>
      </c>
      <c r="I5" s="7" t="s">
        <v>96</v>
      </c>
      <c r="K5" s="50">
        <v>0.1</v>
      </c>
      <c r="M5" s="11" t="s">
        <v>109</v>
      </c>
      <c r="N5" s="20">
        <f>COUNTA(FY)</f>
        <v>90</v>
      </c>
      <c r="P5" s="57">
        <f>Outputs!D75</f>
        <v>0.1</v>
      </c>
    </row>
    <row r="6" spans="3:16" x14ac:dyDescent="0.3">
      <c r="C6" s="1" t="s">
        <v>2</v>
      </c>
      <c r="G6" s="1" t="s">
        <v>178</v>
      </c>
      <c r="I6" s="7" t="s">
        <v>116</v>
      </c>
      <c r="K6" s="50">
        <v>0.2</v>
      </c>
      <c r="M6" s="11" t="s">
        <v>111</v>
      </c>
      <c r="N6" s="20">
        <f>COUNTA(G5:G21)</f>
        <v>8</v>
      </c>
      <c r="P6" s="57">
        <f>Outputs!D86</f>
        <v>0.5</v>
      </c>
    </row>
    <row r="7" spans="3:16" x14ac:dyDescent="0.3">
      <c r="C7" s="1" t="s">
        <v>3</v>
      </c>
      <c r="G7" s="1" t="s">
        <v>179</v>
      </c>
      <c r="K7" s="50">
        <v>0.3</v>
      </c>
      <c r="M7" s="11" t="s">
        <v>112</v>
      </c>
      <c r="N7" s="20">
        <f>COUNTA(C5:C10)</f>
        <v>5</v>
      </c>
      <c r="P7" s="57">
        <f>Outputs!D97</f>
        <v>0.9</v>
      </c>
    </row>
    <row r="8" spans="3:16" x14ac:dyDescent="0.3">
      <c r="C8" s="1" t="s">
        <v>4</v>
      </c>
      <c r="G8" s="1" t="s">
        <v>180</v>
      </c>
      <c r="K8" s="50">
        <v>0.4</v>
      </c>
      <c r="M8" s="11" t="s">
        <v>117</v>
      </c>
      <c r="N8" s="20" t="s">
        <v>96</v>
      </c>
    </row>
    <row r="9" spans="3:16" x14ac:dyDescent="0.3">
      <c r="C9" s="1" t="s">
        <v>6</v>
      </c>
      <c r="G9" s="1" t="s">
        <v>181</v>
      </c>
      <c r="K9" s="50">
        <v>0.5</v>
      </c>
      <c r="M9" s="12" t="s">
        <v>130</v>
      </c>
      <c r="N9" s="62">
        <f>'Error Checks'!E10</f>
        <v>0</v>
      </c>
    </row>
    <row r="10" spans="3:16" x14ac:dyDescent="0.3">
      <c r="G10" s="1" t="s">
        <v>182</v>
      </c>
      <c r="K10" s="50">
        <v>0.6</v>
      </c>
    </row>
    <row r="11" spans="3:16" x14ac:dyDescent="0.3">
      <c r="G11" s="1" t="s">
        <v>183</v>
      </c>
      <c r="K11" s="50">
        <v>0.7</v>
      </c>
    </row>
    <row r="12" spans="3:16" x14ac:dyDescent="0.3">
      <c r="G12" s="1" t="s">
        <v>184</v>
      </c>
      <c r="K12" s="50">
        <v>0.8</v>
      </c>
    </row>
    <row r="13" spans="3:16" x14ac:dyDescent="0.3">
      <c r="G13" s="1"/>
      <c r="K13" s="50">
        <v>0.9</v>
      </c>
    </row>
    <row r="14" spans="3:16" x14ac:dyDescent="0.3">
      <c r="G14" s="1"/>
    </row>
    <row r="15" spans="3:16" x14ac:dyDescent="0.3">
      <c r="G15" s="1"/>
    </row>
    <row r="16" spans="3:16" x14ac:dyDescent="0.3">
      <c r="G16" s="1"/>
    </row>
    <row r="17" spans="7:7" x14ac:dyDescent="0.3">
      <c r="G17" s="1"/>
    </row>
    <row r="18" spans="7:7" x14ac:dyDescent="0.3">
      <c r="G18" s="1"/>
    </row>
    <row r="19" spans="7:7" x14ac:dyDescent="0.3">
      <c r="G19" s="1"/>
    </row>
    <row r="20" spans="7:7" x14ac:dyDescent="0.3">
      <c r="G20" s="1"/>
    </row>
    <row r="21" spans="7:7" x14ac:dyDescent="0.3">
      <c r="G21" s="1"/>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2:C21"/>
  <sheetViews>
    <sheetView showGridLines="0" workbookViewId="0"/>
  </sheetViews>
  <sheetFormatPr defaultRowHeight="14.4" x14ac:dyDescent="0.3"/>
  <cols>
    <col min="1" max="2" width="2.77734375" customWidth="1"/>
    <col min="3" max="3" width="11.5546875" bestFit="1" customWidth="1"/>
  </cols>
  <sheetData>
    <row r="2" spans="3:3" ht="21" x14ac:dyDescent="0.4">
      <c r="C2" s="3" t="s">
        <v>10</v>
      </c>
    </row>
    <row r="21" spans="3:3" x14ac:dyDescent="0.3">
      <c r="C21" s="35" t="s">
        <v>168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2:E19"/>
  <sheetViews>
    <sheetView showGridLines="0" workbookViewId="0"/>
  </sheetViews>
  <sheetFormatPr defaultRowHeight="14.4" x14ac:dyDescent="0.3"/>
  <cols>
    <col min="1" max="2" width="2.77734375" customWidth="1"/>
    <col min="3" max="3" width="15.44140625" bestFit="1" customWidth="1"/>
    <col min="4" max="4" width="36" bestFit="1" customWidth="1"/>
  </cols>
  <sheetData>
    <row r="2" spans="3:5" ht="21" x14ac:dyDescent="0.4">
      <c r="C2" s="3" t="s">
        <v>11</v>
      </c>
    </row>
    <row r="5" spans="3:5" x14ac:dyDescent="0.3">
      <c r="C5" s="6" t="s">
        <v>72</v>
      </c>
      <c r="D5" s="6" t="s">
        <v>73</v>
      </c>
      <c r="E5" s="6" t="s">
        <v>74</v>
      </c>
    </row>
    <row r="6" spans="3:5" x14ac:dyDescent="0.3">
      <c r="C6" s="5" t="s">
        <v>8</v>
      </c>
      <c r="D6" s="5" t="s">
        <v>75</v>
      </c>
      <c r="E6" s="34">
        <f>Timeline!A1</f>
        <v>0</v>
      </c>
    </row>
    <row r="7" spans="3:5" x14ac:dyDescent="0.3">
      <c r="C7" s="5" t="s">
        <v>12</v>
      </c>
      <c r="D7" s="5" t="s">
        <v>75</v>
      </c>
      <c r="E7" s="34">
        <f>'Global Constants'!A1</f>
        <v>0</v>
      </c>
    </row>
    <row r="8" spans="3:5" x14ac:dyDescent="0.3">
      <c r="C8" s="5" t="s">
        <v>21</v>
      </c>
      <c r="D8" s="5" t="s">
        <v>76</v>
      </c>
      <c r="E8" s="34">
        <f>SUM('Cost &amp; Risk Inputs'!DM10:DM39)</f>
        <v>0</v>
      </c>
    </row>
    <row r="9" spans="3:5" x14ac:dyDescent="0.3">
      <c r="C9" s="5" t="s">
        <v>21</v>
      </c>
      <c r="D9" s="5" t="s">
        <v>77</v>
      </c>
      <c r="E9" s="34">
        <f ca="1">SUM('Cost &amp; Risk Inputs'!DP10:DP39)</f>
        <v>0</v>
      </c>
    </row>
    <row r="10" spans="3:5" x14ac:dyDescent="0.3">
      <c r="C10" s="7" t="s">
        <v>21</v>
      </c>
      <c r="D10" s="7" t="s">
        <v>131</v>
      </c>
      <c r="E10" s="34">
        <f>SUM('Cost &amp; Risk Inputs'!DO10:DO39)</f>
        <v>0</v>
      </c>
    </row>
    <row r="11" spans="3:5" x14ac:dyDescent="0.3">
      <c r="C11" s="5" t="s">
        <v>41</v>
      </c>
      <c r="D11" s="5" t="s">
        <v>75</v>
      </c>
      <c r="E11" s="34">
        <f ca="1">'Profile &amp; Baseline'!A1</f>
        <v>0</v>
      </c>
    </row>
    <row r="12" spans="3:5" x14ac:dyDescent="0.3">
      <c r="C12" s="5" t="s">
        <v>78</v>
      </c>
      <c r="D12" s="5" t="s">
        <v>75</v>
      </c>
      <c r="E12" s="34">
        <f>'Constant Ecs GBP'!A3</f>
        <v>0</v>
      </c>
    </row>
    <row r="13" spans="3:5" x14ac:dyDescent="0.3">
      <c r="C13" s="5" t="s">
        <v>13</v>
      </c>
      <c r="D13" s="5" t="s">
        <v>75</v>
      </c>
      <c r="E13" s="34">
        <f ca="1">'Outturn ex VAT'!A1</f>
        <v>0</v>
      </c>
    </row>
    <row r="14" spans="3:5" x14ac:dyDescent="0.3">
      <c r="C14" s="5" t="s">
        <v>7</v>
      </c>
      <c r="D14" s="5" t="s">
        <v>75</v>
      </c>
      <c r="E14" s="34">
        <f ca="1">'Outturn incl. VAT'!A1</f>
        <v>0</v>
      </c>
    </row>
    <row r="15" spans="3:5" x14ac:dyDescent="0.3">
      <c r="C15" s="5" t="s">
        <v>53</v>
      </c>
      <c r="D15" s="5" t="s">
        <v>75</v>
      </c>
      <c r="E15" s="34">
        <f ca="1">NPV!A1</f>
        <v>0</v>
      </c>
    </row>
    <row r="16" spans="3:5" x14ac:dyDescent="0.3">
      <c r="C16" s="5" t="s">
        <v>63</v>
      </c>
      <c r="D16" s="5" t="s">
        <v>75</v>
      </c>
      <c r="E16" s="34">
        <f>EAC!A1</f>
        <v>0</v>
      </c>
    </row>
    <row r="17" spans="3:5" x14ac:dyDescent="0.3">
      <c r="C17" s="5" t="s">
        <v>57</v>
      </c>
      <c r="D17" s="5" t="s">
        <v>75</v>
      </c>
      <c r="E17" s="34">
        <f ca="1">Outputs!A1</f>
        <v>0</v>
      </c>
    </row>
    <row r="19" spans="3:5" x14ac:dyDescent="0.3">
      <c r="C19" s="5" t="s">
        <v>79</v>
      </c>
      <c r="E19" s="34" t="str">
        <f ca="1">IF(SUM(E6:E17)=0,"OK","ERROR")</f>
        <v>OK</v>
      </c>
    </row>
  </sheetData>
  <conditionalFormatting sqref="E6:E17">
    <cfRule type="cellIs" dxfId="36" priority="2" operator="greaterThanOrEqual">
      <formula>1</formula>
    </cfRule>
  </conditionalFormatting>
  <conditionalFormatting sqref="E19">
    <cfRule type="expression" dxfId="35" priority="1">
      <formula>$E$19="ERROR"</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7" tint="0.79998168889431442"/>
  </sheetPr>
  <dimension ref="C1:CQ17"/>
  <sheetViews>
    <sheetView showGridLines="0" workbookViewId="0"/>
  </sheetViews>
  <sheetFormatPr defaultRowHeight="14.4" x14ac:dyDescent="0.3"/>
  <cols>
    <col min="1" max="2" width="2.77734375" customWidth="1"/>
    <col min="3" max="3" width="14.6640625" customWidth="1"/>
    <col min="4" max="4" width="10.5546875" bestFit="1" customWidth="1"/>
    <col min="6" max="95" width="10.5546875" bestFit="1" customWidth="1"/>
  </cols>
  <sheetData>
    <row r="1" spans="3:95" x14ac:dyDescent="0.3">
      <c r="C1" t="s">
        <v>79</v>
      </c>
      <c r="D1" s="33" t="str">
        <f ca="1">Model_Health</f>
        <v>OK</v>
      </c>
    </row>
    <row r="3" spans="3:95" ht="21" x14ac:dyDescent="0.4">
      <c r="C3" s="3" t="s">
        <v>8</v>
      </c>
    </row>
    <row r="4" spans="3:95" x14ac:dyDescent="0.3">
      <c r="C4" s="65" t="s">
        <v>141</v>
      </c>
    </row>
    <row r="5" spans="3:95" ht="21" x14ac:dyDescent="0.4">
      <c r="C5" s="3"/>
    </row>
    <row r="7" spans="3:95" x14ac:dyDescent="0.3">
      <c r="C7" s="6" t="s">
        <v>16</v>
      </c>
      <c r="D7" s="7" t="s">
        <v>185</v>
      </c>
    </row>
    <row r="8" spans="3:95" x14ac:dyDescent="0.3">
      <c r="C8" s="6" t="s">
        <v>16</v>
      </c>
      <c r="D8" s="4" t="str">
        <f>MID(D7,3,2)&amp;"/"&amp;RIGHT(D7,2)</f>
        <v>19/20</v>
      </c>
      <c r="F8" s="63"/>
    </row>
    <row r="9" spans="3:95" x14ac:dyDescent="0.3">
      <c r="C9" s="11" t="s">
        <v>125</v>
      </c>
      <c r="D9" s="19">
        <f>DATE(LEFT(D7,4),4,1)</f>
        <v>43556</v>
      </c>
      <c r="F9" s="63"/>
    </row>
    <row r="10" spans="3:95" x14ac:dyDescent="0.3">
      <c r="C10" s="11" t="s">
        <v>124</v>
      </c>
      <c r="D10" s="7" t="s">
        <v>185</v>
      </c>
    </row>
    <row r="11" spans="3:95" x14ac:dyDescent="0.3">
      <c r="C11" s="11" t="s">
        <v>209</v>
      </c>
      <c r="D11" s="19">
        <f>DATE(LEFT(D10,4),4,1)</f>
        <v>43556</v>
      </c>
    </row>
    <row r="14" spans="3:95" x14ac:dyDescent="0.3">
      <c r="C14" s="6" t="s">
        <v>9</v>
      </c>
      <c r="F14" s="4" t="str">
        <f t="shared" ref="F14:AK14" si="0">RIGHT(YEAR(F15),2)&amp;"/"&amp;RIGHT(YEAR(F16),2)</f>
        <v>19/20</v>
      </c>
      <c r="G14" s="4" t="str">
        <f t="shared" si="0"/>
        <v>20/21</v>
      </c>
      <c r="H14" s="4" t="str">
        <f t="shared" si="0"/>
        <v>21/22</v>
      </c>
      <c r="I14" s="4" t="str">
        <f t="shared" si="0"/>
        <v>22/23</v>
      </c>
      <c r="J14" s="4" t="str">
        <f t="shared" si="0"/>
        <v>23/24</v>
      </c>
      <c r="K14" s="4" t="str">
        <f t="shared" si="0"/>
        <v>24/25</v>
      </c>
      <c r="L14" s="4" t="str">
        <f t="shared" si="0"/>
        <v>25/26</v>
      </c>
      <c r="M14" s="4" t="str">
        <f t="shared" si="0"/>
        <v>26/27</v>
      </c>
      <c r="N14" s="4" t="str">
        <f t="shared" si="0"/>
        <v>27/28</v>
      </c>
      <c r="O14" s="4" t="str">
        <f t="shared" si="0"/>
        <v>28/29</v>
      </c>
      <c r="P14" s="4" t="str">
        <f t="shared" si="0"/>
        <v>29/30</v>
      </c>
      <c r="Q14" s="4" t="str">
        <f t="shared" si="0"/>
        <v>30/31</v>
      </c>
      <c r="R14" s="4" t="str">
        <f t="shared" si="0"/>
        <v>31/32</v>
      </c>
      <c r="S14" s="4" t="str">
        <f t="shared" si="0"/>
        <v>32/33</v>
      </c>
      <c r="T14" s="4" t="str">
        <f t="shared" si="0"/>
        <v>33/34</v>
      </c>
      <c r="U14" s="4" t="str">
        <f t="shared" si="0"/>
        <v>34/35</v>
      </c>
      <c r="V14" s="4" t="str">
        <f t="shared" si="0"/>
        <v>35/36</v>
      </c>
      <c r="W14" s="4" t="str">
        <f t="shared" si="0"/>
        <v>36/37</v>
      </c>
      <c r="X14" s="4" t="str">
        <f t="shared" si="0"/>
        <v>37/38</v>
      </c>
      <c r="Y14" s="4" t="str">
        <f t="shared" si="0"/>
        <v>38/39</v>
      </c>
      <c r="Z14" s="4" t="str">
        <f t="shared" si="0"/>
        <v>39/40</v>
      </c>
      <c r="AA14" s="4" t="str">
        <f t="shared" si="0"/>
        <v>40/41</v>
      </c>
      <c r="AB14" s="4" t="str">
        <f t="shared" si="0"/>
        <v>41/42</v>
      </c>
      <c r="AC14" s="4" t="str">
        <f t="shared" si="0"/>
        <v>42/43</v>
      </c>
      <c r="AD14" s="4" t="str">
        <f t="shared" si="0"/>
        <v>43/44</v>
      </c>
      <c r="AE14" s="4" t="str">
        <f t="shared" si="0"/>
        <v>44/45</v>
      </c>
      <c r="AF14" s="4" t="str">
        <f t="shared" si="0"/>
        <v>45/46</v>
      </c>
      <c r="AG14" s="4" t="str">
        <f t="shared" si="0"/>
        <v>46/47</v>
      </c>
      <c r="AH14" s="4" t="str">
        <f t="shared" si="0"/>
        <v>47/48</v>
      </c>
      <c r="AI14" s="4" t="str">
        <f t="shared" si="0"/>
        <v>48/49</v>
      </c>
      <c r="AJ14" s="4" t="str">
        <f t="shared" si="0"/>
        <v>49/50</v>
      </c>
      <c r="AK14" s="4" t="str">
        <f t="shared" si="0"/>
        <v>50/51</v>
      </c>
      <c r="AL14" s="4" t="str">
        <f t="shared" ref="AL14:BQ14" si="1">RIGHT(YEAR(AL15),2)&amp;"/"&amp;RIGHT(YEAR(AL16),2)</f>
        <v>51/52</v>
      </c>
      <c r="AM14" s="4" t="str">
        <f t="shared" si="1"/>
        <v>52/53</v>
      </c>
      <c r="AN14" s="4" t="str">
        <f t="shared" si="1"/>
        <v>53/54</v>
      </c>
      <c r="AO14" s="4" t="str">
        <f t="shared" si="1"/>
        <v>54/55</v>
      </c>
      <c r="AP14" s="4" t="str">
        <f t="shared" si="1"/>
        <v>55/56</v>
      </c>
      <c r="AQ14" s="4" t="str">
        <f t="shared" si="1"/>
        <v>56/57</v>
      </c>
      <c r="AR14" s="4" t="str">
        <f t="shared" si="1"/>
        <v>57/58</v>
      </c>
      <c r="AS14" s="4" t="str">
        <f t="shared" si="1"/>
        <v>58/59</v>
      </c>
      <c r="AT14" s="4" t="str">
        <f t="shared" si="1"/>
        <v>59/60</v>
      </c>
      <c r="AU14" s="4" t="str">
        <f t="shared" si="1"/>
        <v>60/61</v>
      </c>
      <c r="AV14" s="4" t="str">
        <f t="shared" si="1"/>
        <v>61/62</v>
      </c>
      <c r="AW14" s="4" t="str">
        <f t="shared" si="1"/>
        <v>62/63</v>
      </c>
      <c r="AX14" s="4" t="str">
        <f t="shared" si="1"/>
        <v>63/64</v>
      </c>
      <c r="AY14" s="4" t="str">
        <f t="shared" si="1"/>
        <v>64/65</v>
      </c>
      <c r="AZ14" s="4" t="str">
        <f t="shared" si="1"/>
        <v>65/66</v>
      </c>
      <c r="BA14" s="4" t="str">
        <f t="shared" si="1"/>
        <v>66/67</v>
      </c>
      <c r="BB14" s="4" t="str">
        <f t="shared" si="1"/>
        <v>67/68</v>
      </c>
      <c r="BC14" s="4" t="str">
        <f t="shared" si="1"/>
        <v>68/69</v>
      </c>
      <c r="BD14" s="4" t="str">
        <f t="shared" si="1"/>
        <v>69/70</v>
      </c>
      <c r="BE14" s="4" t="str">
        <f t="shared" si="1"/>
        <v>70/71</v>
      </c>
      <c r="BF14" s="4" t="str">
        <f t="shared" si="1"/>
        <v>71/72</v>
      </c>
      <c r="BG14" s="4" t="str">
        <f t="shared" si="1"/>
        <v>72/73</v>
      </c>
      <c r="BH14" s="4" t="str">
        <f t="shared" si="1"/>
        <v>73/74</v>
      </c>
      <c r="BI14" s="4" t="str">
        <f t="shared" si="1"/>
        <v>74/75</v>
      </c>
      <c r="BJ14" s="4" t="str">
        <f t="shared" si="1"/>
        <v>75/76</v>
      </c>
      <c r="BK14" s="4" t="str">
        <f t="shared" si="1"/>
        <v>76/77</v>
      </c>
      <c r="BL14" s="4" t="str">
        <f t="shared" si="1"/>
        <v>77/78</v>
      </c>
      <c r="BM14" s="4" t="str">
        <f t="shared" si="1"/>
        <v>78/79</v>
      </c>
      <c r="BN14" s="4" t="str">
        <f t="shared" si="1"/>
        <v>79/80</v>
      </c>
      <c r="BO14" s="4" t="str">
        <f t="shared" si="1"/>
        <v>80/81</v>
      </c>
      <c r="BP14" s="4" t="str">
        <f t="shared" si="1"/>
        <v>81/82</v>
      </c>
      <c r="BQ14" s="4" t="str">
        <f t="shared" si="1"/>
        <v>82/83</v>
      </c>
      <c r="BR14" s="4" t="str">
        <f t="shared" ref="BR14:CQ14" si="2">RIGHT(YEAR(BR15),2)&amp;"/"&amp;RIGHT(YEAR(BR16),2)</f>
        <v>83/84</v>
      </c>
      <c r="BS14" s="4" t="str">
        <f t="shared" si="2"/>
        <v>84/85</v>
      </c>
      <c r="BT14" s="4" t="str">
        <f t="shared" si="2"/>
        <v>85/86</v>
      </c>
      <c r="BU14" s="4" t="str">
        <f t="shared" si="2"/>
        <v>86/87</v>
      </c>
      <c r="BV14" s="4" t="str">
        <f t="shared" si="2"/>
        <v>87/88</v>
      </c>
      <c r="BW14" s="4" t="str">
        <f t="shared" si="2"/>
        <v>88/89</v>
      </c>
      <c r="BX14" s="4" t="str">
        <f t="shared" si="2"/>
        <v>89/90</v>
      </c>
      <c r="BY14" s="4" t="str">
        <f t="shared" si="2"/>
        <v>90/91</v>
      </c>
      <c r="BZ14" s="4" t="str">
        <f t="shared" si="2"/>
        <v>91/92</v>
      </c>
      <c r="CA14" s="4" t="str">
        <f t="shared" si="2"/>
        <v>92/93</v>
      </c>
      <c r="CB14" s="4" t="str">
        <f t="shared" si="2"/>
        <v>93/94</v>
      </c>
      <c r="CC14" s="4" t="str">
        <f t="shared" si="2"/>
        <v>94/95</v>
      </c>
      <c r="CD14" s="4" t="str">
        <f t="shared" si="2"/>
        <v>95/96</v>
      </c>
      <c r="CE14" s="4" t="str">
        <f t="shared" si="2"/>
        <v>96/97</v>
      </c>
      <c r="CF14" s="4" t="str">
        <f t="shared" si="2"/>
        <v>97/98</v>
      </c>
      <c r="CG14" s="4" t="str">
        <f t="shared" si="2"/>
        <v>98/99</v>
      </c>
      <c r="CH14" s="4" t="str">
        <f t="shared" si="2"/>
        <v>99/00</v>
      </c>
      <c r="CI14" s="4" t="str">
        <f t="shared" si="2"/>
        <v>00/01</v>
      </c>
      <c r="CJ14" s="4" t="str">
        <f t="shared" si="2"/>
        <v>01/02</v>
      </c>
      <c r="CK14" s="4" t="str">
        <f t="shared" si="2"/>
        <v>02/03</v>
      </c>
      <c r="CL14" s="4" t="str">
        <f t="shared" si="2"/>
        <v>03/04</v>
      </c>
      <c r="CM14" s="4" t="str">
        <f t="shared" si="2"/>
        <v>04/05</v>
      </c>
      <c r="CN14" s="4" t="str">
        <f t="shared" si="2"/>
        <v>05/06</v>
      </c>
      <c r="CO14" s="4" t="str">
        <f t="shared" si="2"/>
        <v>06/07</v>
      </c>
      <c r="CP14" s="4" t="str">
        <f t="shared" si="2"/>
        <v>07/08</v>
      </c>
      <c r="CQ14" s="4" t="str">
        <f t="shared" si="2"/>
        <v>08/09</v>
      </c>
    </row>
    <row r="15" spans="3:95" x14ac:dyDescent="0.3">
      <c r="C15" s="6" t="s">
        <v>42</v>
      </c>
      <c r="F15" s="19">
        <f>D11</f>
        <v>43556</v>
      </c>
      <c r="G15" s="19">
        <f>EDATE(F15,12)</f>
        <v>43922</v>
      </c>
      <c r="H15" s="19">
        <f t="shared" ref="H15:BS15" si="3">EDATE(G15,12)</f>
        <v>44287</v>
      </c>
      <c r="I15" s="19">
        <f t="shared" si="3"/>
        <v>44652</v>
      </c>
      <c r="J15" s="19">
        <f t="shared" si="3"/>
        <v>45017</v>
      </c>
      <c r="K15" s="19">
        <f t="shared" si="3"/>
        <v>45383</v>
      </c>
      <c r="L15" s="19">
        <f t="shared" si="3"/>
        <v>45748</v>
      </c>
      <c r="M15" s="19">
        <f t="shared" si="3"/>
        <v>46113</v>
      </c>
      <c r="N15" s="19">
        <f t="shared" si="3"/>
        <v>46478</v>
      </c>
      <c r="O15" s="19">
        <f t="shared" si="3"/>
        <v>46844</v>
      </c>
      <c r="P15" s="19">
        <f t="shared" si="3"/>
        <v>47209</v>
      </c>
      <c r="Q15" s="19">
        <f t="shared" si="3"/>
        <v>47574</v>
      </c>
      <c r="R15" s="19">
        <f t="shared" si="3"/>
        <v>47939</v>
      </c>
      <c r="S15" s="19">
        <f t="shared" si="3"/>
        <v>48305</v>
      </c>
      <c r="T15" s="19">
        <f t="shared" si="3"/>
        <v>48670</v>
      </c>
      <c r="U15" s="19">
        <f t="shared" si="3"/>
        <v>49035</v>
      </c>
      <c r="V15" s="19">
        <f t="shared" si="3"/>
        <v>49400</v>
      </c>
      <c r="W15" s="19">
        <f t="shared" si="3"/>
        <v>49766</v>
      </c>
      <c r="X15" s="19">
        <f t="shared" si="3"/>
        <v>50131</v>
      </c>
      <c r="Y15" s="19">
        <f t="shared" si="3"/>
        <v>50496</v>
      </c>
      <c r="Z15" s="19">
        <f t="shared" si="3"/>
        <v>50861</v>
      </c>
      <c r="AA15" s="19">
        <f t="shared" si="3"/>
        <v>51227</v>
      </c>
      <c r="AB15" s="19">
        <f t="shared" si="3"/>
        <v>51592</v>
      </c>
      <c r="AC15" s="19">
        <f t="shared" si="3"/>
        <v>51957</v>
      </c>
      <c r="AD15" s="19">
        <f t="shared" si="3"/>
        <v>52322</v>
      </c>
      <c r="AE15" s="19">
        <f t="shared" si="3"/>
        <v>52688</v>
      </c>
      <c r="AF15" s="19">
        <f t="shared" si="3"/>
        <v>53053</v>
      </c>
      <c r="AG15" s="19">
        <f t="shared" si="3"/>
        <v>53418</v>
      </c>
      <c r="AH15" s="19">
        <f t="shared" si="3"/>
        <v>53783</v>
      </c>
      <c r="AI15" s="19">
        <f t="shared" si="3"/>
        <v>54149</v>
      </c>
      <c r="AJ15" s="19">
        <f t="shared" si="3"/>
        <v>54514</v>
      </c>
      <c r="AK15" s="19">
        <f t="shared" si="3"/>
        <v>54879</v>
      </c>
      <c r="AL15" s="19">
        <f t="shared" si="3"/>
        <v>55244</v>
      </c>
      <c r="AM15" s="19">
        <f t="shared" si="3"/>
        <v>55610</v>
      </c>
      <c r="AN15" s="19">
        <f t="shared" si="3"/>
        <v>55975</v>
      </c>
      <c r="AO15" s="19">
        <f t="shared" si="3"/>
        <v>56340</v>
      </c>
      <c r="AP15" s="19">
        <f t="shared" si="3"/>
        <v>56705</v>
      </c>
      <c r="AQ15" s="19">
        <f t="shared" si="3"/>
        <v>57071</v>
      </c>
      <c r="AR15" s="19">
        <f t="shared" si="3"/>
        <v>57436</v>
      </c>
      <c r="AS15" s="19">
        <f t="shared" si="3"/>
        <v>57801</v>
      </c>
      <c r="AT15" s="19">
        <f t="shared" si="3"/>
        <v>58166</v>
      </c>
      <c r="AU15" s="19">
        <f t="shared" si="3"/>
        <v>58532</v>
      </c>
      <c r="AV15" s="19">
        <f t="shared" si="3"/>
        <v>58897</v>
      </c>
      <c r="AW15" s="19">
        <f t="shared" si="3"/>
        <v>59262</v>
      </c>
      <c r="AX15" s="19">
        <f t="shared" si="3"/>
        <v>59627</v>
      </c>
      <c r="AY15" s="19">
        <f t="shared" si="3"/>
        <v>59993</v>
      </c>
      <c r="AZ15" s="19">
        <f t="shared" si="3"/>
        <v>60358</v>
      </c>
      <c r="BA15" s="19">
        <f t="shared" si="3"/>
        <v>60723</v>
      </c>
      <c r="BB15" s="19">
        <f t="shared" si="3"/>
        <v>61088</v>
      </c>
      <c r="BC15" s="19">
        <f t="shared" si="3"/>
        <v>61454</v>
      </c>
      <c r="BD15" s="19">
        <f t="shared" si="3"/>
        <v>61819</v>
      </c>
      <c r="BE15" s="19">
        <f t="shared" si="3"/>
        <v>62184</v>
      </c>
      <c r="BF15" s="19">
        <f t="shared" si="3"/>
        <v>62549</v>
      </c>
      <c r="BG15" s="19">
        <f t="shared" si="3"/>
        <v>62915</v>
      </c>
      <c r="BH15" s="19">
        <f t="shared" si="3"/>
        <v>63280</v>
      </c>
      <c r="BI15" s="19">
        <f t="shared" si="3"/>
        <v>63645</v>
      </c>
      <c r="BJ15" s="19">
        <f t="shared" si="3"/>
        <v>64010</v>
      </c>
      <c r="BK15" s="19">
        <f t="shared" si="3"/>
        <v>64376</v>
      </c>
      <c r="BL15" s="19">
        <f t="shared" si="3"/>
        <v>64741</v>
      </c>
      <c r="BM15" s="19">
        <f t="shared" si="3"/>
        <v>65106</v>
      </c>
      <c r="BN15" s="19">
        <f t="shared" si="3"/>
        <v>65471</v>
      </c>
      <c r="BO15" s="19">
        <f t="shared" si="3"/>
        <v>65837</v>
      </c>
      <c r="BP15" s="19">
        <f t="shared" si="3"/>
        <v>66202</v>
      </c>
      <c r="BQ15" s="19">
        <f t="shared" si="3"/>
        <v>66567</v>
      </c>
      <c r="BR15" s="19">
        <f t="shared" si="3"/>
        <v>66932</v>
      </c>
      <c r="BS15" s="19">
        <f t="shared" si="3"/>
        <v>67298</v>
      </c>
      <c r="BT15" s="19">
        <f t="shared" ref="BT15:CQ15" si="4">EDATE(BS15,12)</f>
        <v>67663</v>
      </c>
      <c r="BU15" s="19">
        <f t="shared" si="4"/>
        <v>68028</v>
      </c>
      <c r="BV15" s="19">
        <f t="shared" si="4"/>
        <v>68393</v>
      </c>
      <c r="BW15" s="19">
        <f t="shared" si="4"/>
        <v>68759</v>
      </c>
      <c r="BX15" s="19">
        <f t="shared" si="4"/>
        <v>69124</v>
      </c>
      <c r="BY15" s="19">
        <f t="shared" si="4"/>
        <v>69489</v>
      </c>
      <c r="BZ15" s="19">
        <f t="shared" si="4"/>
        <v>69854</v>
      </c>
      <c r="CA15" s="19">
        <f t="shared" si="4"/>
        <v>70220</v>
      </c>
      <c r="CB15" s="19">
        <f t="shared" si="4"/>
        <v>70585</v>
      </c>
      <c r="CC15" s="19">
        <f t="shared" si="4"/>
        <v>70950</v>
      </c>
      <c r="CD15" s="19">
        <f t="shared" si="4"/>
        <v>71315</v>
      </c>
      <c r="CE15" s="19">
        <f t="shared" si="4"/>
        <v>71681</v>
      </c>
      <c r="CF15" s="19">
        <f t="shared" si="4"/>
        <v>72046</v>
      </c>
      <c r="CG15" s="19">
        <f t="shared" si="4"/>
        <v>72411</v>
      </c>
      <c r="CH15" s="19">
        <f t="shared" si="4"/>
        <v>72776</v>
      </c>
      <c r="CI15" s="19">
        <f t="shared" si="4"/>
        <v>73141</v>
      </c>
      <c r="CJ15" s="19">
        <f t="shared" si="4"/>
        <v>73506</v>
      </c>
      <c r="CK15" s="19">
        <f t="shared" si="4"/>
        <v>73871</v>
      </c>
      <c r="CL15" s="19">
        <f t="shared" si="4"/>
        <v>74236</v>
      </c>
      <c r="CM15" s="19">
        <f t="shared" si="4"/>
        <v>74602</v>
      </c>
      <c r="CN15" s="19">
        <f t="shared" si="4"/>
        <v>74967</v>
      </c>
      <c r="CO15" s="19">
        <f t="shared" si="4"/>
        <v>75332</v>
      </c>
      <c r="CP15" s="19">
        <f t="shared" si="4"/>
        <v>75697</v>
      </c>
      <c r="CQ15" s="19">
        <f t="shared" si="4"/>
        <v>76063</v>
      </c>
    </row>
    <row r="16" spans="3:95" x14ac:dyDescent="0.3">
      <c r="C16" s="6" t="s">
        <v>43</v>
      </c>
      <c r="F16" s="19">
        <f>EDATE(F15,12)-1</f>
        <v>43921</v>
      </c>
      <c r="G16" s="19">
        <f t="shared" ref="G16:BR16" si="5">EDATE(G15,12)-1</f>
        <v>44286</v>
      </c>
      <c r="H16" s="19">
        <f t="shared" si="5"/>
        <v>44651</v>
      </c>
      <c r="I16" s="19">
        <f t="shared" si="5"/>
        <v>45016</v>
      </c>
      <c r="J16" s="19">
        <f t="shared" si="5"/>
        <v>45382</v>
      </c>
      <c r="K16" s="19">
        <f t="shared" si="5"/>
        <v>45747</v>
      </c>
      <c r="L16" s="19">
        <f t="shared" si="5"/>
        <v>46112</v>
      </c>
      <c r="M16" s="19">
        <f t="shared" si="5"/>
        <v>46477</v>
      </c>
      <c r="N16" s="19">
        <f t="shared" si="5"/>
        <v>46843</v>
      </c>
      <c r="O16" s="19">
        <f t="shared" si="5"/>
        <v>47208</v>
      </c>
      <c r="P16" s="19">
        <f t="shared" si="5"/>
        <v>47573</v>
      </c>
      <c r="Q16" s="19">
        <f t="shared" si="5"/>
        <v>47938</v>
      </c>
      <c r="R16" s="19">
        <f t="shared" si="5"/>
        <v>48304</v>
      </c>
      <c r="S16" s="19">
        <f t="shared" si="5"/>
        <v>48669</v>
      </c>
      <c r="T16" s="19">
        <f t="shared" si="5"/>
        <v>49034</v>
      </c>
      <c r="U16" s="19">
        <f t="shared" si="5"/>
        <v>49399</v>
      </c>
      <c r="V16" s="19">
        <f t="shared" si="5"/>
        <v>49765</v>
      </c>
      <c r="W16" s="19">
        <f t="shared" si="5"/>
        <v>50130</v>
      </c>
      <c r="X16" s="19">
        <f t="shared" si="5"/>
        <v>50495</v>
      </c>
      <c r="Y16" s="19">
        <f t="shared" si="5"/>
        <v>50860</v>
      </c>
      <c r="Z16" s="19">
        <f t="shared" si="5"/>
        <v>51226</v>
      </c>
      <c r="AA16" s="19">
        <f t="shared" si="5"/>
        <v>51591</v>
      </c>
      <c r="AB16" s="19">
        <f t="shared" si="5"/>
        <v>51956</v>
      </c>
      <c r="AC16" s="19">
        <f t="shared" si="5"/>
        <v>52321</v>
      </c>
      <c r="AD16" s="19">
        <f t="shared" si="5"/>
        <v>52687</v>
      </c>
      <c r="AE16" s="19">
        <f t="shared" si="5"/>
        <v>53052</v>
      </c>
      <c r="AF16" s="19">
        <f t="shared" si="5"/>
        <v>53417</v>
      </c>
      <c r="AG16" s="19">
        <f t="shared" si="5"/>
        <v>53782</v>
      </c>
      <c r="AH16" s="19">
        <f t="shared" si="5"/>
        <v>54148</v>
      </c>
      <c r="AI16" s="19">
        <f t="shared" si="5"/>
        <v>54513</v>
      </c>
      <c r="AJ16" s="19">
        <f t="shared" si="5"/>
        <v>54878</v>
      </c>
      <c r="AK16" s="19">
        <f t="shared" si="5"/>
        <v>55243</v>
      </c>
      <c r="AL16" s="19">
        <f t="shared" si="5"/>
        <v>55609</v>
      </c>
      <c r="AM16" s="19">
        <f t="shared" si="5"/>
        <v>55974</v>
      </c>
      <c r="AN16" s="19">
        <f t="shared" si="5"/>
        <v>56339</v>
      </c>
      <c r="AO16" s="19">
        <f t="shared" si="5"/>
        <v>56704</v>
      </c>
      <c r="AP16" s="19">
        <f t="shared" si="5"/>
        <v>57070</v>
      </c>
      <c r="AQ16" s="19">
        <f t="shared" si="5"/>
        <v>57435</v>
      </c>
      <c r="AR16" s="19">
        <f t="shared" si="5"/>
        <v>57800</v>
      </c>
      <c r="AS16" s="19">
        <f t="shared" si="5"/>
        <v>58165</v>
      </c>
      <c r="AT16" s="19">
        <f t="shared" si="5"/>
        <v>58531</v>
      </c>
      <c r="AU16" s="19">
        <f t="shared" si="5"/>
        <v>58896</v>
      </c>
      <c r="AV16" s="19">
        <f t="shared" si="5"/>
        <v>59261</v>
      </c>
      <c r="AW16" s="19">
        <f t="shared" si="5"/>
        <v>59626</v>
      </c>
      <c r="AX16" s="19">
        <f t="shared" si="5"/>
        <v>59992</v>
      </c>
      <c r="AY16" s="19">
        <f t="shared" si="5"/>
        <v>60357</v>
      </c>
      <c r="AZ16" s="19">
        <f t="shared" si="5"/>
        <v>60722</v>
      </c>
      <c r="BA16" s="19">
        <f t="shared" si="5"/>
        <v>61087</v>
      </c>
      <c r="BB16" s="19">
        <f t="shared" si="5"/>
        <v>61453</v>
      </c>
      <c r="BC16" s="19">
        <f t="shared" si="5"/>
        <v>61818</v>
      </c>
      <c r="BD16" s="19">
        <f t="shared" si="5"/>
        <v>62183</v>
      </c>
      <c r="BE16" s="19">
        <f t="shared" si="5"/>
        <v>62548</v>
      </c>
      <c r="BF16" s="19">
        <f t="shared" si="5"/>
        <v>62914</v>
      </c>
      <c r="BG16" s="19">
        <f t="shared" si="5"/>
        <v>63279</v>
      </c>
      <c r="BH16" s="19">
        <f t="shared" si="5"/>
        <v>63644</v>
      </c>
      <c r="BI16" s="19">
        <f t="shared" si="5"/>
        <v>64009</v>
      </c>
      <c r="BJ16" s="19">
        <f t="shared" si="5"/>
        <v>64375</v>
      </c>
      <c r="BK16" s="19">
        <f t="shared" si="5"/>
        <v>64740</v>
      </c>
      <c r="BL16" s="19">
        <f t="shared" si="5"/>
        <v>65105</v>
      </c>
      <c r="BM16" s="19">
        <f t="shared" si="5"/>
        <v>65470</v>
      </c>
      <c r="BN16" s="19">
        <f t="shared" si="5"/>
        <v>65836</v>
      </c>
      <c r="BO16" s="19">
        <f t="shared" si="5"/>
        <v>66201</v>
      </c>
      <c r="BP16" s="19">
        <f t="shared" si="5"/>
        <v>66566</v>
      </c>
      <c r="BQ16" s="19">
        <f t="shared" si="5"/>
        <v>66931</v>
      </c>
      <c r="BR16" s="19">
        <f t="shared" si="5"/>
        <v>67297</v>
      </c>
      <c r="BS16" s="19">
        <f t="shared" ref="BS16:CQ16" si="6">EDATE(BS15,12)-1</f>
        <v>67662</v>
      </c>
      <c r="BT16" s="19">
        <f t="shared" si="6"/>
        <v>68027</v>
      </c>
      <c r="BU16" s="19">
        <f t="shared" si="6"/>
        <v>68392</v>
      </c>
      <c r="BV16" s="19">
        <f t="shared" si="6"/>
        <v>68758</v>
      </c>
      <c r="BW16" s="19">
        <f t="shared" si="6"/>
        <v>69123</v>
      </c>
      <c r="BX16" s="19">
        <f t="shared" si="6"/>
        <v>69488</v>
      </c>
      <c r="BY16" s="19">
        <f t="shared" si="6"/>
        <v>69853</v>
      </c>
      <c r="BZ16" s="19">
        <f t="shared" si="6"/>
        <v>70219</v>
      </c>
      <c r="CA16" s="19">
        <f t="shared" si="6"/>
        <v>70584</v>
      </c>
      <c r="CB16" s="19">
        <f t="shared" si="6"/>
        <v>70949</v>
      </c>
      <c r="CC16" s="19">
        <f t="shared" si="6"/>
        <v>71314</v>
      </c>
      <c r="CD16" s="19">
        <f t="shared" si="6"/>
        <v>71680</v>
      </c>
      <c r="CE16" s="19">
        <f t="shared" si="6"/>
        <v>72045</v>
      </c>
      <c r="CF16" s="19">
        <f t="shared" si="6"/>
        <v>72410</v>
      </c>
      <c r="CG16" s="19">
        <f t="shared" si="6"/>
        <v>72775</v>
      </c>
      <c r="CH16" s="19">
        <f t="shared" si="6"/>
        <v>73140</v>
      </c>
      <c r="CI16" s="19">
        <f t="shared" si="6"/>
        <v>73505</v>
      </c>
      <c r="CJ16" s="19">
        <f t="shared" si="6"/>
        <v>73870</v>
      </c>
      <c r="CK16" s="19">
        <f t="shared" si="6"/>
        <v>74235</v>
      </c>
      <c r="CL16" s="19">
        <f t="shared" si="6"/>
        <v>74601</v>
      </c>
      <c r="CM16" s="19">
        <f t="shared" si="6"/>
        <v>74966</v>
      </c>
      <c r="CN16" s="19">
        <f t="shared" si="6"/>
        <v>75331</v>
      </c>
      <c r="CO16" s="19">
        <f t="shared" si="6"/>
        <v>75696</v>
      </c>
      <c r="CP16" s="19">
        <f t="shared" si="6"/>
        <v>76062</v>
      </c>
      <c r="CQ16" s="19">
        <f t="shared" si="6"/>
        <v>76427</v>
      </c>
    </row>
    <row r="17" spans="3:95" x14ac:dyDescent="0.3">
      <c r="C17" s="11" t="s">
        <v>56</v>
      </c>
      <c r="F17" s="20">
        <f t="shared" ref="F17:AK17" si="7">IF(F14=Model_Base,0,IF(F15&lt;$D$9,G17-1,E17+1))</f>
        <v>0</v>
      </c>
      <c r="G17" s="20">
        <f t="shared" si="7"/>
        <v>1</v>
      </c>
      <c r="H17" s="20">
        <f t="shared" si="7"/>
        <v>2</v>
      </c>
      <c r="I17" s="20">
        <f t="shared" si="7"/>
        <v>3</v>
      </c>
      <c r="J17" s="20">
        <f t="shared" si="7"/>
        <v>4</v>
      </c>
      <c r="K17" s="20">
        <f t="shared" si="7"/>
        <v>5</v>
      </c>
      <c r="L17" s="20">
        <f t="shared" si="7"/>
        <v>6</v>
      </c>
      <c r="M17" s="20">
        <f t="shared" si="7"/>
        <v>7</v>
      </c>
      <c r="N17" s="20">
        <f t="shared" si="7"/>
        <v>8</v>
      </c>
      <c r="O17" s="20">
        <f t="shared" si="7"/>
        <v>9</v>
      </c>
      <c r="P17" s="20">
        <f t="shared" si="7"/>
        <v>10</v>
      </c>
      <c r="Q17" s="20">
        <f t="shared" si="7"/>
        <v>11</v>
      </c>
      <c r="R17" s="20">
        <f t="shared" si="7"/>
        <v>12</v>
      </c>
      <c r="S17" s="20">
        <f t="shared" si="7"/>
        <v>13</v>
      </c>
      <c r="T17" s="20">
        <f t="shared" si="7"/>
        <v>14</v>
      </c>
      <c r="U17" s="20">
        <f t="shared" si="7"/>
        <v>15</v>
      </c>
      <c r="V17" s="20">
        <f t="shared" si="7"/>
        <v>16</v>
      </c>
      <c r="W17" s="20">
        <f t="shared" si="7"/>
        <v>17</v>
      </c>
      <c r="X17" s="20">
        <f t="shared" si="7"/>
        <v>18</v>
      </c>
      <c r="Y17" s="20">
        <f t="shared" si="7"/>
        <v>19</v>
      </c>
      <c r="Z17" s="20">
        <f t="shared" si="7"/>
        <v>20</v>
      </c>
      <c r="AA17" s="20">
        <f t="shared" si="7"/>
        <v>21</v>
      </c>
      <c r="AB17" s="20">
        <f t="shared" si="7"/>
        <v>22</v>
      </c>
      <c r="AC17" s="20">
        <f t="shared" si="7"/>
        <v>23</v>
      </c>
      <c r="AD17" s="20">
        <f t="shared" si="7"/>
        <v>24</v>
      </c>
      <c r="AE17" s="20">
        <f t="shared" si="7"/>
        <v>25</v>
      </c>
      <c r="AF17" s="20">
        <f t="shared" si="7"/>
        <v>26</v>
      </c>
      <c r="AG17" s="20">
        <f t="shared" si="7"/>
        <v>27</v>
      </c>
      <c r="AH17" s="20">
        <f t="shared" si="7"/>
        <v>28</v>
      </c>
      <c r="AI17" s="20">
        <f t="shared" si="7"/>
        <v>29</v>
      </c>
      <c r="AJ17" s="20">
        <f t="shared" si="7"/>
        <v>30</v>
      </c>
      <c r="AK17" s="20">
        <f t="shared" si="7"/>
        <v>31</v>
      </c>
      <c r="AL17" s="20">
        <f t="shared" ref="AL17:BQ17" si="8">IF(AL14=Model_Base,0,IF(AL15&lt;$D$9,AM17-1,AK17+1))</f>
        <v>32</v>
      </c>
      <c r="AM17" s="20">
        <f t="shared" si="8"/>
        <v>33</v>
      </c>
      <c r="AN17" s="20">
        <f t="shared" si="8"/>
        <v>34</v>
      </c>
      <c r="AO17" s="20">
        <f t="shared" si="8"/>
        <v>35</v>
      </c>
      <c r="AP17" s="20">
        <f t="shared" si="8"/>
        <v>36</v>
      </c>
      <c r="AQ17" s="20">
        <f t="shared" si="8"/>
        <v>37</v>
      </c>
      <c r="AR17" s="20">
        <f t="shared" si="8"/>
        <v>38</v>
      </c>
      <c r="AS17" s="20">
        <f t="shared" si="8"/>
        <v>39</v>
      </c>
      <c r="AT17" s="20">
        <f t="shared" si="8"/>
        <v>40</v>
      </c>
      <c r="AU17" s="20">
        <f t="shared" si="8"/>
        <v>41</v>
      </c>
      <c r="AV17" s="20">
        <f t="shared" si="8"/>
        <v>42</v>
      </c>
      <c r="AW17" s="20">
        <f t="shared" si="8"/>
        <v>43</v>
      </c>
      <c r="AX17" s="20">
        <f t="shared" si="8"/>
        <v>44</v>
      </c>
      <c r="AY17" s="20">
        <f t="shared" si="8"/>
        <v>45</v>
      </c>
      <c r="AZ17" s="20">
        <f t="shared" si="8"/>
        <v>46</v>
      </c>
      <c r="BA17" s="20">
        <f t="shared" si="8"/>
        <v>47</v>
      </c>
      <c r="BB17" s="20">
        <f t="shared" si="8"/>
        <v>48</v>
      </c>
      <c r="BC17" s="20">
        <f t="shared" si="8"/>
        <v>49</v>
      </c>
      <c r="BD17" s="20">
        <f t="shared" si="8"/>
        <v>50</v>
      </c>
      <c r="BE17" s="20">
        <f t="shared" si="8"/>
        <v>51</v>
      </c>
      <c r="BF17" s="20">
        <f t="shared" si="8"/>
        <v>52</v>
      </c>
      <c r="BG17" s="20">
        <f t="shared" si="8"/>
        <v>53</v>
      </c>
      <c r="BH17" s="20">
        <f t="shared" si="8"/>
        <v>54</v>
      </c>
      <c r="BI17" s="20">
        <f t="shared" si="8"/>
        <v>55</v>
      </c>
      <c r="BJ17" s="20">
        <f t="shared" si="8"/>
        <v>56</v>
      </c>
      <c r="BK17" s="20">
        <f t="shared" si="8"/>
        <v>57</v>
      </c>
      <c r="BL17" s="20">
        <f t="shared" si="8"/>
        <v>58</v>
      </c>
      <c r="BM17" s="20">
        <f t="shared" si="8"/>
        <v>59</v>
      </c>
      <c r="BN17" s="20">
        <f t="shared" si="8"/>
        <v>60</v>
      </c>
      <c r="BO17" s="20">
        <f t="shared" si="8"/>
        <v>61</v>
      </c>
      <c r="BP17" s="20">
        <f t="shared" si="8"/>
        <v>62</v>
      </c>
      <c r="BQ17" s="20">
        <f t="shared" si="8"/>
        <v>63</v>
      </c>
      <c r="BR17" s="20">
        <f t="shared" ref="BR17:CQ17" si="9">IF(BR14=Model_Base,0,IF(BR15&lt;$D$9,BS17-1,BQ17+1))</f>
        <v>64</v>
      </c>
      <c r="BS17" s="20">
        <f t="shared" si="9"/>
        <v>65</v>
      </c>
      <c r="BT17" s="20">
        <f t="shared" si="9"/>
        <v>66</v>
      </c>
      <c r="BU17" s="20">
        <f t="shared" si="9"/>
        <v>67</v>
      </c>
      <c r="BV17" s="20">
        <f t="shared" si="9"/>
        <v>68</v>
      </c>
      <c r="BW17" s="20">
        <f t="shared" si="9"/>
        <v>69</v>
      </c>
      <c r="BX17" s="20">
        <f t="shared" si="9"/>
        <v>70</v>
      </c>
      <c r="BY17" s="20">
        <f t="shared" si="9"/>
        <v>71</v>
      </c>
      <c r="BZ17" s="20">
        <f t="shared" si="9"/>
        <v>72</v>
      </c>
      <c r="CA17" s="20">
        <f t="shared" si="9"/>
        <v>73</v>
      </c>
      <c r="CB17" s="20">
        <f t="shared" si="9"/>
        <v>74</v>
      </c>
      <c r="CC17" s="20">
        <f t="shared" si="9"/>
        <v>75</v>
      </c>
      <c r="CD17" s="20">
        <f t="shared" si="9"/>
        <v>76</v>
      </c>
      <c r="CE17" s="20">
        <f t="shared" si="9"/>
        <v>77</v>
      </c>
      <c r="CF17" s="20">
        <f t="shared" si="9"/>
        <v>78</v>
      </c>
      <c r="CG17" s="20">
        <f t="shared" si="9"/>
        <v>79</v>
      </c>
      <c r="CH17" s="20">
        <f t="shared" si="9"/>
        <v>80</v>
      </c>
      <c r="CI17" s="20">
        <f t="shared" si="9"/>
        <v>81</v>
      </c>
      <c r="CJ17" s="20">
        <f t="shared" si="9"/>
        <v>82</v>
      </c>
      <c r="CK17" s="20">
        <f t="shared" si="9"/>
        <v>83</v>
      </c>
      <c r="CL17" s="20">
        <f t="shared" si="9"/>
        <v>84</v>
      </c>
      <c r="CM17" s="20">
        <f t="shared" si="9"/>
        <v>85</v>
      </c>
      <c r="CN17" s="20">
        <f t="shared" si="9"/>
        <v>86</v>
      </c>
      <c r="CO17" s="20">
        <f t="shared" si="9"/>
        <v>87</v>
      </c>
      <c r="CP17" s="20">
        <f t="shared" si="9"/>
        <v>88</v>
      </c>
      <c r="CQ17" s="20">
        <f t="shared" si="9"/>
        <v>89</v>
      </c>
    </row>
  </sheetData>
  <conditionalFormatting sqref="D1">
    <cfRule type="cellIs" dxfId="34" priority="1" operator="equal">
      <formula>"Error"</formula>
    </cfRule>
  </conditionalFormatting>
  <dataValidations count="1">
    <dataValidation type="custom" allowBlank="1" showInputMessage="1" showErrorMessage="1" error="Year must be entered as YYYY/YY+1 e.g 2018/19" sqref="D7 D10">
      <formula1>AND(MID(D7,3,2)*1=RIGHT(D7,2)-1,LEN(D7)=7)</formula1>
    </dataValidation>
  </dataValidations>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tint="0.79998168889431442"/>
  </sheetPr>
  <dimension ref="C1:E18"/>
  <sheetViews>
    <sheetView showGridLines="0" workbookViewId="0"/>
  </sheetViews>
  <sheetFormatPr defaultRowHeight="14.4" x14ac:dyDescent="0.3"/>
  <cols>
    <col min="1" max="2" width="2.77734375" customWidth="1"/>
    <col min="3" max="3" width="11.77734375" customWidth="1"/>
    <col min="4" max="4" width="43.6640625" customWidth="1"/>
    <col min="5" max="5" width="20.88671875" bestFit="1" customWidth="1"/>
  </cols>
  <sheetData>
    <row r="1" spans="3:5" x14ac:dyDescent="0.3">
      <c r="C1" t="s">
        <v>79</v>
      </c>
      <c r="D1" s="33" t="str">
        <f ca="1">Model_Health</f>
        <v>OK</v>
      </c>
    </row>
    <row r="3" spans="3:5" x14ac:dyDescent="0.3">
      <c r="C3" s="35" t="s">
        <v>80</v>
      </c>
      <c r="D3" s="36"/>
    </row>
    <row r="4" spans="3:5" x14ac:dyDescent="0.3">
      <c r="C4" s="65" t="s">
        <v>142</v>
      </c>
    </row>
    <row r="5" spans="3:5" x14ac:dyDescent="0.3">
      <c r="D5" s="36"/>
    </row>
    <row r="6" spans="3:5" x14ac:dyDescent="0.3">
      <c r="C6" s="37" t="s">
        <v>81</v>
      </c>
    </row>
    <row r="7" spans="3:5" x14ac:dyDescent="0.3">
      <c r="C7" s="36"/>
    </row>
    <row r="8" spans="3:5" x14ac:dyDescent="0.3">
      <c r="C8" s="11" t="s">
        <v>82</v>
      </c>
      <c r="D8" s="11" t="s">
        <v>23</v>
      </c>
      <c r="E8" s="11" t="s">
        <v>30</v>
      </c>
    </row>
    <row r="9" spans="3:5" ht="14.4" customHeight="1" x14ac:dyDescent="0.3">
      <c r="C9" s="7">
        <v>1</v>
      </c>
      <c r="D9" s="7"/>
      <c r="E9" s="7"/>
    </row>
    <row r="10" spans="3:5" ht="14.4" customHeight="1" x14ac:dyDescent="0.3">
      <c r="C10" s="7">
        <f>C9+1</f>
        <v>2</v>
      </c>
      <c r="D10" s="7"/>
      <c r="E10" s="7"/>
    </row>
    <row r="11" spans="3:5" ht="14.4" customHeight="1" x14ac:dyDescent="0.3">
      <c r="C11" s="7">
        <f t="shared" ref="C11:C18" si="0">C10+1</f>
        <v>3</v>
      </c>
      <c r="D11" s="7"/>
      <c r="E11" s="7"/>
    </row>
    <row r="12" spans="3:5" ht="14.4" customHeight="1" x14ac:dyDescent="0.3">
      <c r="C12" s="7">
        <f t="shared" si="0"/>
        <v>4</v>
      </c>
      <c r="D12" s="7"/>
      <c r="E12" s="7"/>
    </row>
    <row r="13" spans="3:5" ht="14.4" customHeight="1" x14ac:dyDescent="0.3">
      <c r="C13" s="7">
        <f t="shared" si="0"/>
        <v>5</v>
      </c>
      <c r="D13" s="7"/>
      <c r="E13" s="7"/>
    </row>
    <row r="14" spans="3:5" ht="14.4" customHeight="1" x14ac:dyDescent="0.3">
      <c r="C14" s="7">
        <f t="shared" si="0"/>
        <v>6</v>
      </c>
      <c r="D14" s="7"/>
      <c r="E14" s="7"/>
    </row>
    <row r="15" spans="3:5" ht="14.4" customHeight="1" x14ac:dyDescent="0.3">
      <c r="C15" s="7">
        <f t="shared" si="0"/>
        <v>7</v>
      </c>
      <c r="D15" s="7"/>
      <c r="E15" s="7"/>
    </row>
    <row r="16" spans="3:5" ht="14.4" customHeight="1" x14ac:dyDescent="0.3">
      <c r="C16" s="7">
        <f t="shared" si="0"/>
        <v>8</v>
      </c>
      <c r="D16" s="7"/>
      <c r="E16" s="7"/>
    </row>
    <row r="17" spans="3:5" ht="14.4" customHeight="1" x14ac:dyDescent="0.3">
      <c r="C17" s="7">
        <f t="shared" si="0"/>
        <v>9</v>
      </c>
      <c r="D17" s="7"/>
      <c r="E17" s="7"/>
    </row>
    <row r="18" spans="3:5" ht="14.4" customHeight="1" x14ac:dyDescent="0.3">
      <c r="C18" s="7">
        <f t="shared" si="0"/>
        <v>10</v>
      </c>
      <c r="D18" s="7"/>
      <c r="E18" s="7"/>
    </row>
  </sheetData>
  <conditionalFormatting sqref="D1">
    <cfRule type="cellIs" dxfId="33" priority="1" operator="equal">
      <formula>"Error"</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79998168889431442"/>
  </sheetPr>
  <dimension ref="A1"/>
  <sheetViews>
    <sheetView workbookViewId="0"/>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7" tint="0.79998168889431442"/>
  </sheetPr>
  <dimension ref="C1:G24"/>
  <sheetViews>
    <sheetView showGridLines="0" workbookViewId="0"/>
  </sheetViews>
  <sheetFormatPr defaultRowHeight="14.4" x14ac:dyDescent="0.3"/>
  <cols>
    <col min="1" max="2" width="2.77734375" customWidth="1"/>
    <col min="3" max="3" width="10" bestFit="1" customWidth="1"/>
    <col min="4" max="4" width="10.21875" bestFit="1" customWidth="1"/>
    <col min="5" max="6" width="10.5546875" bestFit="1" customWidth="1"/>
    <col min="7" max="7" width="9.21875" bestFit="1" customWidth="1"/>
    <col min="9" max="10" width="11.5546875" bestFit="1" customWidth="1"/>
    <col min="11" max="11" width="10.109375" customWidth="1"/>
    <col min="13" max="13" width="9.109375" bestFit="1" customWidth="1"/>
    <col min="14" max="14" width="15.33203125" bestFit="1" customWidth="1"/>
    <col min="15" max="15" width="9.5546875" bestFit="1" customWidth="1"/>
    <col min="16" max="16" width="10.33203125" bestFit="1" customWidth="1"/>
    <col min="17" max="17" width="10.33203125" customWidth="1"/>
    <col min="18" max="18" width="9.77734375" bestFit="1" customWidth="1"/>
  </cols>
  <sheetData>
    <row r="1" spans="3:7" x14ac:dyDescent="0.3">
      <c r="C1" t="s">
        <v>79</v>
      </c>
      <c r="D1" s="33" t="str">
        <f ca="1">Model_Health</f>
        <v>OK</v>
      </c>
    </row>
    <row r="3" spans="3:7" ht="21" x14ac:dyDescent="0.4">
      <c r="C3" s="3" t="s">
        <v>30</v>
      </c>
    </row>
    <row r="4" spans="3:7" x14ac:dyDescent="0.3">
      <c r="C4" s="65" t="s">
        <v>144</v>
      </c>
    </row>
    <row r="5" spans="3:7" ht="11.4" customHeight="1" x14ac:dyDescent="0.3">
      <c r="C5" s="65" t="s">
        <v>143</v>
      </c>
      <c r="D5" s="36"/>
    </row>
    <row r="8" spans="3:7" x14ac:dyDescent="0.3">
      <c r="C8" s="11" t="s">
        <v>32</v>
      </c>
      <c r="D8" s="11" t="s">
        <v>33</v>
      </c>
      <c r="E8" s="11" t="s">
        <v>34</v>
      </c>
      <c r="F8" s="11" t="s">
        <v>35</v>
      </c>
      <c r="G8" s="11" t="s">
        <v>31</v>
      </c>
    </row>
    <row r="9" spans="3:7" x14ac:dyDescent="0.3">
      <c r="C9" s="7" t="s">
        <v>36</v>
      </c>
      <c r="D9" s="7" t="s">
        <v>38</v>
      </c>
      <c r="E9" s="17">
        <v>42736</v>
      </c>
      <c r="F9" s="7" t="s">
        <v>28</v>
      </c>
      <c r="G9" s="7">
        <v>2</v>
      </c>
    </row>
    <row r="10" spans="3:7" x14ac:dyDescent="0.3">
      <c r="C10" s="7" t="s">
        <v>37</v>
      </c>
      <c r="D10" s="7" t="s">
        <v>39</v>
      </c>
      <c r="E10" s="17">
        <v>42736</v>
      </c>
      <c r="F10" s="7" t="s">
        <v>28</v>
      </c>
      <c r="G10" s="7">
        <v>7</v>
      </c>
    </row>
    <row r="11" spans="3:7" x14ac:dyDescent="0.3">
      <c r="C11" s="15"/>
      <c r="D11" s="16" t="s">
        <v>29</v>
      </c>
      <c r="E11" s="13"/>
      <c r="F11" s="13"/>
      <c r="G11" s="14"/>
    </row>
    <row r="13" spans="3:7" x14ac:dyDescent="0.3">
      <c r="C13" t="s">
        <v>40</v>
      </c>
    </row>
    <row r="15" spans="3:7" x14ac:dyDescent="0.3">
      <c r="C15" s="11" t="s">
        <v>31</v>
      </c>
      <c r="D15" s="11" t="s">
        <v>23</v>
      </c>
      <c r="E15" s="11" t="s">
        <v>23</v>
      </c>
      <c r="F15" s="11" t="s">
        <v>23</v>
      </c>
      <c r="G15" s="11" t="s">
        <v>23</v>
      </c>
    </row>
    <row r="16" spans="3:7" x14ac:dyDescent="0.3">
      <c r="C16" s="11">
        <v>1</v>
      </c>
      <c r="D16" s="5"/>
      <c r="E16" s="5"/>
      <c r="F16" s="5"/>
      <c r="G16" s="5"/>
    </row>
    <row r="17" spans="3:7" x14ac:dyDescent="0.3">
      <c r="C17" s="11">
        <v>2</v>
      </c>
      <c r="D17" s="5"/>
      <c r="E17" s="5"/>
      <c r="F17" s="5"/>
      <c r="G17" s="5"/>
    </row>
    <row r="18" spans="3:7" x14ac:dyDescent="0.3">
      <c r="C18" s="11">
        <v>3</v>
      </c>
      <c r="D18" s="5"/>
      <c r="E18" s="5"/>
      <c r="F18" s="5"/>
      <c r="G18" s="5"/>
    </row>
    <row r="19" spans="3:7" x14ac:dyDescent="0.3">
      <c r="C19" s="11">
        <v>4</v>
      </c>
      <c r="D19" s="5"/>
      <c r="E19" s="5"/>
      <c r="F19" s="5"/>
      <c r="G19" s="5"/>
    </row>
    <row r="20" spans="3:7" x14ac:dyDescent="0.3">
      <c r="C20" s="11">
        <v>5</v>
      </c>
      <c r="D20" s="5"/>
      <c r="E20" s="5"/>
      <c r="F20" s="5"/>
      <c r="G20" s="5"/>
    </row>
    <row r="21" spans="3:7" x14ac:dyDescent="0.3">
      <c r="C21" s="11">
        <v>6</v>
      </c>
      <c r="D21" s="5"/>
      <c r="E21" s="5"/>
      <c r="F21" s="5"/>
      <c r="G21" s="5"/>
    </row>
    <row r="22" spans="3:7" x14ac:dyDescent="0.3">
      <c r="C22" s="11">
        <v>7</v>
      </c>
      <c r="D22" s="5"/>
      <c r="E22" s="5"/>
      <c r="F22" s="5"/>
      <c r="G22" s="5"/>
    </row>
    <row r="23" spans="3:7" x14ac:dyDescent="0.3">
      <c r="C23" s="11">
        <v>8</v>
      </c>
      <c r="D23" s="5"/>
      <c r="E23" s="5"/>
      <c r="F23" s="5"/>
      <c r="G23" s="5"/>
    </row>
    <row r="24" spans="3:7" x14ac:dyDescent="0.3">
      <c r="C24" s="11">
        <v>9</v>
      </c>
      <c r="D24" s="5"/>
      <c r="E24" s="5"/>
      <c r="F24" s="5"/>
      <c r="G24" s="5"/>
    </row>
  </sheetData>
  <conditionalFormatting sqref="D1">
    <cfRule type="cellIs" dxfId="32" priority="1" operator="equal">
      <formula>"Error"</formula>
    </cfRule>
  </conditionalFormatting>
  <dataValidations count="2">
    <dataValidation type="list" allowBlank="1" showInputMessage="1" showErrorMessage="1" sqref="F9:F10">
      <formula1>"Yes,No"</formula1>
    </dataValidation>
    <dataValidation type="list" allowBlank="1" showInputMessage="1" showErrorMessage="1" sqref="G9:G10">
      <formula1>$C$16:$C$24</formula1>
    </dataValidation>
  </dataValidation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7" tint="0.79998168889431442"/>
  </sheetPr>
  <dimension ref="A1:CQ59"/>
  <sheetViews>
    <sheetView showGridLines="0" topLeftCell="A40" workbookViewId="0">
      <selection activeCell="F38" sqref="F38"/>
    </sheetView>
  </sheetViews>
  <sheetFormatPr defaultRowHeight="14.4" x14ac:dyDescent="0.3"/>
  <cols>
    <col min="1" max="2" width="2.77734375" customWidth="1"/>
    <col min="3" max="3" width="22.109375" bestFit="1" customWidth="1"/>
    <col min="4" max="4" width="9.21875" bestFit="1" customWidth="1"/>
    <col min="5" max="5" width="2.77734375" customWidth="1"/>
    <col min="7" max="7" width="9.5546875" bestFit="1" customWidth="1"/>
  </cols>
  <sheetData>
    <row r="1" spans="1:95" x14ac:dyDescent="0.3">
      <c r="A1" s="33">
        <f>IF(ISERROR(SUM(C9:CQ59)),1,0)</f>
        <v>0</v>
      </c>
      <c r="C1" t="s">
        <v>79</v>
      </c>
      <c r="D1" s="33" t="str">
        <f ca="1">Model_Health</f>
        <v>OK</v>
      </c>
    </row>
    <row r="3" spans="1:95" ht="21" x14ac:dyDescent="0.4">
      <c r="C3" s="3" t="s">
        <v>12</v>
      </c>
    </row>
    <row r="4" spans="1:95" x14ac:dyDescent="0.3">
      <c r="C4" s="65" t="s">
        <v>145</v>
      </c>
    </row>
    <row r="6" spans="1:95" ht="18" x14ac:dyDescent="0.35">
      <c r="C6" s="2" t="s">
        <v>13</v>
      </c>
    </row>
    <row r="7" spans="1:95" x14ac:dyDescent="0.3">
      <c r="C7" s="60" t="s">
        <v>122</v>
      </c>
    </row>
    <row r="9" spans="1:95" x14ac:dyDescent="0.3">
      <c r="C9" s="6" t="s">
        <v>14</v>
      </c>
      <c r="D9" s="6" t="s">
        <v>15</v>
      </c>
      <c r="F9" s="6" t="str">
        <f>Timeline!F$14</f>
        <v>19/20</v>
      </c>
      <c r="G9" s="6" t="str">
        <f>Timeline!G$14</f>
        <v>20/21</v>
      </c>
      <c r="H9" s="6" t="str">
        <f>Timeline!H$14</f>
        <v>21/22</v>
      </c>
      <c r="I9" s="6" t="str">
        <f>Timeline!I$14</f>
        <v>22/23</v>
      </c>
      <c r="J9" s="6" t="str">
        <f>Timeline!J$14</f>
        <v>23/24</v>
      </c>
      <c r="K9" s="6" t="str">
        <f>Timeline!K$14</f>
        <v>24/25</v>
      </c>
      <c r="L9" s="6" t="str">
        <f>Timeline!L$14</f>
        <v>25/26</v>
      </c>
      <c r="M9" s="6" t="str">
        <f>Timeline!M$14</f>
        <v>26/27</v>
      </c>
      <c r="N9" s="6" t="str">
        <f>Timeline!N$14</f>
        <v>27/28</v>
      </c>
      <c r="O9" s="6" t="str">
        <f>Timeline!O$14</f>
        <v>28/29</v>
      </c>
      <c r="P9" s="6" t="str">
        <f>Timeline!P$14</f>
        <v>29/30</v>
      </c>
      <c r="Q9" s="6" t="str">
        <f>Timeline!Q$14</f>
        <v>30/31</v>
      </c>
      <c r="R9" s="6" t="str">
        <f>Timeline!R$14</f>
        <v>31/32</v>
      </c>
      <c r="S9" s="6" t="str">
        <f>Timeline!S$14</f>
        <v>32/33</v>
      </c>
      <c r="T9" s="6" t="str">
        <f>Timeline!T$14</f>
        <v>33/34</v>
      </c>
      <c r="U9" s="6" t="str">
        <f>Timeline!U$14</f>
        <v>34/35</v>
      </c>
      <c r="V9" s="6" t="str">
        <f>Timeline!V$14</f>
        <v>35/36</v>
      </c>
      <c r="W9" s="6" t="str">
        <f>Timeline!W$14</f>
        <v>36/37</v>
      </c>
      <c r="X9" s="6" t="str">
        <f>Timeline!X$14</f>
        <v>37/38</v>
      </c>
      <c r="Y9" s="6" t="str">
        <f>Timeline!Y$14</f>
        <v>38/39</v>
      </c>
      <c r="Z9" s="6" t="str">
        <f>Timeline!Z$14</f>
        <v>39/40</v>
      </c>
      <c r="AA9" s="6" t="str">
        <f>Timeline!AA$14</f>
        <v>40/41</v>
      </c>
      <c r="AB9" s="6" t="str">
        <f>Timeline!AB$14</f>
        <v>41/42</v>
      </c>
      <c r="AC9" s="6" t="str">
        <f>Timeline!AC$14</f>
        <v>42/43</v>
      </c>
      <c r="AD9" s="6" t="str">
        <f>Timeline!AD$14</f>
        <v>43/44</v>
      </c>
      <c r="AE9" s="6" t="str">
        <f>Timeline!AE$14</f>
        <v>44/45</v>
      </c>
      <c r="AF9" s="6" t="str">
        <f>Timeline!AF$14</f>
        <v>45/46</v>
      </c>
      <c r="AG9" s="6" t="str">
        <f>Timeline!AG$14</f>
        <v>46/47</v>
      </c>
      <c r="AH9" s="6" t="str">
        <f>Timeline!AH$14</f>
        <v>47/48</v>
      </c>
      <c r="AI9" s="6" t="str">
        <f>Timeline!AI$14</f>
        <v>48/49</v>
      </c>
      <c r="AJ9" s="6" t="str">
        <f>Timeline!AJ$14</f>
        <v>49/50</v>
      </c>
      <c r="AK9" s="6" t="str">
        <f>Timeline!AK$14</f>
        <v>50/51</v>
      </c>
      <c r="AL9" s="6" t="str">
        <f>Timeline!AL$14</f>
        <v>51/52</v>
      </c>
      <c r="AM9" s="6" t="str">
        <f>Timeline!AM$14</f>
        <v>52/53</v>
      </c>
      <c r="AN9" s="6" t="str">
        <f>Timeline!AN$14</f>
        <v>53/54</v>
      </c>
      <c r="AO9" s="6" t="str">
        <f>Timeline!AO$14</f>
        <v>54/55</v>
      </c>
      <c r="AP9" s="6" t="str">
        <f>Timeline!AP$14</f>
        <v>55/56</v>
      </c>
      <c r="AQ9" s="6" t="str">
        <f>Timeline!AQ$14</f>
        <v>56/57</v>
      </c>
      <c r="AR9" s="6" t="str">
        <f>Timeline!AR$14</f>
        <v>57/58</v>
      </c>
      <c r="AS9" s="6" t="str">
        <f>Timeline!AS$14</f>
        <v>58/59</v>
      </c>
      <c r="AT9" s="6" t="str">
        <f>Timeline!AT$14</f>
        <v>59/60</v>
      </c>
      <c r="AU9" s="6" t="str">
        <f>Timeline!AU$14</f>
        <v>60/61</v>
      </c>
      <c r="AV9" s="6" t="str">
        <f>Timeline!AV$14</f>
        <v>61/62</v>
      </c>
      <c r="AW9" s="6" t="str">
        <f>Timeline!AW$14</f>
        <v>62/63</v>
      </c>
      <c r="AX9" s="6" t="str">
        <f>Timeline!AX$14</f>
        <v>63/64</v>
      </c>
      <c r="AY9" s="6" t="str">
        <f>Timeline!AY$14</f>
        <v>64/65</v>
      </c>
      <c r="AZ9" s="6" t="str">
        <f>Timeline!AZ$14</f>
        <v>65/66</v>
      </c>
      <c r="BA9" s="6" t="str">
        <f>Timeline!BA$14</f>
        <v>66/67</v>
      </c>
      <c r="BB9" s="6" t="str">
        <f>Timeline!BB$14</f>
        <v>67/68</v>
      </c>
      <c r="BC9" s="6" t="str">
        <f>Timeline!BC$14</f>
        <v>68/69</v>
      </c>
      <c r="BD9" s="6" t="str">
        <f>Timeline!BD$14</f>
        <v>69/70</v>
      </c>
      <c r="BE9" s="6" t="str">
        <f>Timeline!BE$14</f>
        <v>70/71</v>
      </c>
      <c r="BF9" s="6" t="str">
        <f>Timeline!BF$14</f>
        <v>71/72</v>
      </c>
      <c r="BG9" s="6" t="str">
        <f>Timeline!BG$14</f>
        <v>72/73</v>
      </c>
      <c r="BH9" s="6" t="str">
        <f>Timeline!BH$14</f>
        <v>73/74</v>
      </c>
      <c r="BI9" s="6" t="str">
        <f>Timeline!BI$14</f>
        <v>74/75</v>
      </c>
      <c r="BJ9" s="6" t="str">
        <f>Timeline!BJ$14</f>
        <v>75/76</v>
      </c>
      <c r="BK9" s="6" t="str">
        <f>Timeline!BK$14</f>
        <v>76/77</v>
      </c>
      <c r="BL9" s="6" t="str">
        <f>Timeline!BL$14</f>
        <v>77/78</v>
      </c>
      <c r="BM9" s="6" t="str">
        <f>Timeline!BM$14</f>
        <v>78/79</v>
      </c>
      <c r="BN9" s="6" t="str">
        <f>Timeline!BN$14</f>
        <v>79/80</v>
      </c>
      <c r="BO9" s="6" t="str">
        <f>Timeline!BO$14</f>
        <v>80/81</v>
      </c>
      <c r="BP9" s="6" t="str">
        <f>Timeline!BP$14</f>
        <v>81/82</v>
      </c>
      <c r="BQ9" s="6" t="str">
        <f>Timeline!BQ$14</f>
        <v>82/83</v>
      </c>
      <c r="BR9" s="6" t="str">
        <f>Timeline!BR$14</f>
        <v>83/84</v>
      </c>
      <c r="BS9" s="6" t="str">
        <f>Timeline!BS$14</f>
        <v>84/85</v>
      </c>
      <c r="BT9" s="6" t="str">
        <f>Timeline!BT$14</f>
        <v>85/86</v>
      </c>
      <c r="BU9" s="6" t="str">
        <f>Timeline!BU$14</f>
        <v>86/87</v>
      </c>
      <c r="BV9" s="6" t="str">
        <f>Timeline!BV$14</f>
        <v>87/88</v>
      </c>
      <c r="BW9" s="6" t="str">
        <f>Timeline!BW$14</f>
        <v>88/89</v>
      </c>
      <c r="BX9" s="6" t="str">
        <f>Timeline!BX$14</f>
        <v>89/90</v>
      </c>
      <c r="BY9" s="6" t="str">
        <f>Timeline!BY$14</f>
        <v>90/91</v>
      </c>
      <c r="BZ9" s="6" t="str">
        <f>Timeline!BZ$14</f>
        <v>91/92</v>
      </c>
      <c r="CA9" s="6" t="str">
        <f>Timeline!CA$14</f>
        <v>92/93</v>
      </c>
      <c r="CB9" s="6" t="str">
        <f>Timeline!CB$14</f>
        <v>93/94</v>
      </c>
      <c r="CC9" s="6" t="str">
        <f>Timeline!CC$14</f>
        <v>94/95</v>
      </c>
      <c r="CD9" s="6" t="str">
        <f>Timeline!CD$14</f>
        <v>95/96</v>
      </c>
      <c r="CE9" s="6" t="str">
        <f>Timeline!CE$14</f>
        <v>96/97</v>
      </c>
      <c r="CF9" s="6" t="str">
        <f>Timeline!CF$14</f>
        <v>97/98</v>
      </c>
      <c r="CG9" s="6" t="str">
        <f>Timeline!CG$14</f>
        <v>98/99</v>
      </c>
      <c r="CH9" s="6" t="str">
        <f>Timeline!CH$14</f>
        <v>99/00</v>
      </c>
      <c r="CI9" s="6" t="str">
        <f>Timeline!CI$14</f>
        <v>00/01</v>
      </c>
      <c r="CJ9" s="6" t="str">
        <f>Timeline!CJ$14</f>
        <v>01/02</v>
      </c>
      <c r="CK9" s="6" t="str">
        <f>Timeline!CK$14</f>
        <v>02/03</v>
      </c>
      <c r="CL9" s="6" t="str">
        <f>Timeline!CL$14</f>
        <v>03/04</v>
      </c>
      <c r="CM9" s="6" t="str">
        <f>Timeline!CM$14</f>
        <v>04/05</v>
      </c>
      <c r="CN9" s="6" t="str">
        <f>Timeline!CN$14</f>
        <v>05/06</v>
      </c>
      <c r="CO9" s="6" t="str">
        <f>Timeline!CO$14</f>
        <v>06/07</v>
      </c>
      <c r="CP9" s="6" t="str">
        <f>Timeline!CP$14</f>
        <v>07/08</v>
      </c>
      <c r="CQ9" s="6" t="str">
        <f>Timeline!CQ$14</f>
        <v>08/09</v>
      </c>
    </row>
    <row r="10" spans="1:95" x14ac:dyDescent="0.3">
      <c r="C10" s="7" t="s">
        <v>186</v>
      </c>
      <c r="D10" s="7" t="s">
        <v>187</v>
      </c>
      <c r="F10" s="8">
        <v>109.6</v>
      </c>
      <c r="G10" s="8">
        <v>110.8</v>
      </c>
      <c r="H10" s="8">
        <v>112.2</v>
      </c>
      <c r="I10" s="8">
        <v>113.7</v>
      </c>
      <c r="J10" s="8">
        <v>115.2</v>
      </c>
      <c r="K10" s="8">
        <v>116.7</v>
      </c>
      <c r="L10" s="8">
        <v>118.2</v>
      </c>
      <c r="M10" s="8">
        <v>119.7</v>
      </c>
      <c r="N10" s="8">
        <v>121.3</v>
      </c>
      <c r="O10" s="8">
        <v>122.9</v>
      </c>
      <c r="P10" s="8">
        <v>124.5</v>
      </c>
      <c r="Q10" s="8">
        <v>126.1</v>
      </c>
      <c r="R10" s="8">
        <v>127.8</v>
      </c>
      <c r="S10" s="8">
        <v>129.4</v>
      </c>
      <c r="T10" s="8">
        <v>131.1</v>
      </c>
      <c r="U10" s="8">
        <v>132.80000000000001</v>
      </c>
      <c r="V10" s="8">
        <v>134.6</v>
      </c>
      <c r="W10" s="8">
        <v>136.30000000000001</v>
      </c>
      <c r="X10" s="8">
        <v>138.1</v>
      </c>
      <c r="Y10" s="8">
        <v>139.9</v>
      </c>
      <c r="Z10" s="8">
        <v>141.71869999999998</v>
      </c>
      <c r="AA10" s="8">
        <v>143.56104309999998</v>
      </c>
      <c r="AB10" s="8">
        <v>145.42733666029997</v>
      </c>
      <c r="AC10" s="8">
        <v>147.31789203688385</v>
      </c>
      <c r="AD10" s="8">
        <v>149.23302463336333</v>
      </c>
      <c r="AE10" s="8">
        <v>151.17305395359705</v>
      </c>
      <c r="AF10" s="8">
        <v>153.13830365499379</v>
      </c>
      <c r="AG10" s="8">
        <v>155.12910160250868</v>
      </c>
      <c r="AH10" s="8">
        <v>157.14577992334128</v>
      </c>
      <c r="AI10" s="8">
        <v>159.18867506234471</v>
      </c>
      <c r="AJ10" s="8">
        <v>161.25812783815519</v>
      </c>
      <c r="AK10" s="8">
        <v>163.3544835000512</v>
      </c>
      <c r="AL10" s="8">
        <v>165.47809178555184</v>
      </c>
      <c r="AM10" s="8">
        <v>167.62930697876399</v>
      </c>
      <c r="AN10" s="8">
        <v>169.80848796948791</v>
      </c>
      <c r="AO10" s="8">
        <v>172.01599831309125</v>
      </c>
      <c r="AP10" s="8">
        <v>174.2522062911614</v>
      </c>
      <c r="AQ10" s="8">
        <v>176.51748497294648</v>
      </c>
      <c r="AR10" s="8">
        <v>178.81221227759477</v>
      </c>
      <c r="AS10" s="8">
        <v>181.13677103720349</v>
      </c>
      <c r="AT10" s="8">
        <v>183.49154906068711</v>
      </c>
      <c r="AU10" s="8">
        <v>185.87693919847601</v>
      </c>
      <c r="AV10" s="8">
        <v>188.29333940805617</v>
      </c>
      <c r="AW10" s="8">
        <v>190.7411528203609</v>
      </c>
      <c r="AX10" s="8">
        <v>193.22078780702557</v>
      </c>
      <c r="AY10" s="8">
        <v>195.7326580485169</v>
      </c>
      <c r="AZ10" s="8">
        <v>198.27718260314759</v>
      </c>
      <c r="BA10" s="8">
        <v>200.8547859769885</v>
      </c>
      <c r="BB10" s="8">
        <v>203.46589819468932</v>
      </c>
      <c r="BC10" s="8">
        <v>206.11095487122026</v>
      </c>
      <c r="BD10" s="8">
        <v>208.79039728454609</v>
      </c>
      <c r="BE10" s="8">
        <v>211.50467244924516</v>
      </c>
      <c r="BF10" s="8">
        <v>214.25423319108532</v>
      </c>
      <c r="BG10" s="8">
        <v>217.0395382225694</v>
      </c>
      <c r="BH10" s="8">
        <v>219.86105221946278</v>
      </c>
      <c r="BI10" s="8">
        <v>222.71924589831576</v>
      </c>
      <c r="BJ10" s="8">
        <v>225.61459609499386</v>
      </c>
      <c r="BK10" s="8">
        <v>228.54758584422876</v>
      </c>
      <c r="BL10" s="8">
        <v>231.51870446020371</v>
      </c>
      <c r="BM10" s="8">
        <v>234.52844761818633</v>
      </c>
      <c r="BN10" s="8">
        <v>237.57731743722275</v>
      </c>
      <c r="BO10" s="8">
        <v>240.66582256390663</v>
      </c>
      <c r="BP10" s="8">
        <v>243.79447825723739</v>
      </c>
      <c r="BQ10" s="8">
        <v>246.96380647458145</v>
      </c>
      <c r="BR10" s="8">
        <v>250.17433595875099</v>
      </c>
      <c r="BS10" s="8">
        <v>253.42660232621472</v>
      </c>
      <c r="BT10" s="8">
        <v>256.72114815645551</v>
      </c>
      <c r="BU10" s="8">
        <v>260.05852308248939</v>
      </c>
      <c r="BV10" s="8">
        <v>263.43928388256171</v>
      </c>
      <c r="BW10" s="8">
        <v>266.86399457303497</v>
      </c>
      <c r="BX10" s="8">
        <v>270.33322650248442</v>
      </c>
      <c r="BY10" s="8">
        <v>273.8475584470167</v>
      </c>
      <c r="BZ10" s="8">
        <v>277.40757670682791</v>
      </c>
      <c r="CA10" s="8">
        <v>281.01387520401664</v>
      </c>
      <c r="CB10" s="8">
        <v>284.66705558166882</v>
      </c>
      <c r="CC10" s="8">
        <v>288.36772730423047</v>
      </c>
      <c r="CD10" s="8">
        <v>292.11650775918542</v>
      </c>
      <c r="CE10" s="8">
        <v>295.91402236005479</v>
      </c>
      <c r="CF10" s="8">
        <v>299.76090465073548</v>
      </c>
      <c r="CG10" s="8">
        <v>303.65779641119502</v>
      </c>
      <c r="CH10" s="8">
        <v>307.60534776454051</v>
      </c>
      <c r="CI10" s="8">
        <v>311.60421728547954</v>
      </c>
      <c r="CJ10" s="8">
        <v>315.65507211019076</v>
      </c>
      <c r="CK10" s="8">
        <v>319.75858804762322</v>
      </c>
      <c r="CL10" s="8">
        <v>323.9154496922423</v>
      </c>
      <c r="CM10" s="8">
        <v>328.12635053824141</v>
      </c>
      <c r="CN10" s="8">
        <v>332.39199309523849</v>
      </c>
      <c r="CO10" s="8">
        <v>336.71308900547655</v>
      </c>
      <c r="CP10" s="8">
        <v>341.09035916254771</v>
      </c>
      <c r="CQ10" s="8">
        <v>345.52453383166079</v>
      </c>
    </row>
    <row r="11" spans="1:95" x14ac:dyDescent="0.3">
      <c r="C11" s="7" t="s">
        <v>188</v>
      </c>
      <c r="D11" s="7" t="s">
        <v>189</v>
      </c>
      <c r="F11" s="8">
        <v>111.6</v>
      </c>
      <c r="G11" s="8">
        <v>113.1</v>
      </c>
      <c r="H11" s="8">
        <v>114.6</v>
      </c>
      <c r="I11" s="8">
        <v>116.1</v>
      </c>
      <c r="J11" s="8">
        <v>117.7</v>
      </c>
      <c r="K11" s="8">
        <v>119.2</v>
      </c>
      <c r="L11" s="8">
        <v>120.7</v>
      </c>
      <c r="M11" s="8">
        <v>122.2</v>
      </c>
      <c r="N11" s="8">
        <v>123.7</v>
      </c>
      <c r="O11" s="8">
        <v>125.3</v>
      </c>
      <c r="P11" s="8">
        <v>126.9</v>
      </c>
      <c r="Q11" s="8">
        <v>128.5</v>
      </c>
      <c r="R11" s="8">
        <v>130.1</v>
      </c>
      <c r="S11" s="8">
        <v>131.69999999999999</v>
      </c>
      <c r="T11" s="8">
        <v>133.4</v>
      </c>
      <c r="U11" s="8">
        <v>135.1</v>
      </c>
      <c r="V11" s="8">
        <v>136.80000000000001</v>
      </c>
      <c r="W11" s="8">
        <v>138.5</v>
      </c>
      <c r="X11" s="8">
        <v>140.19999999999999</v>
      </c>
      <c r="Y11" s="8">
        <v>142</v>
      </c>
      <c r="Z11" s="8">
        <v>143.84599999999998</v>
      </c>
      <c r="AA11" s="8">
        <v>145.71599799999996</v>
      </c>
      <c r="AB11" s="8">
        <v>147.61030597399994</v>
      </c>
      <c r="AC11" s="8">
        <v>149.52923995166194</v>
      </c>
      <c r="AD11" s="8">
        <v>151.47312007103352</v>
      </c>
      <c r="AE11" s="8">
        <v>153.44227063195694</v>
      </c>
      <c r="AF11" s="8">
        <v>155.43702015017237</v>
      </c>
      <c r="AG11" s="8">
        <v>157.45770141212461</v>
      </c>
      <c r="AH11" s="8">
        <v>159.50465153048222</v>
      </c>
      <c r="AI11" s="8">
        <v>161.57821200037847</v>
      </c>
      <c r="AJ11" s="8">
        <v>163.67872875638338</v>
      </c>
      <c r="AK11" s="8">
        <v>165.80655223021634</v>
      </c>
      <c r="AL11" s="8">
        <v>167.96203740920913</v>
      </c>
      <c r="AM11" s="8">
        <v>170.14554389552885</v>
      </c>
      <c r="AN11" s="8">
        <v>172.3574359661707</v>
      </c>
      <c r="AO11" s="8">
        <v>174.59808263373091</v>
      </c>
      <c r="AP11" s="8">
        <v>176.86785770796939</v>
      </c>
      <c r="AQ11" s="8">
        <v>179.16713985817299</v>
      </c>
      <c r="AR11" s="8">
        <v>181.49631267632921</v>
      </c>
      <c r="AS11" s="8">
        <v>183.85576474112148</v>
      </c>
      <c r="AT11" s="8">
        <v>186.24588968275603</v>
      </c>
      <c r="AU11" s="8">
        <v>188.66708624863185</v>
      </c>
      <c r="AV11" s="8">
        <v>191.11975836986403</v>
      </c>
      <c r="AW11" s="8">
        <v>193.60431522867225</v>
      </c>
      <c r="AX11" s="8">
        <v>196.12117132664497</v>
      </c>
      <c r="AY11" s="8">
        <v>198.67074655389135</v>
      </c>
      <c r="AZ11" s="8">
        <v>201.25346625909191</v>
      </c>
      <c r="BA11" s="8">
        <v>203.86976132046007</v>
      </c>
      <c r="BB11" s="8">
        <v>206.52006821762603</v>
      </c>
      <c r="BC11" s="8">
        <v>209.20482910445514</v>
      </c>
      <c r="BD11" s="8">
        <v>211.92449188281304</v>
      </c>
      <c r="BE11" s="8">
        <v>214.67951027728958</v>
      </c>
      <c r="BF11" s="8">
        <v>217.47034391089431</v>
      </c>
      <c r="BG11" s="8">
        <v>220.29745838173591</v>
      </c>
      <c r="BH11" s="8">
        <v>223.16132534069845</v>
      </c>
      <c r="BI11" s="8">
        <v>226.06242257012752</v>
      </c>
      <c r="BJ11" s="8">
        <v>229.00123406353916</v>
      </c>
      <c r="BK11" s="8">
        <v>231.97825010636515</v>
      </c>
      <c r="BL11" s="8">
        <v>234.99396735774786</v>
      </c>
      <c r="BM11" s="8">
        <v>238.04888893339856</v>
      </c>
      <c r="BN11" s="8">
        <v>241.14352448953272</v>
      </c>
      <c r="BO11" s="8">
        <v>244.27839030789661</v>
      </c>
      <c r="BP11" s="8">
        <v>247.45400938189925</v>
      </c>
      <c r="BQ11" s="8">
        <v>250.67091150386392</v>
      </c>
      <c r="BR11" s="8">
        <v>253.92963335341412</v>
      </c>
      <c r="BS11" s="8">
        <v>257.23071858700848</v>
      </c>
      <c r="BT11" s="8">
        <v>260.57471792863959</v>
      </c>
      <c r="BU11" s="8">
        <v>263.9621892617119</v>
      </c>
      <c r="BV11" s="8">
        <v>267.39369772211415</v>
      </c>
      <c r="BW11" s="8">
        <v>270.86981579250164</v>
      </c>
      <c r="BX11" s="8">
        <v>274.39112339780411</v>
      </c>
      <c r="BY11" s="8">
        <v>277.95820800197555</v>
      </c>
      <c r="BZ11" s="8">
        <v>281.57166470600123</v>
      </c>
      <c r="CA11" s="8">
        <v>285.23209634717921</v>
      </c>
      <c r="CB11" s="8">
        <v>288.94011359969249</v>
      </c>
      <c r="CC11" s="8">
        <v>292.69633507648848</v>
      </c>
      <c r="CD11" s="8">
        <v>296.50138743248283</v>
      </c>
      <c r="CE11" s="8">
        <v>300.3559054691051</v>
      </c>
      <c r="CF11" s="8">
        <v>304.26053224020342</v>
      </c>
      <c r="CG11" s="8">
        <v>308.21591915932601</v>
      </c>
      <c r="CH11" s="8">
        <v>312.22272610839724</v>
      </c>
      <c r="CI11" s="8">
        <v>316.28162154780637</v>
      </c>
      <c r="CJ11" s="8">
        <v>320.39328262792782</v>
      </c>
      <c r="CK11" s="8">
        <v>324.55839530209084</v>
      </c>
      <c r="CL11" s="8">
        <v>328.777654441018</v>
      </c>
      <c r="CM11" s="8">
        <v>333.05176394875122</v>
      </c>
      <c r="CN11" s="8">
        <v>337.38143688008495</v>
      </c>
      <c r="CO11" s="8">
        <v>341.76739555952599</v>
      </c>
      <c r="CP11" s="8">
        <v>346.21037170179977</v>
      </c>
      <c r="CQ11" s="8">
        <v>350.71110653392316</v>
      </c>
    </row>
    <row r="12" spans="1:95" x14ac:dyDescent="0.3">
      <c r="C12" s="7" t="s">
        <v>167</v>
      </c>
      <c r="D12" s="7" t="s">
        <v>190</v>
      </c>
      <c r="F12" s="8">
        <v>1</v>
      </c>
      <c r="G12" s="8">
        <v>1</v>
      </c>
      <c r="H12" s="8">
        <v>1</v>
      </c>
      <c r="I12" s="8">
        <v>1</v>
      </c>
      <c r="J12" s="8">
        <v>1</v>
      </c>
      <c r="K12" s="8">
        <v>1</v>
      </c>
      <c r="L12" s="8">
        <v>1</v>
      </c>
      <c r="M12" s="8">
        <v>1</v>
      </c>
      <c r="N12" s="8">
        <v>1</v>
      </c>
      <c r="O12" s="8">
        <v>1</v>
      </c>
      <c r="P12" s="8">
        <v>1</v>
      </c>
      <c r="Q12" s="8">
        <v>1</v>
      </c>
      <c r="R12" s="8">
        <v>1</v>
      </c>
      <c r="S12" s="8">
        <v>1</v>
      </c>
      <c r="T12" s="8">
        <v>1</v>
      </c>
      <c r="U12" s="8">
        <v>1</v>
      </c>
      <c r="V12" s="8">
        <v>1</v>
      </c>
      <c r="W12" s="8">
        <v>1</v>
      </c>
      <c r="X12" s="8">
        <v>1</v>
      </c>
      <c r="Y12" s="8">
        <v>1</v>
      </c>
      <c r="Z12" s="8">
        <v>1</v>
      </c>
      <c r="AA12" s="8">
        <v>1</v>
      </c>
      <c r="AB12" s="8">
        <v>1</v>
      </c>
      <c r="AC12" s="8">
        <v>1</v>
      </c>
      <c r="AD12" s="8">
        <v>1</v>
      </c>
      <c r="AE12" s="8">
        <v>1</v>
      </c>
      <c r="AF12" s="8">
        <v>1</v>
      </c>
      <c r="AG12" s="8">
        <v>1</v>
      </c>
      <c r="AH12" s="8">
        <v>1</v>
      </c>
      <c r="AI12" s="8">
        <v>1</v>
      </c>
      <c r="AJ12" s="8">
        <v>1</v>
      </c>
      <c r="AK12" s="8">
        <v>1</v>
      </c>
      <c r="AL12" s="8">
        <v>1</v>
      </c>
      <c r="AM12" s="8">
        <v>1</v>
      </c>
      <c r="AN12" s="8">
        <v>1</v>
      </c>
      <c r="AO12" s="8">
        <v>1</v>
      </c>
      <c r="AP12" s="8">
        <v>1</v>
      </c>
      <c r="AQ12" s="8">
        <v>1</v>
      </c>
      <c r="AR12" s="8">
        <v>1</v>
      </c>
      <c r="AS12" s="8">
        <v>1</v>
      </c>
      <c r="AT12" s="8">
        <v>1</v>
      </c>
      <c r="AU12" s="8">
        <v>1</v>
      </c>
      <c r="AV12" s="8">
        <v>1</v>
      </c>
      <c r="AW12" s="8">
        <v>1</v>
      </c>
      <c r="AX12" s="8">
        <v>1</v>
      </c>
      <c r="AY12" s="8">
        <v>1</v>
      </c>
      <c r="AZ12" s="8">
        <v>1</v>
      </c>
      <c r="BA12" s="8">
        <v>1</v>
      </c>
      <c r="BB12" s="8">
        <v>1</v>
      </c>
      <c r="BC12" s="8">
        <v>1</v>
      </c>
      <c r="BD12" s="8">
        <v>1</v>
      </c>
      <c r="BE12" s="8">
        <v>1</v>
      </c>
      <c r="BF12" s="8">
        <v>1</v>
      </c>
      <c r="BG12" s="8">
        <v>1</v>
      </c>
      <c r="BH12" s="8">
        <v>1</v>
      </c>
      <c r="BI12" s="8">
        <v>1</v>
      </c>
      <c r="BJ12" s="8">
        <v>1</v>
      </c>
      <c r="BK12" s="8">
        <v>1</v>
      </c>
      <c r="BL12" s="8">
        <v>1</v>
      </c>
      <c r="BM12" s="8">
        <v>1</v>
      </c>
      <c r="BN12" s="8">
        <v>1</v>
      </c>
      <c r="BO12" s="8">
        <v>1</v>
      </c>
      <c r="BP12" s="8">
        <v>1</v>
      </c>
      <c r="BQ12" s="8">
        <v>1</v>
      </c>
      <c r="BR12" s="8">
        <v>1</v>
      </c>
      <c r="BS12" s="8">
        <v>1</v>
      </c>
      <c r="BT12" s="8">
        <v>1</v>
      </c>
      <c r="BU12" s="8">
        <v>1</v>
      </c>
      <c r="BV12" s="8">
        <v>1</v>
      </c>
      <c r="BW12" s="8">
        <v>1</v>
      </c>
      <c r="BX12" s="8">
        <v>1</v>
      </c>
      <c r="BY12" s="8">
        <v>1</v>
      </c>
      <c r="BZ12" s="8">
        <v>1</v>
      </c>
      <c r="CA12" s="8">
        <v>1</v>
      </c>
      <c r="CB12" s="8">
        <v>1</v>
      </c>
      <c r="CC12" s="8">
        <v>1</v>
      </c>
      <c r="CD12" s="8">
        <v>1</v>
      </c>
      <c r="CE12" s="8">
        <v>1</v>
      </c>
      <c r="CF12" s="8">
        <v>1</v>
      </c>
      <c r="CG12" s="8">
        <v>1</v>
      </c>
      <c r="CH12" s="8">
        <v>1</v>
      </c>
      <c r="CI12" s="8">
        <v>1</v>
      </c>
      <c r="CJ12" s="8">
        <v>1</v>
      </c>
      <c r="CK12" s="8">
        <v>1</v>
      </c>
      <c r="CL12" s="8">
        <v>1</v>
      </c>
      <c r="CM12" s="8">
        <v>1</v>
      </c>
      <c r="CN12" s="8">
        <v>1</v>
      </c>
      <c r="CO12" s="8">
        <v>1</v>
      </c>
      <c r="CP12" s="8">
        <v>1</v>
      </c>
      <c r="CQ12" s="8">
        <v>1</v>
      </c>
    </row>
    <row r="13" spans="1:95" x14ac:dyDescent="0.3">
      <c r="C13" s="7"/>
      <c r="D13" s="7"/>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row>
    <row r="14" spans="1:95" x14ac:dyDescent="0.3">
      <c r="C14" s="7"/>
      <c r="D14" s="7"/>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row>
    <row r="15" spans="1:95" x14ac:dyDescent="0.3">
      <c r="C15" s="7"/>
      <c r="D15" s="7"/>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row>
    <row r="16" spans="1:95" x14ac:dyDescent="0.3">
      <c r="C16" s="7"/>
      <c r="D16" s="7"/>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row>
    <row r="17" spans="3:95" x14ac:dyDescent="0.3">
      <c r="C17" s="7"/>
      <c r="D17" s="7"/>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row>
    <row r="18" spans="3:95" x14ac:dyDescent="0.3">
      <c r="C18" s="7"/>
      <c r="D18" s="7"/>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row>
    <row r="19" spans="3:95" x14ac:dyDescent="0.3">
      <c r="C19" s="7"/>
      <c r="D19" s="7"/>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row>
    <row r="21" spans="3:95" x14ac:dyDescent="0.3">
      <c r="C21" s="9" t="s">
        <v>17</v>
      </c>
    </row>
    <row r="23" spans="3:95" x14ac:dyDescent="0.3">
      <c r="C23" s="6" t="s">
        <v>14</v>
      </c>
      <c r="D23" s="6" t="s">
        <v>15</v>
      </c>
      <c r="F23" s="6" t="str">
        <f>Timeline!F$14</f>
        <v>19/20</v>
      </c>
      <c r="G23" s="6" t="str">
        <f>Timeline!G$14</f>
        <v>20/21</v>
      </c>
      <c r="H23" s="6" t="str">
        <f>Timeline!H$14</f>
        <v>21/22</v>
      </c>
      <c r="I23" s="6" t="str">
        <f>Timeline!I$14</f>
        <v>22/23</v>
      </c>
      <c r="J23" s="6" t="str">
        <f>Timeline!J$14</f>
        <v>23/24</v>
      </c>
      <c r="K23" s="6" t="str">
        <f>Timeline!K$14</f>
        <v>24/25</v>
      </c>
      <c r="L23" s="6" t="str">
        <f>Timeline!L$14</f>
        <v>25/26</v>
      </c>
      <c r="M23" s="6" t="str">
        <f>Timeline!M$14</f>
        <v>26/27</v>
      </c>
      <c r="N23" s="6" t="str">
        <f>Timeline!N$14</f>
        <v>27/28</v>
      </c>
      <c r="O23" s="6" t="str">
        <f>Timeline!O$14</f>
        <v>28/29</v>
      </c>
      <c r="P23" s="6" t="str">
        <f>Timeline!P$14</f>
        <v>29/30</v>
      </c>
      <c r="Q23" s="6" t="str">
        <f>Timeline!Q$14</f>
        <v>30/31</v>
      </c>
      <c r="R23" s="6" t="str">
        <f>Timeline!R$14</f>
        <v>31/32</v>
      </c>
      <c r="S23" s="6" t="str">
        <f>Timeline!S$14</f>
        <v>32/33</v>
      </c>
      <c r="T23" s="6" t="str">
        <f>Timeline!T$14</f>
        <v>33/34</v>
      </c>
      <c r="U23" s="6" t="str">
        <f>Timeline!U$14</f>
        <v>34/35</v>
      </c>
      <c r="V23" s="6" t="str">
        <f>Timeline!V$14</f>
        <v>35/36</v>
      </c>
      <c r="W23" s="6" t="str">
        <f>Timeline!W$14</f>
        <v>36/37</v>
      </c>
      <c r="X23" s="6" t="str">
        <f>Timeline!X$14</f>
        <v>37/38</v>
      </c>
      <c r="Y23" s="6" t="str">
        <f>Timeline!Y$14</f>
        <v>38/39</v>
      </c>
      <c r="Z23" s="6" t="str">
        <f>Timeline!Z$14</f>
        <v>39/40</v>
      </c>
      <c r="AA23" s="6" t="str">
        <f>Timeline!AA$14</f>
        <v>40/41</v>
      </c>
      <c r="AB23" s="6" t="str">
        <f>Timeline!AB$14</f>
        <v>41/42</v>
      </c>
      <c r="AC23" s="6" t="str">
        <f>Timeline!AC$14</f>
        <v>42/43</v>
      </c>
      <c r="AD23" s="6" t="str">
        <f>Timeline!AD$14</f>
        <v>43/44</v>
      </c>
      <c r="AE23" s="6" t="str">
        <f>Timeline!AE$14</f>
        <v>44/45</v>
      </c>
      <c r="AF23" s="6" t="str">
        <f>Timeline!AF$14</f>
        <v>45/46</v>
      </c>
      <c r="AG23" s="6" t="str">
        <f>Timeline!AG$14</f>
        <v>46/47</v>
      </c>
      <c r="AH23" s="6" t="str">
        <f>Timeline!AH$14</f>
        <v>47/48</v>
      </c>
      <c r="AI23" s="6" t="str">
        <f>Timeline!AI$14</f>
        <v>48/49</v>
      </c>
      <c r="AJ23" s="6" t="str">
        <f>Timeline!AJ$14</f>
        <v>49/50</v>
      </c>
      <c r="AK23" s="6" t="str">
        <f>Timeline!AK$14</f>
        <v>50/51</v>
      </c>
      <c r="AL23" s="6" t="str">
        <f>Timeline!AL$14</f>
        <v>51/52</v>
      </c>
      <c r="AM23" s="6" t="str">
        <f>Timeline!AM$14</f>
        <v>52/53</v>
      </c>
      <c r="AN23" s="6" t="str">
        <f>Timeline!AN$14</f>
        <v>53/54</v>
      </c>
      <c r="AO23" s="6" t="str">
        <f>Timeline!AO$14</f>
        <v>54/55</v>
      </c>
      <c r="AP23" s="6" t="str">
        <f>Timeline!AP$14</f>
        <v>55/56</v>
      </c>
      <c r="AQ23" s="6" t="str">
        <f>Timeline!AQ$14</f>
        <v>56/57</v>
      </c>
      <c r="AR23" s="6" t="str">
        <f>Timeline!AR$14</f>
        <v>57/58</v>
      </c>
      <c r="AS23" s="6" t="str">
        <f>Timeline!AS$14</f>
        <v>58/59</v>
      </c>
      <c r="AT23" s="6" t="str">
        <f>Timeline!AT$14</f>
        <v>59/60</v>
      </c>
      <c r="AU23" s="6" t="str">
        <f>Timeline!AU$14</f>
        <v>60/61</v>
      </c>
      <c r="AV23" s="6" t="str">
        <f>Timeline!AV$14</f>
        <v>61/62</v>
      </c>
      <c r="AW23" s="6" t="str">
        <f>Timeline!AW$14</f>
        <v>62/63</v>
      </c>
      <c r="AX23" s="6" t="str">
        <f>Timeline!AX$14</f>
        <v>63/64</v>
      </c>
      <c r="AY23" s="6" t="str">
        <f>Timeline!AY$14</f>
        <v>64/65</v>
      </c>
      <c r="AZ23" s="6" t="str">
        <f>Timeline!AZ$14</f>
        <v>65/66</v>
      </c>
      <c r="BA23" s="6" t="str">
        <f>Timeline!BA$14</f>
        <v>66/67</v>
      </c>
      <c r="BB23" s="6" t="str">
        <f>Timeline!BB$14</f>
        <v>67/68</v>
      </c>
      <c r="BC23" s="6" t="str">
        <f>Timeline!BC$14</f>
        <v>68/69</v>
      </c>
      <c r="BD23" s="6" t="str">
        <f>Timeline!BD$14</f>
        <v>69/70</v>
      </c>
      <c r="BE23" s="6" t="str">
        <f>Timeline!BE$14</f>
        <v>70/71</v>
      </c>
      <c r="BF23" s="6" t="str">
        <f>Timeline!BF$14</f>
        <v>71/72</v>
      </c>
      <c r="BG23" s="6" t="str">
        <f>Timeline!BG$14</f>
        <v>72/73</v>
      </c>
      <c r="BH23" s="6" t="str">
        <f>Timeline!BH$14</f>
        <v>73/74</v>
      </c>
      <c r="BI23" s="6" t="str">
        <f>Timeline!BI$14</f>
        <v>74/75</v>
      </c>
      <c r="BJ23" s="6" t="str">
        <f>Timeline!BJ$14</f>
        <v>75/76</v>
      </c>
      <c r="BK23" s="6" t="str">
        <f>Timeline!BK$14</f>
        <v>76/77</v>
      </c>
      <c r="BL23" s="6" t="str">
        <f>Timeline!BL$14</f>
        <v>77/78</v>
      </c>
      <c r="BM23" s="6" t="str">
        <f>Timeline!BM$14</f>
        <v>78/79</v>
      </c>
      <c r="BN23" s="6" t="str">
        <f>Timeline!BN$14</f>
        <v>79/80</v>
      </c>
      <c r="BO23" s="6" t="str">
        <f>Timeline!BO$14</f>
        <v>80/81</v>
      </c>
      <c r="BP23" s="6" t="str">
        <f>Timeline!BP$14</f>
        <v>81/82</v>
      </c>
      <c r="BQ23" s="6" t="str">
        <f>Timeline!BQ$14</f>
        <v>82/83</v>
      </c>
      <c r="BR23" s="6" t="str">
        <f>Timeline!BR$14</f>
        <v>83/84</v>
      </c>
      <c r="BS23" s="6" t="str">
        <f>Timeline!BS$14</f>
        <v>84/85</v>
      </c>
      <c r="BT23" s="6" t="str">
        <f>Timeline!BT$14</f>
        <v>85/86</v>
      </c>
      <c r="BU23" s="6" t="str">
        <f>Timeline!BU$14</f>
        <v>86/87</v>
      </c>
      <c r="BV23" s="6" t="str">
        <f>Timeline!BV$14</f>
        <v>87/88</v>
      </c>
      <c r="BW23" s="6" t="str">
        <f>Timeline!BW$14</f>
        <v>88/89</v>
      </c>
      <c r="BX23" s="6" t="str">
        <f>Timeline!BX$14</f>
        <v>89/90</v>
      </c>
      <c r="BY23" s="6" t="str">
        <f>Timeline!BY$14</f>
        <v>90/91</v>
      </c>
      <c r="BZ23" s="6" t="str">
        <f>Timeline!BZ$14</f>
        <v>91/92</v>
      </c>
      <c r="CA23" s="6" t="str">
        <f>Timeline!CA$14</f>
        <v>92/93</v>
      </c>
      <c r="CB23" s="6" t="str">
        <f>Timeline!CB$14</f>
        <v>93/94</v>
      </c>
      <c r="CC23" s="6" t="str">
        <f>Timeline!CC$14</f>
        <v>94/95</v>
      </c>
      <c r="CD23" s="6" t="str">
        <f>Timeline!CD$14</f>
        <v>95/96</v>
      </c>
      <c r="CE23" s="6" t="str">
        <f>Timeline!CE$14</f>
        <v>96/97</v>
      </c>
      <c r="CF23" s="6" t="str">
        <f>Timeline!CF$14</f>
        <v>97/98</v>
      </c>
      <c r="CG23" s="6" t="str">
        <f>Timeline!CG$14</f>
        <v>98/99</v>
      </c>
      <c r="CH23" s="6" t="str">
        <f>Timeline!CH$14</f>
        <v>99/00</v>
      </c>
      <c r="CI23" s="6" t="str">
        <f>Timeline!CI$14</f>
        <v>00/01</v>
      </c>
      <c r="CJ23" s="6" t="str">
        <f>Timeline!CJ$14</f>
        <v>01/02</v>
      </c>
      <c r="CK23" s="6" t="str">
        <f>Timeline!CK$14</f>
        <v>02/03</v>
      </c>
      <c r="CL23" s="6" t="str">
        <f>Timeline!CL$14</f>
        <v>03/04</v>
      </c>
      <c r="CM23" s="6" t="str">
        <f>Timeline!CM$14</f>
        <v>04/05</v>
      </c>
      <c r="CN23" s="6" t="str">
        <f>Timeline!CN$14</f>
        <v>05/06</v>
      </c>
      <c r="CO23" s="6" t="str">
        <f>Timeline!CO$14</f>
        <v>06/07</v>
      </c>
      <c r="CP23" s="6" t="str">
        <f>Timeline!CP$14</f>
        <v>07/08</v>
      </c>
      <c r="CQ23" s="6" t="str">
        <f>Timeline!CQ$14</f>
        <v>08/09</v>
      </c>
    </row>
    <row r="24" spans="3:95" x14ac:dyDescent="0.3">
      <c r="C24" s="4" t="str">
        <f t="shared" ref="C24:D33" si="0">IF(C10="","",C10)</f>
        <v>OPPI - Electrical equipment GSO (SIC 2007)</v>
      </c>
      <c r="D24" s="4" t="str">
        <f t="shared" si="0"/>
        <v>K388</v>
      </c>
      <c r="F24" s="10">
        <f t="shared" ref="F24:AK24" si="1">IF($C24="","",F10/INDEX($F10:$CQ10,MATCH(Model_Base,$F$9:$CQ$9,0)))</f>
        <v>1</v>
      </c>
      <c r="G24" s="10">
        <f t="shared" si="1"/>
        <v>1.0109489051094891</v>
      </c>
      <c r="H24" s="10">
        <f t="shared" si="1"/>
        <v>1.0237226277372264</v>
      </c>
      <c r="I24" s="10">
        <f t="shared" si="1"/>
        <v>1.0374087591240877</v>
      </c>
      <c r="J24" s="10">
        <f t="shared" si="1"/>
        <v>1.051094890510949</v>
      </c>
      <c r="K24" s="10">
        <f t="shared" si="1"/>
        <v>1.0647810218978102</v>
      </c>
      <c r="L24" s="10">
        <f t="shared" si="1"/>
        <v>1.0784671532846717</v>
      </c>
      <c r="M24" s="10">
        <f t="shared" si="1"/>
        <v>1.0921532846715329</v>
      </c>
      <c r="N24" s="10">
        <f t="shared" si="1"/>
        <v>1.1067518248175183</v>
      </c>
      <c r="O24" s="10">
        <f t="shared" si="1"/>
        <v>1.1213503649635037</v>
      </c>
      <c r="P24" s="10">
        <f t="shared" si="1"/>
        <v>1.1359489051094891</v>
      </c>
      <c r="Q24" s="10">
        <f t="shared" si="1"/>
        <v>1.1505474452554745</v>
      </c>
      <c r="R24" s="10">
        <f t="shared" si="1"/>
        <v>1.166058394160584</v>
      </c>
      <c r="S24" s="10">
        <f t="shared" si="1"/>
        <v>1.1806569343065694</v>
      </c>
      <c r="T24" s="10">
        <f t="shared" si="1"/>
        <v>1.1961678832116789</v>
      </c>
      <c r="U24" s="10">
        <f t="shared" si="1"/>
        <v>1.2116788321167884</v>
      </c>
      <c r="V24" s="10">
        <f t="shared" si="1"/>
        <v>1.2281021897810218</v>
      </c>
      <c r="W24" s="10">
        <f t="shared" si="1"/>
        <v>1.2436131386861315</v>
      </c>
      <c r="X24" s="10">
        <f t="shared" si="1"/>
        <v>1.260036496350365</v>
      </c>
      <c r="Y24" s="10">
        <f t="shared" si="1"/>
        <v>1.2764598540145986</v>
      </c>
      <c r="Z24" s="10">
        <f t="shared" si="1"/>
        <v>1.2930538321167881</v>
      </c>
      <c r="AA24" s="10">
        <f t="shared" si="1"/>
        <v>1.3098635319343064</v>
      </c>
      <c r="AB24" s="10">
        <f t="shared" si="1"/>
        <v>1.3268917578494523</v>
      </c>
      <c r="AC24" s="10">
        <f t="shared" si="1"/>
        <v>1.344141350701495</v>
      </c>
      <c r="AD24" s="10">
        <f t="shared" si="1"/>
        <v>1.3616151882606145</v>
      </c>
      <c r="AE24" s="10">
        <f t="shared" si="1"/>
        <v>1.3793161857080023</v>
      </c>
      <c r="AF24" s="10">
        <f t="shared" si="1"/>
        <v>1.3972472961222062</v>
      </c>
      <c r="AG24" s="10">
        <f t="shared" si="1"/>
        <v>1.4154115109717946</v>
      </c>
      <c r="AH24" s="10">
        <f t="shared" si="1"/>
        <v>1.4338118606144279</v>
      </c>
      <c r="AI24" s="10">
        <f t="shared" si="1"/>
        <v>1.4524514148024152</v>
      </c>
      <c r="AJ24" s="10">
        <f t="shared" si="1"/>
        <v>1.4713332831948467</v>
      </c>
      <c r="AK24" s="10">
        <f t="shared" si="1"/>
        <v>1.4904606158763796</v>
      </c>
      <c r="AL24" s="10">
        <f t="shared" ref="AL24:BQ24" si="2">IF($C24="","",AL10/INDEX($F10:$CQ10,MATCH(Model_Base,$F$9:$CQ$9,0)))</f>
        <v>1.5098366038827724</v>
      </c>
      <c r="AM24" s="10">
        <f t="shared" si="2"/>
        <v>1.5294644797332482</v>
      </c>
      <c r="AN24" s="10">
        <f t="shared" si="2"/>
        <v>1.5493475179697802</v>
      </c>
      <c r="AO24" s="10">
        <f t="shared" si="2"/>
        <v>1.5694890357033873</v>
      </c>
      <c r="AP24" s="10">
        <f t="shared" si="2"/>
        <v>1.5898923931675311</v>
      </c>
      <c r="AQ24" s="10">
        <f t="shared" si="2"/>
        <v>1.6105609942787089</v>
      </c>
      <c r="AR24" s="10">
        <f t="shared" si="2"/>
        <v>1.631498287204332</v>
      </c>
      <c r="AS24" s="10">
        <f t="shared" si="2"/>
        <v>1.6527077649379882</v>
      </c>
      <c r="AT24" s="10">
        <f t="shared" si="2"/>
        <v>1.6741929658821817</v>
      </c>
      <c r="AU24" s="10">
        <f t="shared" si="2"/>
        <v>1.6959574744386499</v>
      </c>
      <c r="AV24" s="10">
        <f t="shared" si="2"/>
        <v>1.718004921606352</v>
      </c>
      <c r="AW24" s="10">
        <f t="shared" si="2"/>
        <v>1.7403389855872344</v>
      </c>
      <c r="AX24" s="10">
        <f t="shared" si="2"/>
        <v>1.7629633923998684</v>
      </c>
      <c r="AY24" s="10">
        <f t="shared" si="2"/>
        <v>1.7858819165010666</v>
      </c>
      <c r="AZ24" s="10">
        <f t="shared" si="2"/>
        <v>1.8090983814155803</v>
      </c>
      <c r="BA24" s="10">
        <f t="shared" si="2"/>
        <v>1.8326166603739826</v>
      </c>
      <c r="BB24" s="10">
        <f t="shared" si="2"/>
        <v>1.8564406769588442</v>
      </c>
      <c r="BC24" s="10">
        <f t="shared" si="2"/>
        <v>1.880574405759309</v>
      </c>
      <c r="BD24" s="10">
        <f t="shared" si="2"/>
        <v>1.9050218730341797</v>
      </c>
      <c r="BE24" s="10">
        <f t="shared" si="2"/>
        <v>1.9297871573836238</v>
      </c>
      <c r="BF24" s="10">
        <f t="shared" si="2"/>
        <v>1.9548743904296106</v>
      </c>
      <c r="BG24" s="10">
        <f t="shared" si="2"/>
        <v>1.9802877575051954</v>
      </c>
      <c r="BH24" s="10">
        <f t="shared" si="2"/>
        <v>2.0060314983527627</v>
      </c>
      <c r="BI24" s="10">
        <f t="shared" si="2"/>
        <v>2.0321099078313485</v>
      </c>
      <c r="BJ24" s="10">
        <f t="shared" si="2"/>
        <v>2.0585273366331558</v>
      </c>
      <c r="BK24" s="10">
        <f t="shared" si="2"/>
        <v>2.0852881920093864</v>
      </c>
      <c r="BL24" s="10">
        <f t="shared" si="2"/>
        <v>2.1123969385055084</v>
      </c>
      <c r="BM24" s="10">
        <f t="shared" si="2"/>
        <v>2.13985809870608</v>
      </c>
      <c r="BN24" s="10">
        <f t="shared" si="2"/>
        <v>2.1676762539892587</v>
      </c>
      <c r="BO24" s="10">
        <f t="shared" si="2"/>
        <v>2.1958560452911189</v>
      </c>
      <c r="BP24" s="10">
        <f t="shared" si="2"/>
        <v>2.2244021738799034</v>
      </c>
      <c r="BQ24" s="10">
        <f t="shared" si="2"/>
        <v>2.2533194021403418</v>
      </c>
      <c r="BR24" s="10">
        <f t="shared" ref="BR24:CQ24" si="3">IF($C24="","",BR10/INDEX($F10:$CQ10,MATCH(Model_Base,$F$9:$CQ$9,0)))</f>
        <v>2.2826125543681659</v>
      </c>
      <c r="BS24" s="10">
        <f t="shared" si="3"/>
        <v>2.3122865175749521</v>
      </c>
      <c r="BT24" s="10">
        <f t="shared" si="3"/>
        <v>2.3423462423034263</v>
      </c>
      <c r="BU24" s="10">
        <f t="shared" si="3"/>
        <v>2.3727967434533705</v>
      </c>
      <c r="BV24" s="10">
        <f t="shared" si="3"/>
        <v>2.4036431011182637</v>
      </c>
      <c r="BW24" s="10">
        <f t="shared" si="3"/>
        <v>2.4348904614328011</v>
      </c>
      <c r="BX24" s="10">
        <f t="shared" si="3"/>
        <v>2.4665440374314271</v>
      </c>
      <c r="BY24" s="10">
        <f t="shared" si="3"/>
        <v>2.4986091099180356</v>
      </c>
      <c r="BZ24" s="10">
        <f t="shared" si="3"/>
        <v>2.5310910283469701</v>
      </c>
      <c r="CA24" s="10">
        <f t="shared" si="3"/>
        <v>2.5639952117154805</v>
      </c>
      <c r="CB24" s="10">
        <f t="shared" si="3"/>
        <v>2.5973271494677812</v>
      </c>
      <c r="CC24" s="10">
        <f t="shared" si="3"/>
        <v>2.6310924024108622</v>
      </c>
      <c r="CD24" s="10">
        <f t="shared" si="3"/>
        <v>2.665296603642203</v>
      </c>
      <c r="CE24" s="10">
        <f t="shared" si="3"/>
        <v>2.6999454594895513</v>
      </c>
      <c r="CF24" s="10">
        <f t="shared" si="3"/>
        <v>2.7350447504629152</v>
      </c>
      <c r="CG24" s="10">
        <f t="shared" si="3"/>
        <v>2.7706003322189328</v>
      </c>
      <c r="CH24" s="10">
        <f t="shared" si="3"/>
        <v>2.8066181365377787</v>
      </c>
      <c r="CI24" s="10">
        <f t="shared" si="3"/>
        <v>2.8431041723127697</v>
      </c>
      <c r="CJ24" s="10">
        <f t="shared" si="3"/>
        <v>2.8800645265528355</v>
      </c>
      <c r="CK24" s="10">
        <f t="shared" si="3"/>
        <v>2.9175053653980223</v>
      </c>
      <c r="CL24" s="10">
        <f t="shared" si="3"/>
        <v>2.9554329351481963</v>
      </c>
      <c r="CM24" s="10">
        <f t="shared" si="3"/>
        <v>2.9938535633051226</v>
      </c>
      <c r="CN24" s="10">
        <f t="shared" si="3"/>
        <v>3.0327736596280888</v>
      </c>
      <c r="CO24" s="10">
        <f t="shared" si="3"/>
        <v>3.0721997172032531</v>
      </c>
      <c r="CP24" s="10">
        <f t="shared" si="3"/>
        <v>3.1121383135268954</v>
      </c>
      <c r="CQ24" s="10">
        <f t="shared" si="3"/>
        <v>3.1525961116027448</v>
      </c>
    </row>
    <row r="25" spans="3:95" x14ac:dyDescent="0.3">
      <c r="C25" s="4" t="str">
        <f t="shared" si="0"/>
        <v>SPPI - All Services GSO (SIC 2007)</v>
      </c>
      <c r="D25" s="4" t="str">
        <f t="shared" si="0"/>
        <v>K8ZU</v>
      </c>
      <c r="F25" s="10">
        <f t="shared" ref="F25:AK25" si="4">IF($C25="","",F11/INDEX($F11:$CQ11,MATCH(Model_Base,$F$9:$CQ$9,0)))</f>
        <v>1</v>
      </c>
      <c r="G25" s="10">
        <f t="shared" si="4"/>
        <v>1.0134408602150538</v>
      </c>
      <c r="H25" s="10">
        <f t="shared" si="4"/>
        <v>1.0268817204301075</v>
      </c>
      <c r="I25" s="10">
        <f t="shared" si="4"/>
        <v>1.0403225806451613</v>
      </c>
      <c r="J25" s="10">
        <f t="shared" si="4"/>
        <v>1.0546594982078854</v>
      </c>
      <c r="K25" s="10">
        <f t="shared" si="4"/>
        <v>1.0681003584229392</v>
      </c>
      <c r="L25" s="10">
        <f t="shared" si="4"/>
        <v>1.0815412186379929</v>
      </c>
      <c r="M25" s="10">
        <f t="shared" si="4"/>
        <v>1.0949820788530467</v>
      </c>
      <c r="N25" s="10">
        <f t="shared" si="4"/>
        <v>1.1084229390681004</v>
      </c>
      <c r="O25" s="10">
        <f t="shared" si="4"/>
        <v>1.1227598566308243</v>
      </c>
      <c r="P25" s="10">
        <f t="shared" si="4"/>
        <v>1.1370967741935485</v>
      </c>
      <c r="Q25" s="10">
        <f t="shared" si="4"/>
        <v>1.1514336917562724</v>
      </c>
      <c r="R25" s="10">
        <f t="shared" si="4"/>
        <v>1.1657706093189963</v>
      </c>
      <c r="S25" s="10">
        <f t="shared" si="4"/>
        <v>1.1801075268817205</v>
      </c>
      <c r="T25" s="10">
        <f t="shared" si="4"/>
        <v>1.1953405017921148</v>
      </c>
      <c r="U25" s="10">
        <f t="shared" si="4"/>
        <v>1.2105734767025089</v>
      </c>
      <c r="V25" s="10">
        <f t="shared" si="4"/>
        <v>1.2258064516129035</v>
      </c>
      <c r="W25" s="10">
        <f t="shared" si="4"/>
        <v>1.2410394265232976</v>
      </c>
      <c r="X25" s="10">
        <f t="shared" si="4"/>
        <v>1.2562724014336917</v>
      </c>
      <c r="Y25" s="10">
        <f t="shared" si="4"/>
        <v>1.2724014336917564</v>
      </c>
      <c r="Z25" s="10">
        <f t="shared" si="4"/>
        <v>1.2889426523297489</v>
      </c>
      <c r="AA25" s="10">
        <f t="shared" si="4"/>
        <v>1.3056989068100355</v>
      </c>
      <c r="AB25" s="10">
        <f t="shared" si="4"/>
        <v>1.3226729925985659</v>
      </c>
      <c r="AC25" s="10">
        <f t="shared" si="4"/>
        <v>1.3398677415023472</v>
      </c>
      <c r="AD25" s="10">
        <f t="shared" si="4"/>
        <v>1.3572860221418774</v>
      </c>
      <c r="AE25" s="10">
        <f t="shared" si="4"/>
        <v>1.3749307404297217</v>
      </c>
      <c r="AF25" s="10">
        <f t="shared" si="4"/>
        <v>1.3928048400553081</v>
      </c>
      <c r="AG25" s="10">
        <f t="shared" si="4"/>
        <v>1.410911302976027</v>
      </c>
      <c r="AH25" s="10">
        <f t="shared" si="4"/>
        <v>1.4292531499147154</v>
      </c>
      <c r="AI25" s="10">
        <f t="shared" si="4"/>
        <v>1.4478334408636064</v>
      </c>
      <c r="AJ25" s="10">
        <f t="shared" si="4"/>
        <v>1.4666552755948332</v>
      </c>
      <c r="AK25" s="10">
        <f t="shared" si="4"/>
        <v>1.4857217941775658</v>
      </c>
      <c r="AL25" s="10">
        <f t="shared" ref="AL25:BQ25" si="5">IF($C25="","",AL11/INDEX($F11:$CQ11,MATCH(Model_Base,$F$9:$CQ$9,0)))</f>
        <v>1.5050361775018739</v>
      </c>
      <c r="AM25" s="10">
        <f t="shared" si="5"/>
        <v>1.5246016478093984</v>
      </c>
      <c r="AN25" s="10">
        <f t="shared" si="5"/>
        <v>1.5444214692309204</v>
      </c>
      <c r="AO25" s="10">
        <f t="shared" si="5"/>
        <v>1.5644989483309222</v>
      </c>
      <c r="AP25" s="10">
        <f t="shared" si="5"/>
        <v>1.584837434659224</v>
      </c>
      <c r="AQ25" s="10">
        <f t="shared" si="5"/>
        <v>1.6054403213097939</v>
      </c>
      <c r="AR25" s="10">
        <f t="shared" si="5"/>
        <v>1.626311045486821</v>
      </c>
      <c r="AS25" s="10">
        <f t="shared" si="5"/>
        <v>1.6474530890781496</v>
      </c>
      <c r="AT25" s="10">
        <f t="shared" si="5"/>
        <v>1.6688699792361652</v>
      </c>
      <c r="AU25" s="10">
        <f t="shared" si="5"/>
        <v>1.6905652889662353</v>
      </c>
      <c r="AV25" s="10">
        <f t="shared" si="5"/>
        <v>1.7125426377227961</v>
      </c>
      <c r="AW25" s="10">
        <f t="shared" si="5"/>
        <v>1.7348056920131922</v>
      </c>
      <c r="AX25" s="10">
        <f t="shared" si="5"/>
        <v>1.7573581660093636</v>
      </c>
      <c r="AY25" s="10">
        <f t="shared" si="5"/>
        <v>1.7802038221674852</v>
      </c>
      <c r="AZ25" s="10">
        <f t="shared" si="5"/>
        <v>1.8033464718556624</v>
      </c>
      <c r="BA25" s="10">
        <f t="shared" si="5"/>
        <v>1.8267899759897857</v>
      </c>
      <c r="BB25" s="10">
        <f t="shared" si="5"/>
        <v>1.8505382456776527</v>
      </c>
      <c r="BC25" s="10">
        <f t="shared" si="5"/>
        <v>1.8745952428714621</v>
      </c>
      <c r="BD25" s="10">
        <f t="shared" si="5"/>
        <v>1.8989649810287907</v>
      </c>
      <c r="BE25" s="10">
        <f t="shared" si="5"/>
        <v>1.9236515257821647</v>
      </c>
      <c r="BF25" s="10">
        <f t="shared" si="5"/>
        <v>1.9486589956173326</v>
      </c>
      <c r="BG25" s="10">
        <f t="shared" si="5"/>
        <v>1.9739915625603577</v>
      </c>
      <c r="BH25" s="10">
        <f t="shared" si="5"/>
        <v>1.9996534528736423</v>
      </c>
      <c r="BI25" s="10">
        <f t="shared" si="5"/>
        <v>2.0256489477609994</v>
      </c>
      <c r="BJ25" s="10">
        <f t="shared" si="5"/>
        <v>2.0519823840818923</v>
      </c>
      <c r="BK25" s="10">
        <f t="shared" si="5"/>
        <v>2.0786581550749568</v>
      </c>
      <c r="BL25" s="10">
        <f t="shared" si="5"/>
        <v>2.1056807110909306</v>
      </c>
      <c r="BM25" s="10">
        <f t="shared" si="5"/>
        <v>2.1330545603351125</v>
      </c>
      <c r="BN25" s="10">
        <f t="shared" si="5"/>
        <v>2.160784269619469</v>
      </c>
      <c r="BO25" s="10">
        <f t="shared" si="5"/>
        <v>2.1888744651245218</v>
      </c>
      <c r="BP25" s="10">
        <f t="shared" si="5"/>
        <v>2.2173298331711404</v>
      </c>
      <c r="BQ25" s="10">
        <f t="shared" si="5"/>
        <v>2.2461551210023649</v>
      </c>
      <c r="BR25" s="10">
        <f t="shared" ref="BR25:CQ25" si="6">IF($C25="","",BR11/INDEX($F11:$CQ11,MATCH(Model_Base,$F$9:$CQ$9,0)))</f>
        <v>2.2753551375753953</v>
      </c>
      <c r="BS25" s="10">
        <f t="shared" si="6"/>
        <v>2.3049347543638756</v>
      </c>
      <c r="BT25" s="10">
        <f t="shared" si="6"/>
        <v>2.3348989061706056</v>
      </c>
      <c r="BU25" s="10">
        <f t="shared" si="6"/>
        <v>2.3652525919508234</v>
      </c>
      <c r="BV25" s="10">
        <f t="shared" si="6"/>
        <v>2.3960008756461844</v>
      </c>
      <c r="BW25" s="10">
        <f t="shared" si="6"/>
        <v>2.4271488870295848</v>
      </c>
      <c r="BX25" s="10">
        <f t="shared" si="6"/>
        <v>2.4587018225609687</v>
      </c>
      <c r="BY25" s="10">
        <f t="shared" si="6"/>
        <v>2.4906649462542614</v>
      </c>
      <c r="BZ25" s="10">
        <f t="shared" si="6"/>
        <v>2.5230435905555666</v>
      </c>
      <c r="CA25" s="10">
        <f t="shared" si="6"/>
        <v>2.5558431572327889</v>
      </c>
      <c r="CB25" s="10">
        <f t="shared" si="6"/>
        <v>2.5890691182768144</v>
      </c>
      <c r="CC25" s="10">
        <f t="shared" si="6"/>
        <v>2.6227270168144132</v>
      </c>
      <c r="CD25" s="10">
        <f t="shared" si="6"/>
        <v>2.6568224680330004</v>
      </c>
      <c r="CE25" s="10">
        <f t="shared" si="6"/>
        <v>2.6913611601174292</v>
      </c>
      <c r="CF25" s="10">
        <f t="shared" si="6"/>
        <v>2.7263488551989554</v>
      </c>
      <c r="CG25" s="10">
        <f t="shared" si="6"/>
        <v>2.7617913903165414</v>
      </c>
      <c r="CH25" s="10">
        <f t="shared" si="6"/>
        <v>2.7976946783906564</v>
      </c>
      <c r="CI25" s="10">
        <f t="shared" si="6"/>
        <v>2.8340647092097346</v>
      </c>
      <c r="CJ25" s="10">
        <f t="shared" si="6"/>
        <v>2.870907550429461</v>
      </c>
      <c r="CK25" s="10">
        <f t="shared" si="6"/>
        <v>2.9082293485850435</v>
      </c>
      <c r="CL25" s="10">
        <f t="shared" si="6"/>
        <v>2.946036330116649</v>
      </c>
      <c r="CM25" s="10">
        <f t="shared" si="6"/>
        <v>2.9843348024081653</v>
      </c>
      <c r="CN25" s="10">
        <f t="shared" si="6"/>
        <v>3.0231311548394708</v>
      </c>
      <c r="CO25" s="10">
        <f t="shared" si="6"/>
        <v>3.0624318598523836</v>
      </c>
      <c r="CP25" s="10">
        <f t="shared" si="6"/>
        <v>3.1022434740304639</v>
      </c>
      <c r="CQ25" s="10">
        <f t="shared" si="6"/>
        <v>3.1425726391928599</v>
      </c>
    </row>
    <row r="26" spans="3:95" x14ac:dyDescent="0.3">
      <c r="C26" s="4" t="str">
        <f t="shared" si="0"/>
        <v>No Inflation</v>
      </c>
      <c r="D26" s="4" t="str">
        <f t="shared" si="0"/>
        <v>NA</v>
      </c>
      <c r="F26" s="10">
        <f t="shared" ref="F26:AK26" si="7">IF($C26="","",F12/INDEX($F12:$CQ12,MATCH(Model_Base,$F$9:$CQ$9,0)))</f>
        <v>1</v>
      </c>
      <c r="G26" s="10">
        <f t="shared" si="7"/>
        <v>1</v>
      </c>
      <c r="H26" s="10">
        <f t="shared" si="7"/>
        <v>1</v>
      </c>
      <c r="I26" s="10">
        <f t="shared" si="7"/>
        <v>1</v>
      </c>
      <c r="J26" s="10">
        <f t="shared" si="7"/>
        <v>1</v>
      </c>
      <c r="K26" s="10">
        <f t="shared" si="7"/>
        <v>1</v>
      </c>
      <c r="L26" s="10">
        <f t="shared" si="7"/>
        <v>1</v>
      </c>
      <c r="M26" s="10">
        <f t="shared" si="7"/>
        <v>1</v>
      </c>
      <c r="N26" s="10">
        <f t="shared" si="7"/>
        <v>1</v>
      </c>
      <c r="O26" s="10">
        <f t="shared" si="7"/>
        <v>1</v>
      </c>
      <c r="P26" s="10">
        <f t="shared" si="7"/>
        <v>1</v>
      </c>
      <c r="Q26" s="10">
        <f t="shared" si="7"/>
        <v>1</v>
      </c>
      <c r="R26" s="10">
        <f t="shared" si="7"/>
        <v>1</v>
      </c>
      <c r="S26" s="10">
        <f t="shared" si="7"/>
        <v>1</v>
      </c>
      <c r="T26" s="10">
        <f t="shared" si="7"/>
        <v>1</v>
      </c>
      <c r="U26" s="10">
        <f t="shared" si="7"/>
        <v>1</v>
      </c>
      <c r="V26" s="10">
        <f t="shared" si="7"/>
        <v>1</v>
      </c>
      <c r="W26" s="10">
        <f t="shared" si="7"/>
        <v>1</v>
      </c>
      <c r="X26" s="10">
        <f t="shared" si="7"/>
        <v>1</v>
      </c>
      <c r="Y26" s="10">
        <f t="shared" si="7"/>
        <v>1</v>
      </c>
      <c r="Z26" s="10">
        <f t="shared" si="7"/>
        <v>1</v>
      </c>
      <c r="AA26" s="10">
        <f t="shared" si="7"/>
        <v>1</v>
      </c>
      <c r="AB26" s="10">
        <f t="shared" si="7"/>
        <v>1</v>
      </c>
      <c r="AC26" s="10">
        <f t="shared" si="7"/>
        <v>1</v>
      </c>
      <c r="AD26" s="10">
        <f t="shared" si="7"/>
        <v>1</v>
      </c>
      <c r="AE26" s="10">
        <f t="shared" si="7"/>
        <v>1</v>
      </c>
      <c r="AF26" s="10">
        <f t="shared" si="7"/>
        <v>1</v>
      </c>
      <c r="AG26" s="10">
        <f t="shared" si="7"/>
        <v>1</v>
      </c>
      <c r="AH26" s="10">
        <f t="shared" si="7"/>
        <v>1</v>
      </c>
      <c r="AI26" s="10">
        <f t="shared" si="7"/>
        <v>1</v>
      </c>
      <c r="AJ26" s="10">
        <f t="shared" si="7"/>
        <v>1</v>
      </c>
      <c r="AK26" s="10">
        <f t="shared" si="7"/>
        <v>1</v>
      </c>
      <c r="AL26" s="10">
        <f t="shared" ref="AL26:BQ26" si="8">IF($C26="","",AL12/INDEX($F12:$CQ12,MATCH(Model_Base,$F$9:$CQ$9,0)))</f>
        <v>1</v>
      </c>
      <c r="AM26" s="10">
        <f t="shared" si="8"/>
        <v>1</v>
      </c>
      <c r="AN26" s="10">
        <f t="shared" si="8"/>
        <v>1</v>
      </c>
      <c r="AO26" s="10">
        <f t="shared" si="8"/>
        <v>1</v>
      </c>
      <c r="AP26" s="10">
        <f t="shared" si="8"/>
        <v>1</v>
      </c>
      <c r="AQ26" s="10">
        <f t="shared" si="8"/>
        <v>1</v>
      </c>
      <c r="AR26" s="10">
        <f t="shared" si="8"/>
        <v>1</v>
      </c>
      <c r="AS26" s="10">
        <f t="shared" si="8"/>
        <v>1</v>
      </c>
      <c r="AT26" s="10">
        <f t="shared" si="8"/>
        <v>1</v>
      </c>
      <c r="AU26" s="10">
        <f t="shared" si="8"/>
        <v>1</v>
      </c>
      <c r="AV26" s="10">
        <f t="shared" si="8"/>
        <v>1</v>
      </c>
      <c r="AW26" s="10">
        <f t="shared" si="8"/>
        <v>1</v>
      </c>
      <c r="AX26" s="10">
        <f t="shared" si="8"/>
        <v>1</v>
      </c>
      <c r="AY26" s="10">
        <f t="shared" si="8"/>
        <v>1</v>
      </c>
      <c r="AZ26" s="10">
        <f t="shared" si="8"/>
        <v>1</v>
      </c>
      <c r="BA26" s="10">
        <f t="shared" si="8"/>
        <v>1</v>
      </c>
      <c r="BB26" s="10">
        <f t="shared" si="8"/>
        <v>1</v>
      </c>
      <c r="BC26" s="10">
        <f t="shared" si="8"/>
        <v>1</v>
      </c>
      <c r="BD26" s="10">
        <f t="shared" si="8"/>
        <v>1</v>
      </c>
      <c r="BE26" s="10">
        <f t="shared" si="8"/>
        <v>1</v>
      </c>
      <c r="BF26" s="10">
        <f t="shared" si="8"/>
        <v>1</v>
      </c>
      <c r="BG26" s="10">
        <f t="shared" si="8"/>
        <v>1</v>
      </c>
      <c r="BH26" s="10">
        <f t="shared" si="8"/>
        <v>1</v>
      </c>
      <c r="BI26" s="10">
        <f t="shared" si="8"/>
        <v>1</v>
      </c>
      <c r="BJ26" s="10">
        <f t="shared" si="8"/>
        <v>1</v>
      </c>
      <c r="BK26" s="10">
        <f t="shared" si="8"/>
        <v>1</v>
      </c>
      <c r="BL26" s="10">
        <f t="shared" si="8"/>
        <v>1</v>
      </c>
      <c r="BM26" s="10">
        <f t="shared" si="8"/>
        <v>1</v>
      </c>
      <c r="BN26" s="10">
        <f t="shared" si="8"/>
        <v>1</v>
      </c>
      <c r="BO26" s="10">
        <f t="shared" si="8"/>
        <v>1</v>
      </c>
      <c r="BP26" s="10">
        <f t="shared" si="8"/>
        <v>1</v>
      </c>
      <c r="BQ26" s="10">
        <f t="shared" si="8"/>
        <v>1</v>
      </c>
      <c r="BR26" s="10">
        <f t="shared" ref="BR26:CQ26" si="9">IF($C26="","",BR12/INDEX($F12:$CQ12,MATCH(Model_Base,$F$9:$CQ$9,0)))</f>
        <v>1</v>
      </c>
      <c r="BS26" s="10">
        <f t="shared" si="9"/>
        <v>1</v>
      </c>
      <c r="BT26" s="10">
        <f t="shared" si="9"/>
        <v>1</v>
      </c>
      <c r="BU26" s="10">
        <f t="shared" si="9"/>
        <v>1</v>
      </c>
      <c r="BV26" s="10">
        <f t="shared" si="9"/>
        <v>1</v>
      </c>
      <c r="BW26" s="10">
        <f t="shared" si="9"/>
        <v>1</v>
      </c>
      <c r="BX26" s="10">
        <f t="shared" si="9"/>
        <v>1</v>
      </c>
      <c r="BY26" s="10">
        <f t="shared" si="9"/>
        <v>1</v>
      </c>
      <c r="BZ26" s="10">
        <f t="shared" si="9"/>
        <v>1</v>
      </c>
      <c r="CA26" s="10">
        <f t="shared" si="9"/>
        <v>1</v>
      </c>
      <c r="CB26" s="10">
        <f t="shared" si="9"/>
        <v>1</v>
      </c>
      <c r="CC26" s="10">
        <f t="shared" si="9"/>
        <v>1</v>
      </c>
      <c r="CD26" s="10">
        <f t="shared" si="9"/>
        <v>1</v>
      </c>
      <c r="CE26" s="10">
        <f t="shared" si="9"/>
        <v>1</v>
      </c>
      <c r="CF26" s="10">
        <f t="shared" si="9"/>
        <v>1</v>
      </c>
      <c r="CG26" s="10">
        <f t="shared" si="9"/>
        <v>1</v>
      </c>
      <c r="CH26" s="10">
        <f t="shared" si="9"/>
        <v>1</v>
      </c>
      <c r="CI26" s="10">
        <f t="shared" si="9"/>
        <v>1</v>
      </c>
      <c r="CJ26" s="10">
        <f t="shared" si="9"/>
        <v>1</v>
      </c>
      <c r="CK26" s="10">
        <f t="shared" si="9"/>
        <v>1</v>
      </c>
      <c r="CL26" s="10">
        <f t="shared" si="9"/>
        <v>1</v>
      </c>
      <c r="CM26" s="10">
        <f t="shared" si="9"/>
        <v>1</v>
      </c>
      <c r="CN26" s="10">
        <f t="shared" si="9"/>
        <v>1</v>
      </c>
      <c r="CO26" s="10">
        <f t="shared" si="9"/>
        <v>1</v>
      </c>
      <c r="CP26" s="10">
        <f t="shared" si="9"/>
        <v>1</v>
      </c>
      <c r="CQ26" s="10">
        <f t="shared" si="9"/>
        <v>1</v>
      </c>
    </row>
    <row r="27" spans="3:95" x14ac:dyDescent="0.3">
      <c r="C27" s="4" t="str">
        <f t="shared" si="0"/>
        <v/>
      </c>
      <c r="D27" s="4" t="str">
        <f t="shared" si="0"/>
        <v/>
      </c>
      <c r="F27" s="10" t="str">
        <f t="shared" ref="F27:AK27" si="10">IF($C27="","",F13/INDEX($F13:$CQ13,MATCH(Model_Base,$F$9:$CQ$9,0)))</f>
        <v/>
      </c>
      <c r="G27" s="10" t="str">
        <f t="shared" si="10"/>
        <v/>
      </c>
      <c r="H27" s="10" t="str">
        <f t="shared" si="10"/>
        <v/>
      </c>
      <c r="I27" s="10" t="str">
        <f t="shared" si="10"/>
        <v/>
      </c>
      <c r="J27" s="10" t="str">
        <f t="shared" si="10"/>
        <v/>
      </c>
      <c r="K27" s="10" t="str">
        <f t="shared" si="10"/>
        <v/>
      </c>
      <c r="L27" s="10" t="str">
        <f t="shared" si="10"/>
        <v/>
      </c>
      <c r="M27" s="10" t="str">
        <f t="shared" si="10"/>
        <v/>
      </c>
      <c r="N27" s="10" t="str">
        <f t="shared" si="10"/>
        <v/>
      </c>
      <c r="O27" s="10" t="str">
        <f t="shared" si="10"/>
        <v/>
      </c>
      <c r="P27" s="10" t="str">
        <f t="shared" si="10"/>
        <v/>
      </c>
      <c r="Q27" s="10" t="str">
        <f t="shared" si="10"/>
        <v/>
      </c>
      <c r="R27" s="10" t="str">
        <f t="shared" si="10"/>
        <v/>
      </c>
      <c r="S27" s="10" t="str">
        <f t="shared" si="10"/>
        <v/>
      </c>
      <c r="T27" s="10" t="str">
        <f t="shared" si="10"/>
        <v/>
      </c>
      <c r="U27" s="10" t="str">
        <f t="shared" si="10"/>
        <v/>
      </c>
      <c r="V27" s="10" t="str">
        <f t="shared" si="10"/>
        <v/>
      </c>
      <c r="W27" s="10" t="str">
        <f t="shared" si="10"/>
        <v/>
      </c>
      <c r="X27" s="10" t="str">
        <f t="shared" si="10"/>
        <v/>
      </c>
      <c r="Y27" s="10" t="str">
        <f t="shared" si="10"/>
        <v/>
      </c>
      <c r="Z27" s="10" t="str">
        <f t="shared" si="10"/>
        <v/>
      </c>
      <c r="AA27" s="10" t="str">
        <f t="shared" si="10"/>
        <v/>
      </c>
      <c r="AB27" s="10" t="str">
        <f t="shared" si="10"/>
        <v/>
      </c>
      <c r="AC27" s="10" t="str">
        <f t="shared" si="10"/>
        <v/>
      </c>
      <c r="AD27" s="10" t="str">
        <f t="shared" si="10"/>
        <v/>
      </c>
      <c r="AE27" s="10" t="str">
        <f t="shared" si="10"/>
        <v/>
      </c>
      <c r="AF27" s="10" t="str">
        <f t="shared" si="10"/>
        <v/>
      </c>
      <c r="AG27" s="10" t="str">
        <f t="shared" si="10"/>
        <v/>
      </c>
      <c r="AH27" s="10" t="str">
        <f t="shared" si="10"/>
        <v/>
      </c>
      <c r="AI27" s="10" t="str">
        <f t="shared" si="10"/>
        <v/>
      </c>
      <c r="AJ27" s="10" t="str">
        <f t="shared" si="10"/>
        <v/>
      </c>
      <c r="AK27" s="10" t="str">
        <f t="shared" si="10"/>
        <v/>
      </c>
      <c r="AL27" s="10" t="str">
        <f t="shared" ref="AL27:BQ27" si="11">IF($C27="","",AL13/INDEX($F13:$CQ13,MATCH(Model_Base,$F$9:$CQ$9,0)))</f>
        <v/>
      </c>
      <c r="AM27" s="10" t="str">
        <f t="shared" si="11"/>
        <v/>
      </c>
      <c r="AN27" s="10" t="str">
        <f t="shared" si="11"/>
        <v/>
      </c>
      <c r="AO27" s="10" t="str">
        <f t="shared" si="11"/>
        <v/>
      </c>
      <c r="AP27" s="10" t="str">
        <f t="shared" si="11"/>
        <v/>
      </c>
      <c r="AQ27" s="10" t="str">
        <f t="shared" si="11"/>
        <v/>
      </c>
      <c r="AR27" s="10" t="str">
        <f t="shared" si="11"/>
        <v/>
      </c>
      <c r="AS27" s="10" t="str">
        <f t="shared" si="11"/>
        <v/>
      </c>
      <c r="AT27" s="10" t="str">
        <f t="shared" si="11"/>
        <v/>
      </c>
      <c r="AU27" s="10" t="str">
        <f t="shared" si="11"/>
        <v/>
      </c>
      <c r="AV27" s="10" t="str">
        <f t="shared" si="11"/>
        <v/>
      </c>
      <c r="AW27" s="10" t="str">
        <f t="shared" si="11"/>
        <v/>
      </c>
      <c r="AX27" s="10" t="str">
        <f t="shared" si="11"/>
        <v/>
      </c>
      <c r="AY27" s="10" t="str">
        <f t="shared" si="11"/>
        <v/>
      </c>
      <c r="AZ27" s="10" t="str">
        <f t="shared" si="11"/>
        <v/>
      </c>
      <c r="BA27" s="10" t="str">
        <f t="shared" si="11"/>
        <v/>
      </c>
      <c r="BB27" s="10" t="str">
        <f t="shared" si="11"/>
        <v/>
      </c>
      <c r="BC27" s="10" t="str">
        <f t="shared" si="11"/>
        <v/>
      </c>
      <c r="BD27" s="10" t="str">
        <f t="shared" si="11"/>
        <v/>
      </c>
      <c r="BE27" s="10" t="str">
        <f t="shared" si="11"/>
        <v/>
      </c>
      <c r="BF27" s="10" t="str">
        <f t="shared" si="11"/>
        <v/>
      </c>
      <c r="BG27" s="10" t="str">
        <f t="shared" si="11"/>
        <v/>
      </c>
      <c r="BH27" s="10" t="str">
        <f t="shared" si="11"/>
        <v/>
      </c>
      <c r="BI27" s="10" t="str">
        <f t="shared" si="11"/>
        <v/>
      </c>
      <c r="BJ27" s="10" t="str">
        <f t="shared" si="11"/>
        <v/>
      </c>
      <c r="BK27" s="10" t="str">
        <f t="shared" si="11"/>
        <v/>
      </c>
      <c r="BL27" s="10" t="str">
        <f t="shared" si="11"/>
        <v/>
      </c>
      <c r="BM27" s="10" t="str">
        <f t="shared" si="11"/>
        <v/>
      </c>
      <c r="BN27" s="10" t="str">
        <f t="shared" si="11"/>
        <v/>
      </c>
      <c r="BO27" s="10" t="str">
        <f t="shared" si="11"/>
        <v/>
      </c>
      <c r="BP27" s="10" t="str">
        <f t="shared" si="11"/>
        <v/>
      </c>
      <c r="BQ27" s="10" t="str">
        <f t="shared" si="11"/>
        <v/>
      </c>
      <c r="BR27" s="10" t="str">
        <f t="shared" ref="BR27:CQ27" si="12">IF($C27="","",BR13/INDEX($F13:$CQ13,MATCH(Model_Base,$F$9:$CQ$9,0)))</f>
        <v/>
      </c>
      <c r="BS27" s="10" t="str">
        <f t="shared" si="12"/>
        <v/>
      </c>
      <c r="BT27" s="10" t="str">
        <f t="shared" si="12"/>
        <v/>
      </c>
      <c r="BU27" s="10" t="str">
        <f t="shared" si="12"/>
        <v/>
      </c>
      <c r="BV27" s="10" t="str">
        <f t="shared" si="12"/>
        <v/>
      </c>
      <c r="BW27" s="10" t="str">
        <f t="shared" si="12"/>
        <v/>
      </c>
      <c r="BX27" s="10" t="str">
        <f t="shared" si="12"/>
        <v/>
      </c>
      <c r="BY27" s="10" t="str">
        <f t="shared" si="12"/>
        <v/>
      </c>
      <c r="BZ27" s="10" t="str">
        <f t="shared" si="12"/>
        <v/>
      </c>
      <c r="CA27" s="10" t="str">
        <f t="shared" si="12"/>
        <v/>
      </c>
      <c r="CB27" s="10" t="str">
        <f t="shared" si="12"/>
        <v/>
      </c>
      <c r="CC27" s="10" t="str">
        <f t="shared" si="12"/>
        <v/>
      </c>
      <c r="CD27" s="10" t="str">
        <f t="shared" si="12"/>
        <v/>
      </c>
      <c r="CE27" s="10" t="str">
        <f t="shared" si="12"/>
        <v/>
      </c>
      <c r="CF27" s="10" t="str">
        <f t="shared" si="12"/>
        <v/>
      </c>
      <c r="CG27" s="10" t="str">
        <f t="shared" si="12"/>
        <v/>
      </c>
      <c r="CH27" s="10" t="str">
        <f t="shared" si="12"/>
        <v/>
      </c>
      <c r="CI27" s="10" t="str">
        <f t="shared" si="12"/>
        <v/>
      </c>
      <c r="CJ27" s="10" t="str">
        <f t="shared" si="12"/>
        <v/>
      </c>
      <c r="CK27" s="10" t="str">
        <f t="shared" si="12"/>
        <v/>
      </c>
      <c r="CL27" s="10" t="str">
        <f t="shared" si="12"/>
        <v/>
      </c>
      <c r="CM27" s="10" t="str">
        <f t="shared" si="12"/>
        <v/>
      </c>
      <c r="CN27" s="10" t="str">
        <f t="shared" si="12"/>
        <v/>
      </c>
      <c r="CO27" s="10" t="str">
        <f t="shared" si="12"/>
        <v/>
      </c>
      <c r="CP27" s="10" t="str">
        <f t="shared" si="12"/>
        <v/>
      </c>
      <c r="CQ27" s="10" t="str">
        <f t="shared" si="12"/>
        <v/>
      </c>
    </row>
    <row r="28" spans="3:95" x14ac:dyDescent="0.3">
      <c r="C28" s="4" t="str">
        <f t="shared" si="0"/>
        <v/>
      </c>
      <c r="D28" s="4" t="str">
        <f t="shared" si="0"/>
        <v/>
      </c>
      <c r="F28" s="10" t="str">
        <f t="shared" ref="F28:AK28" si="13">IF($C28="","",F14/INDEX($F14:$CQ14,MATCH(Model_Base,$F$9:$CQ$9,0)))</f>
        <v/>
      </c>
      <c r="G28" s="10" t="str">
        <f t="shared" si="13"/>
        <v/>
      </c>
      <c r="H28" s="10" t="str">
        <f t="shared" si="13"/>
        <v/>
      </c>
      <c r="I28" s="10" t="str">
        <f t="shared" si="13"/>
        <v/>
      </c>
      <c r="J28" s="10" t="str">
        <f t="shared" si="13"/>
        <v/>
      </c>
      <c r="K28" s="10" t="str">
        <f t="shared" si="13"/>
        <v/>
      </c>
      <c r="L28" s="10" t="str">
        <f t="shared" si="13"/>
        <v/>
      </c>
      <c r="M28" s="10" t="str">
        <f t="shared" si="13"/>
        <v/>
      </c>
      <c r="N28" s="10" t="str">
        <f t="shared" si="13"/>
        <v/>
      </c>
      <c r="O28" s="10" t="str">
        <f t="shared" si="13"/>
        <v/>
      </c>
      <c r="P28" s="10" t="str">
        <f t="shared" si="13"/>
        <v/>
      </c>
      <c r="Q28" s="10" t="str">
        <f t="shared" si="13"/>
        <v/>
      </c>
      <c r="R28" s="10" t="str">
        <f t="shared" si="13"/>
        <v/>
      </c>
      <c r="S28" s="10" t="str">
        <f t="shared" si="13"/>
        <v/>
      </c>
      <c r="T28" s="10" t="str">
        <f t="shared" si="13"/>
        <v/>
      </c>
      <c r="U28" s="10" t="str">
        <f t="shared" si="13"/>
        <v/>
      </c>
      <c r="V28" s="10" t="str">
        <f t="shared" si="13"/>
        <v/>
      </c>
      <c r="W28" s="10" t="str">
        <f t="shared" si="13"/>
        <v/>
      </c>
      <c r="X28" s="10" t="str">
        <f t="shared" si="13"/>
        <v/>
      </c>
      <c r="Y28" s="10" t="str">
        <f t="shared" si="13"/>
        <v/>
      </c>
      <c r="Z28" s="10" t="str">
        <f t="shared" si="13"/>
        <v/>
      </c>
      <c r="AA28" s="10" t="str">
        <f t="shared" si="13"/>
        <v/>
      </c>
      <c r="AB28" s="10" t="str">
        <f t="shared" si="13"/>
        <v/>
      </c>
      <c r="AC28" s="10" t="str">
        <f t="shared" si="13"/>
        <v/>
      </c>
      <c r="AD28" s="10" t="str">
        <f t="shared" si="13"/>
        <v/>
      </c>
      <c r="AE28" s="10" t="str">
        <f t="shared" si="13"/>
        <v/>
      </c>
      <c r="AF28" s="10" t="str">
        <f t="shared" si="13"/>
        <v/>
      </c>
      <c r="AG28" s="10" t="str">
        <f t="shared" si="13"/>
        <v/>
      </c>
      <c r="AH28" s="10" t="str">
        <f t="shared" si="13"/>
        <v/>
      </c>
      <c r="AI28" s="10" t="str">
        <f t="shared" si="13"/>
        <v/>
      </c>
      <c r="AJ28" s="10" t="str">
        <f t="shared" si="13"/>
        <v/>
      </c>
      <c r="AK28" s="10" t="str">
        <f t="shared" si="13"/>
        <v/>
      </c>
      <c r="AL28" s="10" t="str">
        <f t="shared" ref="AL28:BQ28" si="14">IF($C28="","",AL14/INDEX($F14:$CQ14,MATCH(Model_Base,$F$9:$CQ$9,0)))</f>
        <v/>
      </c>
      <c r="AM28" s="10" t="str">
        <f t="shared" si="14"/>
        <v/>
      </c>
      <c r="AN28" s="10" t="str">
        <f t="shared" si="14"/>
        <v/>
      </c>
      <c r="AO28" s="10" t="str">
        <f t="shared" si="14"/>
        <v/>
      </c>
      <c r="AP28" s="10" t="str">
        <f t="shared" si="14"/>
        <v/>
      </c>
      <c r="AQ28" s="10" t="str">
        <f t="shared" si="14"/>
        <v/>
      </c>
      <c r="AR28" s="10" t="str">
        <f t="shared" si="14"/>
        <v/>
      </c>
      <c r="AS28" s="10" t="str">
        <f t="shared" si="14"/>
        <v/>
      </c>
      <c r="AT28" s="10" t="str">
        <f t="shared" si="14"/>
        <v/>
      </c>
      <c r="AU28" s="10" t="str">
        <f t="shared" si="14"/>
        <v/>
      </c>
      <c r="AV28" s="10" t="str">
        <f t="shared" si="14"/>
        <v/>
      </c>
      <c r="AW28" s="10" t="str">
        <f t="shared" si="14"/>
        <v/>
      </c>
      <c r="AX28" s="10" t="str">
        <f t="shared" si="14"/>
        <v/>
      </c>
      <c r="AY28" s="10" t="str">
        <f t="shared" si="14"/>
        <v/>
      </c>
      <c r="AZ28" s="10" t="str">
        <f t="shared" si="14"/>
        <v/>
      </c>
      <c r="BA28" s="10" t="str">
        <f t="shared" si="14"/>
        <v/>
      </c>
      <c r="BB28" s="10" t="str">
        <f t="shared" si="14"/>
        <v/>
      </c>
      <c r="BC28" s="10" t="str">
        <f t="shared" si="14"/>
        <v/>
      </c>
      <c r="BD28" s="10" t="str">
        <f t="shared" si="14"/>
        <v/>
      </c>
      <c r="BE28" s="10" t="str">
        <f t="shared" si="14"/>
        <v/>
      </c>
      <c r="BF28" s="10" t="str">
        <f t="shared" si="14"/>
        <v/>
      </c>
      <c r="BG28" s="10" t="str">
        <f t="shared" si="14"/>
        <v/>
      </c>
      <c r="BH28" s="10" t="str">
        <f t="shared" si="14"/>
        <v/>
      </c>
      <c r="BI28" s="10" t="str">
        <f t="shared" si="14"/>
        <v/>
      </c>
      <c r="BJ28" s="10" t="str">
        <f t="shared" si="14"/>
        <v/>
      </c>
      <c r="BK28" s="10" t="str">
        <f t="shared" si="14"/>
        <v/>
      </c>
      <c r="BL28" s="10" t="str">
        <f t="shared" si="14"/>
        <v/>
      </c>
      <c r="BM28" s="10" t="str">
        <f t="shared" si="14"/>
        <v/>
      </c>
      <c r="BN28" s="10" t="str">
        <f t="shared" si="14"/>
        <v/>
      </c>
      <c r="BO28" s="10" t="str">
        <f t="shared" si="14"/>
        <v/>
      </c>
      <c r="BP28" s="10" t="str">
        <f t="shared" si="14"/>
        <v/>
      </c>
      <c r="BQ28" s="10" t="str">
        <f t="shared" si="14"/>
        <v/>
      </c>
      <c r="BR28" s="10" t="str">
        <f t="shared" ref="BR28:CQ28" si="15">IF($C28="","",BR14/INDEX($F14:$CQ14,MATCH(Model_Base,$F$9:$CQ$9,0)))</f>
        <v/>
      </c>
      <c r="BS28" s="10" t="str">
        <f t="shared" si="15"/>
        <v/>
      </c>
      <c r="BT28" s="10" t="str">
        <f t="shared" si="15"/>
        <v/>
      </c>
      <c r="BU28" s="10" t="str">
        <f t="shared" si="15"/>
        <v/>
      </c>
      <c r="BV28" s="10" t="str">
        <f t="shared" si="15"/>
        <v/>
      </c>
      <c r="BW28" s="10" t="str">
        <f t="shared" si="15"/>
        <v/>
      </c>
      <c r="BX28" s="10" t="str">
        <f t="shared" si="15"/>
        <v/>
      </c>
      <c r="BY28" s="10" t="str">
        <f t="shared" si="15"/>
        <v/>
      </c>
      <c r="BZ28" s="10" t="str">
        <f t="shared" si="15"/>
        <v/>
      </c>
      <c r="CA28" s="10" t="str">
        <f t="shared" si="15"/>
        <v/>
      </c>
      <c r="CB28" s="10" t="str">
        <f t="shared" si="15"/>
        <v/>
      </c>
      <c r="CC28" s="10" t="str">
        <f t="shared" si="15"/>
        <v/>
      </c>
      <c r="CD28" s="10" t="str">
        <f t="shared" si="15"/>
        <v/>
      </c>
      <c r="CE28" s="10" t="str">
        <f t="shared" si="15"/>
        <v/>
      </c>
      <c r="CF28" s="10" t="str">
        <f t="shared" si="15"/>
        <v/>
      </c>
      <c r="CG28" s="10" t="str">
        <f t="shared" si="15"/>
        <v/>
      </c>
      <c r="CH28" s="10" t="str">
        <f t="shared" si="15"/>
        <v/>
      </c>
      <c r="CI28" s="10" t="str">
        <f t="shared" si="15"/>
        <v/>
      </c>
      <c r="CJ28" s="10" t="str">
        <f t="shared" si="15"/>
        <v/>
      </c>
      <c r="CK28" s="10" t="str">
        <f t="shared" si="15"/>
        <v/>
      </c>
      <c r="CL28" s="10" t="str">
        <f t="shared" si="15"/>
        <v/>
      </c>
      <c r="CM28" s="10" t="str">
        <f t="shared" si="15"/>
        <v/>
      </c>
      <c r="CN28" s="10" t="str">
        <f t="shared" si="15"/>
        <v/>
      </c>
      <c r="CO28" s="10" t="str">
        <f t="shared" si="15"/>
        <v/>
      </c>
      <c r="CP28" s="10" t="str">
        <f t="shared" si="15"/>
        <v/>
      </c>
      <c r="CQ28" s="10" t="str">
        <f t="shared" si="15"/>
        <v/>
      </c>
    </row>
    <row r="29" spans="3:95" x14ac:dyDescent="0.3">
      <c r="C29" s="4" t="str">
        <f t="shared" si="0"/>
        <v/>
      </c>
      <c r="D29" s="4" t="str">
        <f t="shared" si="0"/>
        <v/>
      </c>
      <c r="F29" s="10" t="str">
        <f t="shared" ref="F29:AK29" si="16">IF($C29="","",F15/INDEX($F15:$CQ15,MATCH(Model_Base,$F$9:$CQ$9,0)))</f>
        <v/>
      </c>
      <c r="G29" s="10" t="str">
        <f t="shared" si="16"/>
        <v/>
      </c>
      <c r="H29" s="10" t="str">
        <f t="shared" si="16"/>
        <v/>
      </c>
      <c r="I29" s="10" t="str">
        <f t="shared" si="16"/>
        <v/>
      </c>
      <c r="J29" s="10" t="str">
        <f t="shared" si="16"/>
        <v/>
      </c>
      <c r="K29" s="10" t="str">
        <f t="shared" si="16"/>
        <v/>
      </c>
      <c r="L29" s="10" t="str">
        <f t="shared" si="16"/>
        <v/>
      </c>
      <c r="M29" s="10" t="str">
        <f t="shared" si="16"/>
        <v/>
      </c>
      <c r="N29" s="10" t="str">
        <f t="shared" si="16"/>
        <v/>
      </c>
      <c r="O29" s="10" t="str">
        <f t="shared" si="16"/>
        <v/>
      </c>
      <c r="P29" s="10" t="str">
        <f t="shared" si="16"/>
        <v/>
      </c>
      <c r="Q29" s="10" t="str">
        <f t="shared" si="16"/>
        <v/>
      </c>
      <c r="R29" s="10" t="str">
        <f t="shared" si="16"/>
        <v/>
      </c>
      <c r="S29" s="10" t="str">
        <f t="shared" si="16"/>
        <v/>
      </c>
      <c r="T29" s="10" t="str">
        <f t="shared" si="16"/>
        <v/>
      </c>
      <c r="U29" s="10" t="str">
        <f t="shared" si="16"/>
        <v/>
      </c>
      <c r="V29" s="10" t="str">
        <f t="shared" si="16"/>
        <v/>
      </c>
      <c r="W29" s="10" t="str">
        <f t="shared" si="16"/>
        <v/>
      </c>
      <c r="X29" s="10" t="str">
        <f t="shared" si="16"/>
        <v/>
      </c>
      <c r="Y29" s="10" t="str">
        <f t="shared" si="16"/>
        <v/>
      </c>
      <c r="Z29" s="10" t="str">
        <f t="shared" si="16"/>
        <v/>
      </c>
      <c r="AA29" s="10" t="str">
        <f t="shared" si="16"/>
        <v/>
      </c>
      <c r="AB29" s="10" t="str">
        <f t="shared" si="16"/>
        <v/>
      </c>
      <c r="AC29" s="10" t="str">
        <f t="shared" si="16"/>
        <v/>
      </c>
      <c r="AD29" s="10" t="str">
        <f t="shared" si="16"/>
        <v/>
      </c>
      <c r="AE29" s="10" t="str">
        <f t="shared" si="16"/>
        <v/>
      </c>
      <c r="AF29" s="10" t="str">
        <f t="shared" si="16"/>
        <v/>
      </c>
      <c r="AG29" s="10" t="str">
        <f t="shared" si="16"/>
        <v/>
      </c>
      <c r="AH29" s="10" t="str">
        <f t="shared" si="16"/>
        <v/>
      </c>
      <c r="AI29" s="10" t="str">
        <f t="shared" si="16"/>
        <v/>
      </c>
      <c r="AJ29" s="10" t="str">
        <f t="shared" si="16"/>
        <v/>
      </c>
      <c r="AK29" s="10" t="str">
        <f t="shared" si="16"/>
        <v/>
      </c>
      <c r="AL29" s="10" t="str">
        <f t="shared" ref="AL29:BQ29" si="17">IF($C29="","",AL15/INDEX($F15:$CQ15,MATCH(Model_Base,$F$9:$CQ$9,0)))</f>
        <v/>
      </c>
      <c r="AM29" s="10" t="str">
        <f t="shared" si="17"/>
        <v/>
      </c>
      <c r="AN29" s="10" t="str">
        <f t="shared" si="17"/>
        <v/>
      </c>
      <c r="AO29" s="10" t="str">
        <f t="shared" si="17"/>
        <v/>
      </c>
      <c r="AP29" s="10" t="str">
        <f t="shared" si="17"/>
        <v/>
      </c>
      <c r="AQ29" s="10" t="str">
        <f t="shared" si="17"/>
        <v/>
      </c>
      <c r="AR29" s="10" t="str">
        <f t="shared" si="17"/>
        <v/>
      </c>
      <c r="AS29" s="10" t="str">
        <f t="shared" si="17"/>
        <v/>
      </c>
      <c r="AT29" s="10" t="str">
        <f t="shared" si="17"/>
        <v/>
      </c>
      <c r="AU29" s="10" t="str">
        <f t="shared" si="17"/>
        <v/>
      </c>
      <c r="AV29" s="10" t="str">
        <f t="shared" si="17"/>
        <v/>
      </c>
      <c r="AW29" s="10" t="str">
        <f t="shared" si="17"/>
        <v/>
      </c>
      <c r="AX29" s="10" t="str">
        <f t="shared" si="17"/>
        <v/>
      </c>
      <c r="AY29" s="10" t="str">
        <f t="shared" si="17"/>
        <v/>
      </c>
      <c r="AZ29" s="10" t="str">
        <f t="shared" si="17"/>
        <v/>
      </c>
      <c r="BA29" s="10" t="str">
        <f t="shared" si="17"/>
        <v/>
      </c>
      <c r="BB29" s="10" t="str">
        <f t="shared" si="17"/>
        <v/>
      </c>
      <c r="BC29" s="10" t="str">
        <f t="shared" si="17"/>
        <v/>
      </c>
      <c r="BD29" s="10" t="str">
        <f t="shared" si="17"/>
        <v/>
      </c>
      <c r="BE29" s="10" t="str">
        <f t="shared" si="17"/>
        <v/>
      </c>
      <c r="BF29" s="10" t="str">
        <f t="shared" si="17"/>
        <v/>
      </c>
      <c r="BG29" s="10" t="str">
        <f t="shared" si="17"/>
        <v/>
      </c>
      <c r="BH29" s="10" t="str">
        <f t="shared" si="17"/>
        <v/>
      </c>
      <c r="BI29" s="10" t="str">
        <f t="shared" si="17"/>
        <v/>
      </c>
      <c r="BJ29" s="10" t="str">
        <f t="shared" si="17"/>
        <v/>
      </c>
      <c r="BK29" s="10" t="str">
        <f t="shared" si="17"/>
        <v/>
      </c>
      <c r="BL29" s="10" t="str">
        <f t="shared" si="17"/>
        <v/>
      </c>
      <c r="BM29" s="10" t="str">
        <f t="shared" si="17"/>
        <v/>
      </c>
      <c r="BN29" s="10" t="str">
        <f t="shared" si="17"/>
        <v/>
      </c>
      <c r="BO29" s="10" t="str">
        <f t="shared" si="17"/>
        <v/>
      </c>
      <c r="BP29" s="10" t="str">
        <f t="shared" si="17"/>
        <v/>
      </c>
      <c r="BQ29" s="10" t="str">
        <f t="shared" si="17"/>
        <v/>
      </c>
      <c r="BR29" s="10" t="str">
        <f t="shared" ref="BR29:CQ29" si="18">IF($C29="","",BR15/INDEX($F15:$CQ15,MATCH(Model_Base,$F$9:$CQ$9,0)))</f>
        <v/>
      </c>
      <c r="BS29" s="10" t="str">
        <f t="shared" si="18"/>
        <v/>
      </c>
      <c r="BT29" s="10" t="str">
        <f t="shared" si="18"/>
        <v/>
      </c>
      <c r="BU29" s="10" t="str">
        <f t="shared" si="18"/>
        <v/>
      </c>
      <c r="BV29" s="10" t="str">
        <f t="shared" si="18"/>
        <v/>
      </c>
      <c r="BW29" s="10" t="str">
        <f t="shared" si="18"/>
        <v/>
      </c>
      <c r="BX29" s="10" t="str">
        <f t="shared" si="18"/>
        <v/>
      </c>
      <c r="BY29" s="10" t="str">
        <f t="shared" si="18"/>
        <v/>
      </c>
      <c r="BZ29" s="10" t="str">
        <f t="shared" si="18"/>
        <v/>
      </c>
      <c r="CA29" s="10" t="str">
        <f t="shared" si="18"/>
        <v/>
      </c>
      <c r="CB29" s="10" t="str">
        <f t="shared" si="18"/>
        <v/>
      </c>
      <c r="CC29" s="10" t="str">
        <f t="shared" si="18"/>
        <v/>
      </c>
      <c r="CD29" s="10" t="str">
        <f t="shared" si="18"/>
        <v/>
      </c>
      <c r="CE29" s="10" t="str">
        <f t="shared" si="18"/>
        <v/>
      </c>
      <c r="CF29" s="10" t="str">
        <f t="shared" si="18"/>
        <v/>
      </c>
      <c r="CG29" s="10" t="str">
        <f t="shared" si="18"/>
        <v/>
      </c>
      <c r="CH29" s="10" t="str">
        <f t="shared" si="18"/>
        <v/>
      </c>
      <c r="CI29" s="10" t="str">
        <f t="shared" si="18"/>
        <v/>
      </c>
      <c r="CJ29" s="10" t="str">
        <f t="shared" si="18"/>
        <v/>
      </c>
      <c r="CK29" s="10" t="str">
        <f t="shared" si="18"/>
        <v/>
      </c>
      <c r="CL29" s="10" t="str">
        <f t="shared" si="18"/>
        <v/>
      </c>
      <c r="CM29" s="10" t="str">
        <f t="shared" si="18"/>
        <v/>
      </c>
      <c r="CN29" s="10" t="str">
        <f t="shared" si="18"/>
        <v/>
      </c>
      <c r="CO29" s="10" t="str">
        <f t="shared" si="18"/>
        <v/>
      </c>
      <c r="CP29" s="10" t="str">
        <f t="shared" si="18"/>
        <v/>
      </c>
      <c r="CQ29" s="10" t="str">
        <f t="shared" si="18"/>
        <v/>
      </c>
    </row>
    <row r="30" spans="3:95" x14ac:dyDescent="0.3">
      <c r="C30" s="4" t="str">
        <f t="shared" si="0"/>
        <v/>
      </c>
      <c r="D30" s="4" t="str">
        <f t="shared" si="0"/>
        <v/>
      </c>
      <c r="F30" s="10" t="str">
        <f t="shared" ref="F30:AK30" si="19">IF($C30="","",F16/INDEX($F16:$CQ16,MATCH(Model_Base,$F$9:$CQ$9,0)))</f>
        <v/>
      </c>
      <c r="G30" s="10" t="str">
        <f t="shared" si="19"/>
        <v/>
      </c>
      <c r="H30" s="10" t="str">
        <f t="shared" si="19"/>
        <v/>
      </c>
      <c r="I30" s="10" t="str">
        <f t="shared" si="19"/>
        <v/>
      </c>
      <c r="J30" s="10" t="str">
        <f t="shared" si="19"/>
        <v/>
      </c>
      <c r="K30" s="10" t="str">
        <f t="shared" si="19"/>
        <v/>
      </c>
      <c r="L30" s="10" t="str">
        <f t="shared" si="19"/>
        <v/>
      </c>
      <c r="M30" s="10" t="str">
        <f t="shared" si="19"/>
        <v/>
      </c>
      <c r="N30" s="10" t="str">
        <f t="shared" si="19"/>
        <v/>
      </c>
      <c r="O30" s="10" t="str">
        <f t="shared" si="19"/>
        <v/>
      </c>
      <c r="P30" s="10" t="str">
        <f t="shared" si="19"/>
        <v/>
      </c>
      <c r="Q30" s="10" t="str">
        <f t="shared" si="19"/>
        <v/>
      </c>
      <c r="R30" s="10" t="str">
        <f t="shared" si="19"/>
        <v/>
      </c>
      <c r="S30" s="10" t="str">
        <f t="shared" si="19"/>
        <v/>
      </c>
      <c r="T30" s="10" t="str">
        <f t="shared" si="19"/>
        <v/>
      </c>
      <c r="U30" s="10" t="str">
        <f t="shared" si="19"/>
        <v/>
      </c>
      <c r="V30" s="10" t="str">
        <f t="shared" si="19"/>
        <v/>
      </c>
      <c r="W30" s="10" t="str">
        <f t="shared" si="19"/>
        <v/>
      </c>
      <c r="X30" s="10" t="str">
        <f t="shared" si="19"/>
        <v/>
      </c>
      <c r="Y30" s="10" t="str">
        <f t="shared" si="19"/>
        <v/>
      </c>
      <c r="Z30" s="10" t="str">
        <f t="shared" si="19"/>
        <v/>
      </c>
      <c r="AA30" s="10" t="str">
        <f t="shared" si="19"/>
        <v/>
      </c>
      <c r="AB30" s="10" t="str">
        <f t="shared" si="19"/>
        <v/>
      </c>
      <c r="AC30" s="10" t="str">
        <f t="shared" si="19"/>
        <v/>
      </c>
      <c r="AD30" s="10" t="str">
        <f t="shared" si="19"/>
        <v/>
      </c>
      <c r="AE30" s="10" t="str">
        <f t="shared" si="19"/>
        <v/>
      </c>
      <c r="AF30" s="10" t="str">
        <f t="shared" si="19"/>
        <v/>
      </c>
      <c r="AG30" s="10" t="str">
        <f t="shared" si="19"/>
        <v/>
      </c>
      <c r="AH30" s="10" t="str">
        <f t="shared" si="19"/>
        <v/>
      </c>
      <c r="AI30" s="10" t="str">
        <f t="shared" si="19"/>
        <v/>
      </c>
      <c r="AJ30" s="10" t="str">
        <f t="shared" si="19"/>
        <v/>
      </c>
      <c r="AK30" s="10" t="str">
        <f t="shared" si="19"/>
        <v/>
      </c>
      <c r="AL30" s="10" t="str">
        <f t="shared" ref="AL30:BQ30" si="20">IF($C30="","",AL16/INDEX($F16:$CQ16,MATCH(Model_Base,$F$9:$CQ$9,0)))</f>
        <v/>
      </c>
      <c r="AM30" s="10" t="str">
        <f t="shared" si="20"/>
        <v/>
      </c>
      <c r="AN30" s="10" t="str">
        <f t="shared" si="20"/>
        <v/>
      </c>
      <c r="AO30" s="10" t="str">
        <f t="shared" si="20"/>
        <v/>
      </c>
      <c r="AP30" s="10" t="str">
        <f t="shared" si="20"/>
        <v/>
      </c>
      <c r="AQ30" s="10" t="str">
        <f t="shared" si="20"/>
        <v/>
      </c>
      <c r="AR30" s="10" t="str">
        <f t="shared" si="20"/>
        <v/>
      </c>
      <c r="AS30" s="10" t="str">
        <f t="shared" si="20"/>
        <v/>
      </c>
      <c r="AT30" s="10" t="str">
        <f t="shared" si="20"/>
        <v/>
      </c>
      <c r="AU30" s="10" t="str">
        <f t="shared" si="20"/>
        <v/>
      </c>
      <c r="AV30" s="10" t="str">
        <f t="shared" si="20"/>
        <v/>
      </c>
      <c r="AW30" s="10" t="str">
        <f t="shared" si="20"/>
        <v/>
      </c>
      <c r="AX30" s="10" t="str">
        <f t="shared" si="20"/>
        <v/>
      </c>
      <c r="AY30" s="10" t="str">
        <f t="shared" si="20"/>
        <v/>
      </c>
      <c r="AZ30" s="10" t="str">
        <f t="shared" si="20"/>
        <v/>
      </c>
      <c r="BA30" s="10" t="str">
        <f t="shared" si="20"/>
        <v/>
      </c>
      <c r="BB30" s="10" t="str">
        <f t="shared" si="20"/>
        <v/>
      </c>
      <c r="BC30" s="10" t="str">
        <f t="shared" si="20"/>
        <v/>
      </c>
      <c r="BD30" s="10" t="str">
        <f t="shared" si="20"/>
        <v/>
      </c>
      <c r="BE30" s="10" t="str">
        <f t="shared" si="20"/>
        <v/>
      </c>
      <c r="BF30" s="10" t="str">
        <f t="shared" si="20"/>
        <v/>
      </c>
      <c r="BG30" s="10" t="str">
        <f t="shared" si="20"/>
        <v/>
      </c>
      <c r="BH30" s="10" t="str">
        <f t="shared" si="20"/>
        <v/>
      </c>
      <c r="BI30" s="10" t="str">
        <f t="shared" si="20"/>
        <v/>
      </c>
      <c r="BJ30" s="10" t="str">
        <f t="shared" si="20"/>
        <v/>
      </c>
      <c r="BK30" s="10" t="str">
        <f t="shared" si="20"/>
        <v/>
      </c>
      <c r="BL30" s="10" t="str">
        <f t="shared" si="20"/>
        <v/>
      </c>
      <c r="BM30" s="10" t="str">
        <f t="shared" si="20"/>
        <v/>
      </c>
      <c r="BN30" s="10" t="str">
        <f t="shared" si="20"/>
        <v/>
      </c>
      <c r="BO30" s="10" t="str">
        <f t="shared" si="20"/>
        <v/>
      </c>
      <c r="BP30" s="10" t="str">
        <f t="shared" si="20"/>
        <v/>
      </c>
      <c r="BQ30" s="10" t="str">
        <f t="shared" si="20"/>
        <v/>
      </c>
      <c r="BR30" s="10" t="str">
        <f t="shared" ref="BR30:CQ30" si="21">IF($C30="","",BR16/INDEX($F16:$CQ16,MATCH(Model_Base,$F$9:$CQ$9,0)))</f>
        <v/>
      </c>
      <c r="BS30" s="10" t="str">
        <f t="shared" si="21"/>
        <v/>
      </c>
      <c r="BT30" s="10" t="str">
        <f t="shared" si="21"/>
        <v/>
      </c>
      <c r="BU30" s="10" t="str">
        <f t="shared" si="21"/>
        <v/>
      </c>
      <c r="BV30" s="10" t="str">
        <f t="shared" si="21"/>
        <v/>
      </c>
      <c r="BW30" s="10" t="str">
        <f t="shared" si="21"/>
        <v/>
      </c>
      <c r="BX30" s="10" t="str">
        <f t="shared" si="21"/>
        <v/>
      </c>
      <c r="BY30" s="10" t="str">
        <f t="shared" si="21"/>
        <v/>
      </c>
      <c r="BZ30" s="10" t="str">
        <f t="shared" si="21"/>
        <v/>
      </c>
      <c r="CA30" s="10" t="str">
        <f t="shared" si="21"/>
        <v/>
      </c>
      <c r="CB30" s="10" t="str">
        <f t="shared" si="21"/>
        <v/>
      </c>
      <c r="CC30" s="10" t="str">
        <f t="shared" si="21"/>
        <v/>
      </c>
      <c r="CD30" s="10" t="str">
        <f t="shared" si="21"/>
        <v/>
      </c>
      <c r="CE30" s="10" t="str">
        <f t="shared" si="21"/>
        <v/>
      </c>
      <c r="CF30" s="10" t="str">
        <f t="shared" si="21"/>
        <v/>
      </c>
      <c r="CG30" s="10" t="str">
        <f t="shared" si="21"/>
        <v/>
      </c>
      <c r="CH30" s="10" t="str">
        <f t="shared" si="21"/>
        <v/>
      </c>
      <c r="CI30" s="10" t="str">
        <f t="shared" si="21"/>
        <v/>
      </c>
      <c r="CJ30" s="10" t="str">
        <f t="shared" si="21"/>
        <v/>
      </c>
      <c r="CK30" s="10" t="str">
        <f t="shared" si="21"/>
        <v/>
      </c>
      <c r="CL30" s="10" t="str">
        <f t="shared" si="21"/>
        <v/>
      </c>
      <c r="CM30" s="10" t="str">
        <f t="shared" si="21"/>
        <v/>
      </c>
      <c r="CN30" s="10" t="str">
        <f t="shared" si="21"/>
        <v/>
      </c>
      <c r="CO30" s="10" t="str">
        <f t="shared" si="21"/>
        <v/>
      </c>
      <c r="CP30" s="10" t="str">
        <f t="shared" si="21"/>
        <v/>
      </c>
      <c r="CQ30" s="10" t="str">
        <f t="shared" si="21"/>
        <v/>
      </c>
    </row>
    <row r="31" spans="3:95" x14ac:dyDescent="0.3">
      <c r="C31" s="4" t="str">
        <f t="shared" si="0"/>
        <v/>
      </c>
      <c r="D31" s="4" t="str">
        <f t="shared" si="0"/>
        <v/>
      </c>
      <c r="F31" s="10" t="str">
        <f t="shared" ref="F31:AK31" si="22">IF($C31="","",F17/INDEX($F17:$CQ17,MATCH(Model_Base,$F$9:$CQ$9,0)))</f>
        <v/>
      </c>
      <c r="G31" s="10" t="str">
        <f t="shared" si="22"/>
        <v/>
      </c>
      <c r="H31" s="10" t="str">
        <f t="shared" si="22"/>
        <v/>
      </c>
      <c r="I31" s="10" t="str">
        <f t="shared" si="22"/>
        <v/>
      </c>
      <c r="J31" s="10" t="str">
        <f t="shared" si="22"/>
        <v/>
      </c>
      <c r="K31" s="10" t="str">
        <f t="shared" si="22"/>
        <v/>
      </c>
      <c r="L31" s="10" t="str">
        <f t="shared" si="22"/>
        <v/>
      </c>
      <c r="M31" s="10" t="str">
        <f t="shared" si="22"/>
        <v/>
      </c>
      <c r="N31" s="10" t="str">
        <f t="shared" si="22"/>
        <v/>
      </c>
      <c r="O31" s="10" t="str">
        <f t="shared" si="22"/>
        <v/>
      </c>
      <c r="P31" s="10" t="str">
        <f t="shared" si="22"/>
        <v/>
      </c>
      <c r="Q31" s="10" t="str">
        <f t="shared" si="22"/>
        <v/>
      </c>
      <c r="R31" s="10" t="str">
        <f t="shared" si="22"/>
        <v/>
      </c>
      <c r="S31" s="10" t="str">
        <f t="shared" si="22"/>
        <v/>
      </c>
      <c r="T31" s="10" t="str">
        <f t="shared" si="22"/>
        <v/>
      </c>
      <c r="U31" s="10" t="str">
        <f t="shared" si="22"/>
        <v/>
      </c>
      <c r="V31" s="10" t="str">
        <f t="shared" si="22"/>
        <v/>
      </c>
      <c r="W31" s="10" t="str">
        <f t="shared" si="22"/>
        <v/>
      </c>
      <c r="X31" s="10" t="str">
        <f t="shared" si="22"/>
        <v/>
      </c>
      <c r="Y31" s="10" t="str">
        <f t="shared" si="22"/>
        <v/>
      </c>
      <c r="Z31" s="10" t="str">
        <f t="shared" si="22"/>
        <v/>
      </c>
      <c r="AA31" s="10" t="str">
        <f t="shared" si="22"/>
        <v/>
      </c>
      <c r="AB31" s="10" t="str">
        <f t="shared" si="22"/>
        <v/>
      </c>
      <c r="AC31" s="10" t="str">
        <f t="shared" si="22"/>
        <v/>
      </c>
      <c r="AD31" s="10" t="str">
        <f t="shared" si="22"/>
        <v/>
      </c>
      <c r="AE31" s="10" t="str">
        <f t="shared" si="22"/>
        <v/>
      </c>
      <c r="AF31" s="10" t="str">
        <f t="shared" si="22"/>
        <v/>
      </c>
      <c r="AG31" s="10" t="str">
        <f t="shared" si="22"/>
        <v/>
      </c>
      <c r="AH31" s="10" t="str">
        <f t="shared" si="22"/>
        <v/>
      </c>
      <c r="AI31" s="10" t="str">
        <f t="shared" si="22"/>
        <v/>
      </c>
      <c r="AJ31" s="10" t="str">
        <f t="shared" si="22"/>
        <v/>
      </c>
      <c r="AK31" s="10" t="str">
        <f t="shared" si="22"/>
        <v/>
      </c>
      <c r="AL31" s="10" t="str">
        <f t="shared" ref="AL31:BQ31" si="23">IF($C31="","",AL17/INDEX($F17:$CQ17,MATCH(Model_Base,$F$9:$CQ$9,0)))</f>
        <v/>
      </c>
      <c r="AM31" s="10" t="str">
        <f t="shared" si="23"/>
        <v/>
      </c>
      <c r="AN31" s="10" t="str">
        <f t="shared" si="23"/>
        <v/>
      </c>
      <c r="AO31" s="10" t="str">
        <f t="shared" si="23"/>
        <v/>
      </c>
      <c r="AP31" s="10" t="str">
        <f t="shared" si="23"/>
        <v/>
      </c>
      <c r="AQ31" s="10" t="str">
        <f t="shared" si="23"/>
        <v/>
      </c>
      <c r="AR31" s="10" t="str">
        <f t="shared" si="23"/>
        <v/>
      </c>
      <c r="AS31" s="10" t="str">
        <f t="shared" si="23"/>
        <v/>
      </c>
      <c r="AT31" s="10" t="str">
        <f t="shared" si="23"/>
        <v/>
      </c>
      <c r="AU31" s="10" t="str">
        <f t="shared" si="23"/>
        <v/>
      </c>
      <c r="AV31" s="10" t="str">
        <f t="shared" si="23"/>
        <v/>
      </c>
      <c r="AW31" s="10" t="str">
        <f t="shared" si="23"/>
        <v/>
      </c>
      <c r="AX31" s="10" t="str">
        <f t="shared" si="23"/>
        <v/>
      </c>
      <c r="AY31" s="10" t="str">
        <f t="shared" si="23"/>
        <v/>
      </c>
      <c r="AZ31" s="10" t="str">
        <f t="shared" si="23"/>
        <v/>
      </c>
      <c r="BA31" s="10" t="str">
        <f t="shared" si="23"/>
        <v/>
      </c>
      <c r="BB31" s="10" t="str">
        <f t="shared" si="23"/>
        <v/>
      </c>
      <c r="BC31" s="10" t="str">
        <f t="shared" si="23"/>
        <v/>
      </c>
      <c r="BD31" s="10" t="str">
        <f t="shared" si="23"/>
        <v/>
      </c>
      <c r="BE31" s="10" t="str">
        <f t="shared" si="23"/>
        <v/>
      </c>
      <c r="BF31" s="10" t="str">
        <f t="shared" si="23"/>
        <v/>
      </c>
      <c r="BG31" s="10" t="str">
        <f t="shared" si="23"/>
        <v/>
      </c>
      <c r="BH31" s="10" t="str">
        <f t="shared" si="23"/>
        <v/>
      </c>
      <c r="BI31" s="10" t="str">
        <f t="shared" si="23"/>
        <v/>
      </c>
      <c r="BJ31" s="10" t="str">
        <f t="shared" si="23"/>
        <v/>
      </c>
      <c r="BK31" s="10" t="str">
        <f t="shared" si="23"/>
        <v/>
      </c>
      <c r="BL31" s="10" t="str">
        <f t="shared" si="23"/>
        <v/>
      </c>
      <c r="BM31" s="10" t="str">
        <f t="shared" si="23"/>
        <v/>
      </c>
      <c r="BN31" s="10" t="str">
        <f t="shared" si="23"/>
        <v/>
      </c>
      <c r="BO31" s="10" t="str">
        <f t="shared" si="23"/>
        <v/>
      </c>
      <c r="BP31" s="10" t="str">
        <f t="shared" si="23"/>
        <v/>
      </c>
      <c r="BQ31" s="10" t="str">
        <f t="shared" si="23"/>
        <v/>
      </c>
      <c r="BR31" s="10" t="str">
        <f t="shared" ref="BR31:CQ31" si="24">IF($C31="","",BR17/INDEX($F17:$CQ17,MATCH(Model_Base,$F$9:$CQ$9,0)))</f>
        <v/>
      </c>
      <c r="BS31" s="10" t="str">
        <f t="shared" si="24"/>
        <v/>
      </c>
      <c r="BT31" s="10" t="str">
        <f t="shared" si="24"/>
        <v/>
      </c>
      <c r="BU31" s="10" t="str">
        <f t="shared" si="24"/>
        <v/>
      </c>
      <c r="BV31" s="10" t="str">
        <f t="shared" si="24"/>
        <v/>
      </c>
      <c r="BW31" s="10" t="str">
        <f t="shared" si="24"/>
        <v/>
      </c>
      <c r="BX31" s="10" t="str">
        <f t="shared" si="24"/>
        <v/>
      </c>
      <c r="BY31" s="10" t="str">
        <f t="shared" si="24"/>
        <v/>
      </c>
      <c r="BZ31" s="10" t="str">
        <f t="shared" si="24"/>
        <v/>
      </c>
      <c r="CA31" s="10" t="str">
        <f t="shared" si="24"/>
        <v/>
      </c>
      <c r="CB31" s="10" t="str">
        <f t="shared" si="24"/>
        <v/>
      </c>
      <c r="CC31" s="10" t="str">
        <f t="shared" si="24"/>
        <v/>
      </c>
      <c r="CD31" s="10" t="str">
        <f t="shared" si="24"/>
        <v/>
      </c>
      <c r="CE31" s="10" t="str">
        <f t="shared" si="24"/>
        <v/>
      </c>
      <c r="CF31" s="10" t="str">
        <f t="shared" si="24"/>
        <v/>
      </c>
      <c r="CG31" s="10" t="str">
        <f t="shared" si="24"/>
        <v/>
      </c>
      <c r="CH31" s="10" t="str">
        <f t="shared" si="24"/>
        <v/>
      </c>
      <c r="CI31" s="10" t="str">
        <f t="shared" si="24"/>
        <v/>
      </c>
      <c r="CJ31" s="10" t="str">
        <f t="shared" si="24"/>
        <v/>
      </c>
      <c r="CK31" s="10" t="str">
        <f t="shared" si="24"/>
        <v/>
      </c>
      <c r="CL31" s="10" t="str">
        <f t="shared" si="24"/>
        <v/>
      </c>
      <c r="CM31" s="10" t="str">
        <f t="shared" si="24"/>
        <v/>
      </c>
      <c r="CN31" s="10" t="str">
        <f t="shared" si="24"/>
        <v/>
      </c>
      <c r="CO31" s="10" t="str">
        <f t="shared" si="24"/>
        <v/>
      </c>
      <c r="CP31" s="10" t="str">
        <f t="shared" si="24"/>
        <v/>
      </c>
      <c r="CQ31" s="10" t="str">
        <f t="shared" si="24"/>
        <v/>
      </c>
    </row>
    <row r="32" spans="3:95" x14ac:dyDescent="0.3">
      <c r="C32" s="4" t="str">
        <f t="shared" si="0"/>
        <v/>
      </c>
      <c r="D32" s="4" t="str">
        <f t="shared" si="0"/>
        <v/>
      </c>
      <c r="F32" s="10" t="str">
        <f t="shared" ref="F32:AK32" si="25">IF($C32="","",F18/INDEX($F18:$CQ18,MATCH(Model_Base,$F$9:$CQ$9,0)))</f>
        <v/>
      </c>
      <c r="G32" s="10" t="str">
        <f t="shared" si="25"/>
        <v/>
      </c>
      <c r="H32" s="10" t="str">
        <f t="shared" si="25"/>
        <v/>
      </c>
      <c r="I32" s="10" t="str">
        <f t="shared" si="25"/>
        <v/>
      </c>
      <c r="J32" s="10" t="str">
        <f t="shared" si="25"/>
        <v/>
      </c>
      <c r="K32" s="10" t="str">
        <f t="shared" si="25"/>
        <v/>
      </c>
      <c r="L32" s="10" t="str">
        <f t="shared" si="25"/>
        <v/>
      </c>
      <c r="M32" s="10" t="str">
        <f t="shared" si="25"/>
        <v/>
      </c>
      <c r="N32" s="10" t="str">
        <f t="shared" si="25"/>
        <v/>
      </c>
      <c r="O32" s="10" t="str">
        <f t="shared" si="25"/>
        <v/>
      </c>
      <c r="P32" s="10" t="str">
        <f t="shared" si="25"/>
        <v/>
      </c>
      <c r="Q32" s="10" t="str">
        <f t="shared" si="25"/>
        <v/>
      </c>
      <c r="R32" s="10" t="str">
        <f t="shared" si="25"/>
        <v/>
      </c>
      <c r="S32" s="10" t="str">
        <f t="shared" si="25"/>
        <v/>
      </c>
      <c r="T32" s="10" t="str">
        <f t="shared" si="25"/>
        <v/>
      </c>
      <c r="U32" s="10" t="str">
        <f t="shared" si="25"/>
        <v/>
      </c>
      <c r="V32" s="10" t="str">
        <f t="shared" si="25"/>
        <v/>
      </c>
      <c r="W32" s="10" t="str">
        <f t="shared" si="25"/>
        <v/>
      </c>
      <c r="X32" s="10" t="str">
        <f t="shared" si="25"/>
        <v/>
      </c>
      <c r="Y32" s="10" t="str">
        <f t="shared" si="25"/>
        <v/>
      </c>
      <c r="Z32" s="10" t="str">
        <f t="shared" si="25"/>
        <v/>
      </c>
      <c r="AA32" s="10" t="str">
        <f t="shared" si="25"/>
        <v/>
      </c>
      <c r="AB32" s="10" t="str">
        <f t="shared" si="25"/>
        <v/>
      </c>
      <c r="AC32" s="10" t="str">
        <f t="shared" si="25"/>
        <v/>
      </c>
      <c r="AD32" s="10" t="str">
        <f t="shared" si="25"/>
        <v/>
      </c>
      <c r="AE32" s="10" t="str">
        <f t="shared" si="25"/>
        <v/>
      </c>
      <c r="AF32" s="10" t="str">
        <f t="shared" si="25"/>
        <v/>
      </c>
      <c r="AG32" s="10" t="str">
        <f t="shared" si="25"/>
        <v/>
      </c>
      <c r="AH32" s="10" t="str">
        <f t="shared" si="25"/>
        <v/>
      </c>
      <c r="AI32" s="10" t="str">
        <f t="shared" si="25"/>
        <v/>
      </c>
      <c r="AJ32" s="10" t="str">
        <f t="shared" si="25"/>
        <v/>
      </c>
      <c r="AK32" s="10" t="str">
        <f t="shared" si="25"/>
        <v/>
      </c>
      <c r="AL32" s="10" t="str">
        <f t="shared" ref="AL32:BQ32" si="26">IF($C32="","",AL18/INDEX($F18:$CQ18,MATCH(Model_Base,$F$9:$CQ$9,0)))</f>
        <v/>
      </c>
      <c r="AM32" s="10" t="str">
        <f t="shared" si="26"/>
        <v/>
      </c>
      <c r="AN32" s="10" t="str">
        <f t="shared" si="26"/>
        <v/>
      </c>
      <c r="AO32" s="10" t="str">
        <f t="shared" si="26"/>
        <v/>
      </c>
      <c r="AP32" s="10" t="str">
        <f t="shared" si="26"/>
        <v/>
      </c>
      <c r="AQ32" s="10" t="str">
        <f t="shared" si="26"/>
        <v/>
      </c>
      <c r="AR32" s="10" t="str">
        <f t="shared" si="26"/>
        <v/>
      </c>
      <c r="AS32" s="10" t="str">
        <f t="shared" si="26"/>
        <v/>
      </c>
      <c r="AT32" s="10" t="str">
        <f t="shared" si="26"/>
        <v/>
      </c>
      <c r="AU32" s="10" t="str">
        <f t="shared" si="26"/>
        <v/>
      </c>
      <c r="AV32" s="10" t="str">
        <f t="shared" si="26"/>
        <v/>
      </c>
      <c r="AW32" s="10" t="str">
        <f t="shared" si="26"/>
        <v/>
      </c>
      <c r="AX32" s="10" t="str">
        <f t="shared" si="26"/>
        <v/>
      </c>
      <c r="AY32" s="10" t="str">
        <f t="shared" si="26"/>
        <v/>
      </c>
      <c r="AZ32" s="10" t="str">
        <f t="shared" si="26"/>
        <v/>
      </c>
      <c r="BA32" s="10" t="str">
        <f t="shared" si="26"/>
        <v/>
      </c>
      <c r="BB32" s="10" t="str">
        <f t="shared" si="26"/>
        <v/>
      </c>
      <c r="BC32" s="10" t="str">
        <f t="shared" si="26"/>
        <v/>
      </c>
      <c r="BD32" s="10" t="str">
        <f t="shared" si="26"/>
        <v/>
      </c>
      <c r="BE32" s="10" t="str">
        <f t="shared" si="26"/>
        <v/>
      </c>
      <c r="BF32" s="10" t="str">
        <f t="shared" si="26"/>
        <v/>
      </c>
      <c r="BG32" s="10" t="str">
        <f t="shared" si="26"/>
        <v/>
      </c>
      <c r="BH32" s="10" t="str">
        <f t="shared" si="26"/>
        <v/>
      </c>
      <c r="BI32" s="10" t="str">
        <f t="shared" si="26"/>
        <v/>
      </c>
      <c r="BJ32" s="10" t="str">
        <f t="shared" si="26"/>
        <v/>
      </c>
      <c r="BK32" s="10" t="str">
        <f t="shared" si="26"/>
        <v/>
      </c>
      <c r="BL32" s="10" t="str">
        <f t="shared" si="26"/>
        <v/>
      </c>
      <c r="BM32" s="10" t="str">
        <f t="shared" si="26"/>
        <v/>
      </c>
      <c r="BN32" s="10" t="str">
        <f t="shared" si="26"/>
        <v/>
      </c>
      <c r="BO32" s="10" t="str">
        <f t="shared" si="26"/>
        <v/>
      </c>
      <c r="BP32" s="10" t="str">
        <f t="shared" si="26"/>
        <v/>
      </c>
      <c r="BQ32" s="10" t="str">
        <f t="shared" si="26"/>
        <v/>
      </c>
      <c r="BR32" s="10" t="str">
        <f t="shared" ref="BR32:CQ32" si="27">IF($C32="","",BR18/INDEX($F18:$CQ18,MATCH(Model_Base,$F$9:$CQ$9,0)))</f>
        <v/>
      </c>
      <c r="BS32" s="10" t="str">
        <f t="shared" si="27"/>
        <v/>
      </c>
      <c r="BT32" s="10" t="str">
        <f t="shared" si="27"/>
        <v/>
      </c>
      <c r="BU32" s="10" t="str">
        <f t="shared" si="27"/>
        <v/>
      </c>
      <c r="BV32" s="10" t="str">
        <f t="shared" si="27"/>
        <v/>
      </c>
      <c r="BW32" s="10" t="str">
        <f t="shared" si="27"/>
        <v/>
      </c>
      <c r="BX32" s="10" t="str">
        <f t="shared" si="27"/>
        <v/>
      </c>
      <c r="BY32" s="10" t="str">
        <f t="shared" si="27"/>
        <v/>
      </c>
      <c r="BZ32" s="10" t="str">
        <f t="shared" si="27"/>
        <v/>
      </c>
      <c r="CA32" s="10" t="str">
        <f t="shared" si="27"/>
        <v/>
      </c>
      <c r="CB32" s="10" t="str">
        <f t="shared" si="27"/>
        <v/>
      </c>
      <c r="CC32" s="10" t="str">
        <f t="shared" si="27"/>
        <v/>
      </c>
      <c r="CD32" s="10" t="str">
        <f t="shared" si="27"/>
        <v/>
      </c>
      <c r="CE32" s="10" t="str">
        <f t="shared" si="27"/>
        <v/>
      </c>
      <c r="CF32" s="10" t="str">
        <f t="shared" si="27"/>
        <v/>
      </c>
      <c r="CG32" s="10" t="str">
        <f t="shared" si="27"/>
        <v/>
      </c>
      <c r="CH32" s="10" t="str">
        <f t="shared" si="27"/>
        <v/>
      </c>
      <c r="CI32" s="10" t="str">
        <f t="shared" si="27"/>
        <v/>
      </c>
      <c r="CJ32" s="10" t="str">
        <f t="shared" si="27"/>
        <v/>
      </c>
      <c r="CK32" s="10" t="str">
        <f t="shared" si="27"/>
        <v/>
      </c>
      <c r="CL32" s="10" t="str">
        <f t="shared" si="27"/>
        <v/>
      </c>
      <c r="CM32" s="10" t="str">
        <f t="shared" si="27"/>
        <v/>
      </c>
      <c r="CN32" s="10" t="str">
        <f t="shared" si="27"/>
        <v/>
      </c>
      <c r="CO32" s="10" t="str">
        <f t="shared" si="27"/>
        <v/>
      </c>
      <c r="CP32" s="10" t="str">
        <f t="shared" si="27"/>
        <v/>
      </c>
      <c r="CQ32" s="10" t="str">
        <f t="shared" si="27"/>
        <v/>
      </c>
    </row>
    <row r="33" spans="3:95" x14ac:dyDescent="0.3">
      <c r="C33" s="4" t="str">
        <f t="shared" si="0"/>
        <v/>
      </c>
      <c r="D33" s="4" t="str">
        <f t="shared" si="0"/>
        <v/>
      </c>
      <c r="F33" s="10" t="str">
        <f t="shared" ref="F33:AK33" si="28">IF($C33="","",F19/INDEX($F19:$CQ19,MATCH(Model_Base,$F$9:$CQ$9,0)))</f>
        <v/>
      </c>
      <c r="G33" s="10" t="str">
        <f t="shared" si="28"/>
        <v/>
      </c>
      <c r="H33" s="10" t="str">
        <f t="shared" si="28"/>
        <v/>
      </c>
      <c r="I33" s="10" t="str">
        <f t="shared" si="28"/>
        <v/>
      </c>
      <c r="J33" s="10" t="str">
        <f t="shared" si="28"/>
        <v/>
      </c>
      <c r="K33" s="10" t="str">
        <f t="shared" si="28"/>
        <v/>
      </c>
      <c r="L33" s="10" t="str">
        <f t="shared" si="28"/>
        <v/>
      </c>
      <c r="M33" s="10" t="str">
        <f t="shared" si="28"/>
        <v/>
      </c>
      <c r="N33" s="10" t="str">
        <f t="shared" si="28"/>
        <v/>
      </c>
      <c r="O33" s="10" t="str">
        <f t="shared" si="28"/>
        <v/>
      </c>
      <c r="P33" s="10" t="str">
        <f t="shared" si="28"/>
        <v/>
      </c>
      <c r="Q33" s="10" t="str">
        <f t="shared" si="28"/>
        <v/>
      </c>
      <c r="R33" s="10" t="str">
        <f t="shared" si="28"/>
        <v/>
      </c>
      <c r="S33" s="10" t="str">
        <f t="shared" si="28"/>
        <v/>
      </c>
      <c r="T33" s="10" t="str">
        <f t="shared" si="28"/>
        <v/>
      </c>
      <c r="U33" s="10" t="str">
        <f t="shared" si="28"/>
        <v/>
      </c>
      <c r="V33" s="10" t="str">
        <f t="shared" si="28"/>
        <v/>
      </c>
      <c r="W33" s="10" t="str">
        <f t="shared" si="28"/>
        <v/>
      </c>
      <c r="X33" s="10" t="str">
        <f t="shared" si="28"/>
        <v/>
      </c>
      <c r="Y33" s="10" t="str">
        <f t="shared" si="28"/>
        <v/>
      </c>
      <c r="Z33" s="10" t="str">
        <f t="shared" si="28"/>
        <v/>
      </c>
      <c r="AA33" s="10" t="str">
        <f t="shared" si="28"/>
        <v/>
      </c>
      <c r="AB33" s="10" t="str">
        <f t="shared" si="28"/>
        <v/>
      </c>
      <c r="AC33" s="10" t="str">
        <f t="shared" si="28"/>
        <v/>
      </c>
      <c r="AD33" s="10" t="str">
        <f t="shared" si="28"/>
        <v/>
      </c>
      <c r="AE33" s="10" t="str">
        <f t="shared" si="28"/>
        <v/>
      </c>
      <c r="AF33" s="10" t="str">
        <f t="shared" si="28"/>
        <v/>
      </c>
      <c r="AG33" s="10" t="str">
        <f t="shared" si="28"/>
        <v/>
      </c>
      <c r="AH33" s="10" t="str">
        <f t="shared" si="28"/>
        <v/>
      </c>
      <c r="AI33" s="10" t="str">
        <f t="shared" si="28"/>
        <v/>
      </c>
      <c r="AJ33" s="10" t="str">
        <f t="shared" si="28"/>
        <v/>
      </c>
      <c r="AK33" s="10" t="str">
        <f t="shared" si="28"/>
        <v/>
      </c>
      <c r="AL33" s="10" t="str">
        <f t="shared" ref="AL33:BQ33" si="29">IF($C33="","",AL19/INDEX($F19:$CQ19,MATCH(Model_Base,$F$9:$CQ$9,0)))</f>
        <v/>
      </c>
      <c r="AM33" s="10" t="str">
        <f t="shared" si="29"/>
        <v/>
      </c>
      <c r="AN33" s="10" t="str">
        <f t="shared" si="29"/>
        <v/>
      </c>
      <c r="AO33" s="10" t="str">
        <f t="shared" si="29"/>
        <v/>
      </c>
      <c r="AP33" s="10" t="str">
        <f t="shared" si="29"/>
        <v/>
      </c>
      <c r="AQ33" s="10" t="str">
        <f t="shared" si="29"/>
        <v/>
      </c>
      <c r="AR33" s="10" t="str">
        <f t="shared" si="29"/>
        <v/>
      </c>
      <c r="AS33" s="10" t="str">
        <f t="shared" si="29"/>
        <v/>
      </c>
      <c r="AT33" s="10" t="str">
        <f t="shared" si="29"/>
        <v/>
      </c>
      <c r="AU33" s="10" t="str">
        <f t="shared" si="29"/>
        <v/>
      </c>
      <c r="AV33" s="10" t="str">
        <f t="shared" si="29"/>
        <v/>
      </c>
      <c r="AW33" s="10" t="str">
        <f t="shared" si="29"/>
        <v/>
      </c>
      <c r="AX33" s="10" t="str">
        <f t="shared" si="29"/>
        <v/>
      </c>
      <c r="AY33" s="10" t="str">
        <f t="shared" si="29"/>
        <v/>
      </c>
      <c r="AZ33" s="10" t="str">
        <f t="shared" si="29"/>
        <v/>
      </c>
      <c r="BA33" s="10" t="str">
        <f t="shared" si="29"/>
        <v/>
      </c>
      <c r="BB33" s="10" t="str">
        <f t="shared" si="29"/>
        <v/>
      </c>
      <c r="BC33" s="10" t="str">
        <f t="shared" si="29"/>
        <v/>
      </c>
      <c r="BD33" s="10" t="str">
        <f t="shared" si="29"/>
        <v/>
      </c>
      <c r="BE33" s="10" t="str">
        <f t="shared" si="29"/>
        <v/>
      </c>
      <c r="BF33" s="10" t="str">
        <f t="shared" si="29"/>
        <v/>
      </c>
      <c r="BG33" s="10" t="str">
        <f t="shared" si="29"/>
        <v/>
      </c>
      <c r="BH33" s="10" t="str">
        <f t="shared" si="29"/>
        <v/>
      </c>
      <c r="BI33" s="10" t="str">
        <f t="shared" si="29"/>
        <v/>
      </c>
      <c r="BJ33" s="10" t="str">
        <f t="shared" si="29"/>
        <v/>
      </c>
      <c r="BK33" s="10" t="str">
        <f t="shared" si="29"/>
        <v/>
      </c>
      <c r="BL33" s="10" t="str">
        <f t="shared" si="29"/>
        <v/>
      </c>
      <c r="BM33" s="10" t="str">
        <f t="shared" si="29"/>
        <v/>
      </c>
      <c r="BN33" s="10" t="str">
        <f t="shared" si="29"/>
        <v/>
      </c>
      <c r="BO33" s="10" t="str">
        <f t="shared" si="29"/>
        <v/>
      </c>
      <c r="BP33" s="10" t="str">
        <f t="shared" si="29"/>
        <v/>
      </c>
      <c r="BQ33" s="10" t="str">
        <f t="shared" si="29"/>
        <v/>
      </c>
      <c r="BR33" s="10" t="str">
        <f t="shared" ref="BR33:CQ33" si="30">IF($C33="","",BR19/INDEX($F19:$CQ19,MATCH(Model_Base,$F$9:$CQ$9,0)))</f>
        <v/>
      </c>
      <c r="BS33" s="10" t="str">
        <f t="shared" si="30"/>
        <v/>
      </c>
      <c r="BT33" s="10" t="str">
        <f t="shared" si="30"/>
        <v/>
      </c>
      <c r="BU33" s="10" t="str">
        <f t="shared" si="30"/>
        <v/>
      </c>
      <c r="BV33" s="10" t="str">
        <f t="shared" si="30"/>
        <v/>
      </c>
      <c r="BW33" s="10" t="str">
        <f t="shared" si="30"/>
        <v/>
      </c>
      <c r="BX33" s="10" t="str">
        <f t="shared" si="30"/>
        <v/>
      </c>
      <c r="BY33" s="10" t="str">
        <f t="shared" si="30"/>
        <v/>
      </c>
      <c r="BZ33" s="10" t="str">
        <f t="shared" si="30"/>
        <v/>
      </c>
      <c r="CA33" s="10" t="str">
        <f t="shared" si="30"/>
        <v/>
      </c>
      <c r="CB33" s="10" t="str">
        <f t="shared" si="30"/>
        <v/>
      </c>
      <c r="CC33" s="10" t="str">
        <f t="shared" si="30"/>
        <v/>
      </c>
      <c r="CD33" s="10" t="str">
        <f t="shared" si="30"/>
        <v/>
      </c>
      <c r="CE33" s="10" t="str">
        <f t="shared" si="30"/>
        <v/>
      </c>
      <c r="CF33" s="10" t="str">
        <f t="shared" si="30"/>
        <v/>
      </c>
      <c r="CG33" s="10" t="str">
        <f t="shared" si="30"/>
        <v/>
      </c>
      <c r="CH33" s="10" t="str">
        <f t="shared" si="30"/>
        <v/>
      </c>
      <c r="CI33" s="10" t="str">
        <f t="shared" si="30"/>
        <v/>
      </c>
      <c r="CJ33" s="10" t="str">
        <f t="shared" si="30"/>
        <v/>
      </c>
      <c r="CK33" s="10" t="str">
        <f t="shared" si="30"/>
        <v/>
      </c>
      <c r="CL33" s="10" t="str">
        <f t="shared" si="30"/>
        <v/>
      </c>
      <c r="CM33" s="10" t="str">
        <f t="shared" si="30"/>
        <v/>
      </c>
      <c r="CN33" s="10" t="str">
        <f t="shared" si="30"/>
        <v/>
      </c>
      <c r="CO33" s="10" t="str">
        <f t="shared" si="30"/>
        <v/>
      </c>
      <c r="CP33" s="10" t="str">
        <f t="shared" si="30"/>
        <v/>
      </c>
      <c r="CQ33" s="10" t="str">
        <f t="shared" si="30"/>
        <v/>
      </c>
    </row>
    <row r="35" spans="3:95" ht="18" x14ac:dyDescent="0.35">
      <c r="C35" s="2" t="s">
        <v>18</v>
      </c>
    </row>
    <row r="37" spans="3:95" x14ac:dyDescent="0.3">
      <c r="C37" s="11" t="s">
        <v>20</v>
      </c>
      <c r="F37" s="6" t="str">
        <f>Timeline!F$14</f>
        <v>19/20</v>
      </c>
      <c r="G37" s="6" t="str">
        <f>Timeline!G$14</f>
        <v>20/21</v>
      </c>
      <c r="H37" s="6" t="str">
        <f>Timeline!H$14</f>
        <v>21/22</v>
      </c>
      <c r="I37" s="6" t="str">
        <f>Timeline!I$14</f>
        <v>22/23</v>
      </c>
      <c r="J37" s="6" t="str">
        <f>Timeline!J$14</f>
        <v>23/24</v>
      </c>
      <c r="K37" s="6" t="str">
        <f>Timeline!K$14</f>
        <v>24/25</v>
      </c>
      <c r="L37" s="6" t="str">
        <f>Timeline!L$14</f>
        <v>25/26</v>
      </c>
      <c r="M37" s="6" t="str">
        <f>Timeline!M$14</f>
        <v>26/27</v>
      </c>
      <c r="N37" s="6" t="str">
        <f>Timeline!N$14</f>
        <v>27/28</v>
      </c>
      <c r="O37" s="6" t="str">
        <f>Timeline!O$14</f>
        <v>28/29</v>
      </c>
      <c r="P37" s="6" t="str">
        <f>Timeline!P$14</f>
        <v>29/30</v>
      </c>
      <c r="Q37" s="6" t="str">
        <f>Timeline!Q$14</f>
        <v>30/31</v>
      </c>
      <c r="R37" s="6" t="str">
        <f>Timeline!R$14</f>
        <v>31/32</v>
      </c>
      <c r="S37" s="6" t="str">
        <f>Timeline!S$14</f>
        <v>32/33</v>
      </c>
      <c r="T37" s="6" t="str">
        <f>Timeline!T$14</f>
        <v>33/34</v>
      </c>
      <c r="U37" s="6" t="str">
        <f>Timeline!U$14</f>
        <v>34/35</v>
      </c>
      <c r="V37" s="6" t="str">
        <f>Timeline!V$14</f>
        <v>35/36</v>
      </c>
      <c r="W37" s="6" t="str">
        <f>Timeline!W$14</f>
        <v>36/37</v>
      </c>
      <c r="X37" s="6" t="str">
        <f>Timeline!X$14</f>
        <v>37/38</v>
      </c>
      <c r="Y37" s="6" t="str">
        <f>Timeline!Y$14</f>
        <v>38/39</v>
      </c>
      <c r="Z37" s="6" t="str">
        <f>Timeline!Z$14</f>
        <v>39/40</v>
      </c>
      <c r="AA37" s="6" t="str">
        <f>Timeline!AA$14</f>
        <v>40/41</v>
      </c>
      <c r="AB37" s="6" t="str">
        <f>Timeline!AB$14</f>
        <v>41/42</v>
      </c>
      <c r="AC37" s="6" t="str">
        <f>Timeline!AC$14</f>
        <v>42/43</v>
      </c>
      <c r="AD37" s="6" t="str">
        <f>Timeline!AD$14</f>
        <v>43/44</v>
      </c>
      <c r="AE37" s="6" t="str">
        <f>Timeline!AE$14</f>
        <v>44/45</v>
      </c>
      <c r="AF37" s="6" t="str">
        <f>Timeline!AF$14</f>
        <v>45/46</v>
      </c>
      <c r="AG37" s="6" t="str">
        <f>Timeline!AG$14</f>
        <v>46/47</v>
      </c>
      <c r="AH37" s="6" t="str">
        <f>Timeline!AH$14</f>
        <v>47/48</v>
      </c>
      <c r="AI37" s="6" t="str">
        <f>Timeline!AI$14</f>
        <v>48/49</v>
      </c>
      <c r="AJ37" s="6" t="str">
        <f>Timeline!AJ$14</f>
        <v>49/50</v>
      </c>
      <c r="AK37" s="6" t="str">
        <f>Timeline!AK$14</f>
        <v>50/51</v>
      </c>
      <c r="AL37" s="6" t="str">
        <f>Timeline!AL$14</f>
        <v>51/52</v>
      </c>
      <c r="AM37" s="6" t="str">
        <f>Timeline!AM$14</f>
        <v>52/53</v>
      </c>
      <c r="AN37" s="6" t="str">
        <f>Timeline!AN$14</f>
        <v>53/54</v>
      </c>
      <c r="AO37" s="6" t="str">
        <f>Timeline!AO$14</f>
        <v>54/55</v>
      </c>
      <c r="AP37" s="6" t="str">
        <f>Timeline!AP$14</f>
        <v>55/56</v>
      </c>
      <c r="AQ37" s="6" t="str">
        <f>Timeline!AQ$14</f>
        <v>56/57</v>
      </c>
      <c r="AR37" s="6" t="str">
        <f>Timeline!AR$14</f>
        <v>57/58</v>
      </c>
      <c r="AS37" s="6" t="str">
        <f>Timeline!AS$14</f>
        <v>58/59</v>
      </c>
      <c r="AT37" s="6" t="str">
        <f>Timeline!AT$14</f>
        <v>59/60</v>
      </c>
      <c r="AU37" s="6" t="str">
        <f>Timeline!AU$14</f>
        <v>60/61</v>
      </c>
      <c r="AV37" s="6" t="str">
        <f>Timeline!AV$14</f>
        <v>61/62</v>
      </c>
      <c r="AW37" s="6" t="str">
        <f>Timeline!AW$14</f>
        <v>62/63</v>
      </c>
      <c r="AX37" s="6" t="str">
        <f>Timeline!AX$14</f>
        <v>63/64</v>
      </c>
      <c r="AY37" s="6" t="str">
        <f>Timeline!AY$14</f>
        <v>64/65</v>
      </c>
      <c r="AZ37" s="6" t="str">
        <f>Timeline!AZ$14</f>
        <v>65/66</v>
      </c>
      <c r="BA37" s="6" t="str">
        <f>Timeline!BA$14</f>
        <v>66/67</v>
      </c>
      <c r="BB37" s="6" t="str">
        <f>Timeline!BB$14</f>
        <v>67/68</v>
      </c>
      <c r="BC37" s="6" t="str">
        <f>Timeline!BC$14</f>
        <v>68/69</v>
      </c>
      <c r="BD37" s="6" t="str">
        <f>Timeline!BD$14</f>
        <v>69/70</v>
      </c>
      <c r="BE37" s="6" t="str">
        <f>Timeline!BE$14</f>
        <v>70/71</v>
      </c>
      <c r="BF37" s="6" t="str">
        <f>Timeline!BF$14</f>
        <v>71/72</v>
      </c>
      <c r="BG37" s="6" t="str">
        <f>Timeline!BG$14</f>
        <v>72/73</v>
      </c>
      <c r="BH37" s="6" t="str">
        <f>Timeline!BH$14</f>
        <v>73/74</v>
      </c>
      <c r="BI37" s="6" t="str">
        <f>Timeline!BI$14</f>
        <v>74/75</v>
      </c>
      <c r="BJ37" s="6" t="str">
        <f>Timeline!BJ$14</f>
        <v>75/76</v>
      </c>
      <c r="BK37" s="6" t="str">
        <f>Timeline!BK$14</f>
        <v>76/77</v>
      </c>
      <c r="BL37" s="6" t="str">
        <f>Timeline!BL$14</f>
        <v>77/78</v>
      </c>
      <c r="BM37" s="6" t="str">
        <f>Timeline!BM$14</f>
        <v>78/79</v>
      </c>
      <c r="BN37" s="6" t="str">
        <f>Timeline!BN$14</f>
        <v>79/80</v>
      </c>
      <c r="BO37" s="6" t="str">
        <f>Timeline!BO$14</f>
        <v>80/81</v>
      </c>
      <c r="BP37" s="6" t="str">
        <f>Timeline!BP$14</f>
        <v>81/82</v>
      </c>
      <c r="BQ37" s="6" t="str">
        <f>Timeline!BQ$14</f>
        <v>82/83</v>
      </c>
      <c r="BR37" s="6" t="str">
        <f>Timeline!BR$14</f>
        <v>83/84</v>
      </c>
      <c r="BS37" s="6" t="str">
        <f>Timeline!BS$14</f>
        <v>84/85</v>
      </c>
      <c r="BT37" s="6" t="str">
        <f>Timeline!BT$14</f>
        <v>85/86</v>
      </c>
      <c r="BU37" s="6" t="str">
        <f>Timeline!BU$14</f>
        <v>86/87</v>
      </c>
      <c r="BV37" s="6" t="str">
        <f>Timeline!BV$14</f>
        <v>87/88</v>
      </c>
      <c r="BW37" s="6" t="str">
        <f>Timeline!BW$14</f>
        <v>88/89</v>
      </c>
      <c r="BX37" s="6" t="str">
        <f>Timeline!BX$14</f>
        <v>89/90</v>
      </c>
      <c r="BY37" s="6" t="str">
        <f>Timeline!BY$14</f>
        <v>90/91</v>
      </c>
      <c r="BZ37" s="6" t="str">
        <f>Timeline!BZ$14</f>
        <v>91/92</v>
      </c>
      <c r="CA37" s="6" t="str">
        <f>Timeline!CA$14</f>
        <v>92/93</v>
      </c>
      <c r="CB37" s="6" t="str">
        <f>Timeline!CB$14</f>
        <v>93/94</v>
      </c>
      <c r="CC37" s="6" t="str">
        <f>Timeline!CC$14</f>
        <v>94/95</v>
      </c>
      <c r="CD37" s="6" t="str">
        <f>Timeline!CD$14</f>
        <v>95/96</v>
      </c>
      <c r="CE37" s="6" t="str">
        <f>Timeline!CE$14</f>
        <v>96/97</v>
      </c>
      <c r="CF37" s="6" t="str">
        <f>Timeline!CF$14</f>
        <v>97/98</v>
      </c>
      <c r="CG37" s="6" t="str">
        <f>Timeline!CG$14</f>
        <v>98/99</v>
      </c>
      <c r="CH37" s="6" t="str">
        <f>Timeline!CH$14</f>
        <v>99/00</v>
      </c>
      <c r="CI37" s="6" t="str">
        <f>Timeline!CI$14</f>
        <v>00/01</v>
      </c>
      <c r="CJ37" s="6" t="str">
        <f>Timeline!CJ$14</f>
        <v>01/02</v>
      </c>
      <c r="CK37" s="6" t="str">
        <f>Timeline!CK$14</f>
        <v>02/03</v>
      </c>
      <c r="CL37" s="6" t="str">
        <f>Timeline!CL$14</f>
        <v>03/04</v>
      </c>
      <c r="CM37" s="6" t="str">
        <f>Timeline!CM$14</f>
        <v>04/05</v>
      </c>
      <c r="CN37" s="6" t="str">
        <f>Timeline!CN$14</f>
        <v>05/06</v>
      </c>
      <c r="CO37" s="6" t="str">
        <f>Timeline!CO$14</f>
        <v>06/07</v>
      </c>
      <c r="CP37" s="6" t="str">
        <f>Timeline!CP$14</f>
        <v>07/08</v>
      </c>
      <c r="CQ37" s="6" t="str">
        <f>Timeline!CQ$14</f>
        <v>08/09</v>
      </c>
    </row>
    <row r="38" spans="3:95" x14ac:dyDescent="0.3">
      <c r="C38" s="7" t="s">
        <v>166</v>
      </c>
      <c r="F38" s="8">
        <v>1</v>
      </c>
      <c r="G38" s="8">
        <v>1</v>
      </c>
      <c r="H38" s="8">
        <v>1</v>
      </c>
      <c r="I38" s="8">
        <v>1</v>
      </c>
      <c r="J38" s="8">
        <v>1</v>
      </c>
      <c r="K38" s="8">
        <v>1</v>
      </c>
      <c r="L38" s="8">
        <v>1</v>
      </c>
      <c r="M38" s="8">
        <v>1</v>
      </c>
      <c r="N38" s="8">
        <v>1</v>
      </c>
      <c r="O38" s="8">
        <v>1</v>
      </c>
      <c r="P38" s="8">
        <v>1</v>
      </c>
      <c r="Q38" s="8">
        <v>1</v>
      </c>
      <c r="R38" s="8">
        <v>1</v>
      </c>
      <c r="S38" s="8">
        <v>1</v>
      </c>
      <c r="T38" s="8">
        <v>1</v>
      </c>
      <c r="U38" s="8">
        <v>1</v>
      </c>
      <c r="V38" s="8">
        <v>1</v>
      </c>
      <c r="W38" s="8">
        <v>1</v>
      </c>
      <c r="X38" s="8">
        <v>1</v>
      </c>
      <c r="Y38" s="8">
        <v>1</v>
      </c>
      <c r="Z38" s="8">
        <v>1</v>
      </c>
      <c r="AA38" s="8">
        <v>1</v>
      </c>
      <c r="AB38" s="8">
        <v>1</v>
      </c>
      <c r="AC38" s="8">
        <v>1</v>
      </c>
      <c r="AD38" s="8">
        <v>1</v>
      </c>
      <c r="AE38" s="8">
        <v>1</v>
      </c>
      <c r="AF38" s="8">
        <v>1</v>
      </c>
      <c r="AG38" s="8">
        <v>1</v>
      </c>
      <c r="AH38" s="8">
        <v>1</v>
      </c>
      <c r="AI38" s="8">
        <v>1</v>
      </c>
      <c r="AJ38" s="8">
        <v>1</v>
      </c>
      <c r="AK38" s="8">
        <v>1</v>
      </c>
      <c r="AL38" s="8">
        <v>1</v>
      </c>
      <c r="AM38" s="8">
        <v>1</v>
      </c>
      <c r="AN38" s="8">
        <v>1</v>
      </c>
      <c r="AO38" s="8">
        <v>1</v>
      </c>
      <c r="AP38" s="8">
        <v>1</v>
      </c>
      <c r="AQ38" s="8">
        <v>1</v>
      </c>
      <c r="AR38" s="8">
        <v>1</v>
      </c>
      <c r="AS38" s="8">
        <v>1</v>
      </c>
      <c r="AT38" s="8">
        <v>1</v>
      </c>
      <c r="AU38" s="8">
        <v>1</v>
      </c>
      <c r="AV38" s="8">
        <v>1</v>
      </c>
      <c r="AW38" s="8">
        <v>1</v>
      </c>
      <c r="AX38" s="8">
        <v>1</v>
      </c>
      <c r="AY38" s="8">
        <v>1</v>
      </c>
      <c r="AZ38" s="8">
        <v>1</v>
      </c>
      <c r="BA38" s="8">
        <v>1</v>
      </c>
      <c r="BB38" s="8">
        <v>1</v>
      </c>
      <c r="BC38" s="8">
        <v>1</v>
      </c>
      <c r="BD38" s="8">
        <v>1</v>
      </c>
      <c r="BE38" s="8">
        <v>1</v>
      </c>
      <c r="BF38" s="8">
        <v>1</v>
      </c>
      <c r="BG38" s="8">
        <v>1</v>
      </c>
      <c r="BH38" s="8">
        <v>1</v>
      </c>
      <c r="BI38" s="8">
        <v>1</v>
      </c>
      <c r="BJ38" s="8">
        <v>1</v>
      </c>
      <c r="BK38" s="8">
        <v>1</v>
      </c>
      <c r="BL38" s="8">
        <v>1</v>
      </c>
      <c r="BM38" s="8">
        <v>1</v>
      </c>
      <c r="BN38" s="8">
        <v>1</v>
      </c>
      <c r="BO38" s="8">
        <v>1</v>
      </c>
      <c r="BP38" s="8">
        <v>1</v>
      </c>
      <c r="BQ38" s="8">
        <v>1</v>
      </c>
      <c r="BR38" s="8">
        <v>1</v>
      </c>
      <c r="BS38" s="8">
        <v>1</v>
      </c>
      <c r="BT38" s="8">
        <v>1</v>
      </c>
      <c r="BU38" s="8">
        <v>1</v>
      </c>
      <c r="BV38" s="8">
        <v>1</v>
      </c>
      <c r="BW38" s="8">
        <v>1</v>
      </c>
      <c r="BX38" s="8">
        <v>1</v>
      </c>
      <c r="BY38" s="8">
        <v>1</v>
      </c>
      <c r="BZ38" s="8">
        <v>1</v>
      </c>
      <c r="CA38" s="8">
        <v>1</v>
      </c>
      <c r="CB38" s="8">
        <v>1</v>
      </c>
      <c r="CC38" s="8">
        <v>1</v>
      </c>
      <c r="CD38" s="8">
        <v>1</v>
      </c>
      <c r="CE38" s="8">
        <v>1</v>
      </c>
      <c r="CF38" s="8">
        <v>1</v>
      </c>
      <c r="CG38" s="8">
        <v>1</v>
      </c>
      <c r="CH38" s="8">
        <v>1</v>
      </c>
      <c r="CI38" s="8">
        <v>1</v>
      </c>
      <c r="CJ38" s="8">
        <v>1</v>
      </c>
      <c r="CK38" s="8">
        <v>1</v>
      </c>
      <c r="CL38" s="8">
        <v>1</v>
      </c>
      <c r="CM38" s="8">
        <v>1</v>
      </c>
      <c r="CN38" s="8">
        <v>1</v>
      </c>
      <c r="CO38" s="8">
        <v>1</v>
      </c>
      <c r="CP38" s="8">
        <v>1</v>
      </c>
      <c r="CQ38" s="8">
        <v>1</v>
      </c>
    </row>
    <row r="39" spans="3:95" x14ac:dyDescent="0.3">
      <c r="C39" s="7" t="s">
        <v>191</v>
      </c>
      <c r="F39" s="8">
        <v>1.132825</v>
      </c>
      <c r="G39" s="8">
        <v>1.132825</v>
      </c>
      <c r="H39" s="8">
        <v>1.132825</v>
      </c>
      <c r="I39" s="8">
        <v>1.132825</v>
      </c>
      <c r="J39" s="8">
        <v>1.132825</v>
      </c>
      <c r="K39" s="8">
        <v>1.132825</v>
      </c>
      <c r="L39" s="8">
        <v>1.132825</v>
      </c>
      <c r="M39" s="8">
        <v>1.132825</v>
      </c>
      <c r="N39" s="8">
        <v>1.132825</v>
      </c>
      <c r="O39" s="8">
        <v>1.132825</v>
      </c>
      <c r="P39" s="8">
        <v>1.132825</v>
      </c>
      <c r="Q39" s="8">
        <v>1.132825</v>
      </c>
      <c r="R39" s="8">
        <v>1.132825</v>
      </c>
      <c r="S39" s="8">
        <v>1.132825</v>
      </c>
      <c r="T39" s="8">
        <v>1.132825</v>
      </c>
      <c r="U39" s="8">
        <v>1.132825</v>
      </c>
      <c r="V39" s="8">
        <v>1.132825</v>
      </c>
      <c r="W39" s="8">
        <v>1.132825</v>
      </c>
      <c r="X39" s="8">
        <v>1.132825</v>
      </c>
      <c r="Y39" s="8">
        <v>1.132825</v>
      </c>
      <c r="Z39" s="8">
        <v>1.132825</v>
      </c>
      <c r="AA39" s="8">
        <v>1.132825</v>
      </c>
      <c r="AB39" s="8">
        <v>1.132825</v>
      </c>
      <c r="AC39" s="8">
        <v>1.132825</v>
      </c>
      <c r="AD39" s="8">
        <v>1.132825</v>
      </c>
      <c r="AE39" s="8">
        <v>1.132825</v>
      </c>
      <c r="AF39" s="8">
        <v>1.132825</v>
      </c>
      <c r="AG39" s="8">
        <v>1.132825</v>
      </c>
      <c r="AH39" s="8">
        <v>1.132825</v>
      </c>
      <c r="AI39" s="8">
        <v>1.132825</v>
      </c>
      <c r="AJ39" s="8">
        <v>1.132825</v>
      </c>
      <c r="AK39" s="8">
        <v>1.132825</v>
      </c>
      <c r="AL39" s="8">
        <v>1.132825</v>
      </c>
      <c r="AM39" s="8">
        <v>1.132825</v>
      </c>
      <c r="AN39" s="8">
        <v>1.132825</v>
      </c>
      <c r="AO39" s="8">
        <v>1.132825</v>
      </c>
      <c r="AP39" s="8">
        <v>1.132825</v>
      </c>
      <c r="AQ39" s="8">
        <v>1.132825</v>
      </c>
      <c r="AR39" s="8">
        <v>1.132825</v>
      </c>
      <c r="AS39" s="8">
        <v>1.132825</v>
      </c>
      <c r="AT39" s="8">
        <v>1.132825</v>
      </c>
      <c r="AU39" s="8">
        <v>1.132825</v>
      </c>
      <c r="AV39" s="8">
        <v>1.132825</v>
      </c>
      <c r="AW39" s="8">
        <v>1.132825</v>
      </c>
      <c r="AX39" s="8">
        <v>1.132825</v>
      </c>
      <c r="AY39" s="8">
        <v>1.132825</v>
      </c>
      <c r="AZ39" s="8">
        <v>1.132825</v>
      </c>
      <c r="BA39" s="8">
        <v>1.132825</v>
      </c>
      <c r="BB39" s="8">
        <v>1.132825</v>
      </c>
      <c r="BC39" s="8">
        <v>1.132825</v>
      </c>
      <c r="BD39" s="8">
        <v>1.132825</v>
      </c>
      <c r="BE39" s="8">
        <v>1.132825</v>
      </c>
      <c r="BF39" s="8">
        <v>1.132825</v>
      </c>
      <c r="BG39" s="8">
        <v>1.132825</v>
      </c>
      <c r="BH39" s="8">
        <v>1.132825</v>
      </c>
      <c r="BI39" s="8">
        <v>1.132825</v>
      </c>
      <c r="BJ39" s="8">
        <v>1.132825</v>
      </c>
      <c r="BK39" s="8">
        <v>1.132825</v>
      </c>
      <c r="BL39" s="8">
        <v>1.132825</v>
      </c>
      <c r="BM39" s="8">
        <v>1.132825</v>
      </c>
      <c r="BN39" s="8">
        <v>1.132825</v>
      </c>
      <c r="BO39" s="8">
        <v>1.132825</v>
      </c>
      <c r="BP39" s="8">
        <v>1.132825</v>
      </c>
      <c r="BQ39" s="8">
        <v>1.132825</v>
      </c>
      <c r="BR39" s="8">
        <v>1.132825</v>
      </c>
      <c r="BS39" s="8">
        <v>1.132825</v>
      </c>
      <c r="BT39" s="8">
        <v>1.132825</v>
      </c>
      <c r="BU39" s="8">
        <v>1.132825</v>
      </c>
      <c r="BV39" s="8">
        <v>1.132825</v>
      </c>
      <c r="BW39" s="8">
        <v>1.132825</v>
      </c>
      <c r="BX39" s="8">
        <v>1.132825</v>
      </c>
      <c r="BY39" s="8">
        <v>1.132825</v>
      </c>
      <c r="BZ39" s="8">
        <v>1.132825</v>
      </c>
      <c r="CA39" s="8">
        <v>1.132825</v>
      </c>
      <c r="CB39" s="8">
        <v>1.132825</v>
      </c>
      <c r="CC39" s="8">
        <v>1.132825</v>
      </c>
      <c r="CD39" s="8">
        <v>1.132825</v>
      </c>
      <c r="CE39" s="8">
        <v>1.132825</v>
      </c>
      <c r="CF39" s="8">
        <v>1.132825</v>
      </c>
      <c r="CG39" s="8">
        <v>1.132825</v>
      </c>
      <c r="CH39" s="8">
        <v>1.132825</v>
      </c>
      <c r="CI39" s="8">
        <v>1.132825</v>
      </c>
      <c r="CJ39" s="8">
        <v>1.132825</v>
      </c>
      <c r="CK39" s="8">
        <v>1.132825</v>
      </c>
      <c r="CL39" s="8">
        <v>1.132825</v>
      </c>
      <c r="CM39" s="8">
        <v>1.132825</v>
      </c>
      <c r="CN39" s="8">
        <v>1.132825</v>
      </c>
      <c r="CO39" s="8">
        <v>1.132825</v>
      </c>
      <c r="CP39" s="8">
        <v>1.132825</v>
      </c>
      <c r="CQ39" s="8">
        <v>1.132825</v>
      </c>
    </row>
    <row r="40" spans="3:95" x14ac:dyDescent="0.3">
      <c r="C40" s="7" t="s">
        <v>192</v>
      </c>
      <c r="F40" s="8">
        <v>1.2750490000000001</v>
      </c>
      <c r="G40" s="8">
        <v>1.2750490000000001</v>
      </c>
      <c r="H40" s="8">
        <v>1.2750490000000001</v>
      </c>
      <c r="I40" s="8">
        <v>1.2750490000000001</v>
      </c>
      <c r="J40" s="8">
        <v>1.2750490000000001</v>
      </c>
      <c r="K40" s="8">
        <v>1.2750490000000001</v>
      </c>
      <c r="L40" s="8">
        <v>1.2750490000000001</v>
      </c>
      <c r="M40" s="8">
        <v>1.2750490000000001</v>
      </c>
      <c r="N40" s="8">
        <v>1.2750490000000001</v>
      </c>
      <c r="O40" s="8">
        <v>1.2750490000000001</v>
      </c>
      <c r="P40" s="8">
        <v>1.2750490000000001</v>
      </c>
      <c r="Q40" s="8">
        <v>1.2750490000000001</v>
      </c>
      <c r="R40" s="8">
        <v>1.2750490000000001</v>
      </c>
      <c r="S40" s="8">
        <v>1.2750490000000001</v>
      </c>
      <c r="T40" s="8">
        <v>1.2750490000000001</v>
      </c>
      <c r="U40" s="8">
        <v>1.2750490000000001</v>
      </c>
      <c r="V40" s="8">
        <v>1.2750490000000001</v>
      </c>
      <c r="W40" s="8">
        <v>1.2750490000000001</v>
      </c>
      <c r="X40" s="8">
        <v>1.2750490000000001</v>
      </c>
      <c r="Y40" s="8">
        <v>1.2750490000000001</v>
      </c>
      <c r="Z40" s="8">
        <v>1.2750490000000001</v>
      </c>
      <c r="AA40" s="8">
        <v>1.2750490000000001</v>
      </c>
      <c r="AB40" s="8">
        <v>1.2750490000000001</v>
      </c>
      <c r="AC40" s="8">
        <v>1.2750490000000001</v>
      </c>
      <c r="AD40" s="8">
        <v>1.2750490000000001</v>
      </c>
      <c r="AE40" s="8">
        <v>1.2750490000000001</v>
      </c>
      <c r="AF40" s="8">
        <v>1.2750490000000001</v>
      </c>
      <c r="AG40" s="8">
        <v>1.2750490000000001</v>
      </c>
      <c r="AH40" s="8">
        <v>1.2750490000000001</v>
      </c>
      <c r="AI40" s="8">
        <v>1.2750490000000001</v>
      </c>
      <c r="AJ40" s="8">
        <v>1.2750490000000001</v>
      </c>
      <c r="AK40" s="8">
        <v>1.2750490000000001</v>
      </c>
      <c r="AL40" s="8">
        <v>1.2750490000000001</v>
      </c>
      <c r="AM40" s="8">
        <v>1.2750490000000001</v>
      </c>
      <c r="AN40" s="8">
        <v>1.2750490000000001</v>
      </c>
      <c r="AO40" s="8">
        <v>1.2750490000000001</v>
      </c>
      <c r="AP40" s="8">
        <v>1.2750490000000001</v>
      </c>
      <c r="AQ40" s="8">
        <v>1.2750490000000001</v>
      </c>
      <c r="AR40" s="8">
        <v>1.2750490000000001</v>
      </c>
      <c r="AS40" s="8">
        <v>1.2750490000000001</v>
      </c>
      <c r="AT40" s="8">
        <v>1.2750490000000001</v>
      </c>
      <c r="AU40" s="8">
        <v>1.2750490000000001</v>
      </c>
      <c r="AV40" s="8">
        <v>1.2750490000000001</v>
      </c>
      <c r="AW40" s="8">
        <v>1.2750490000000001</v>
      </c>
      <c r="AX40" s="8">
        <v>1.2750490000000001</v>
      </c>
      <c r="AY40" s="8">
        <v>1.2750490000000001</v>
      </c>
      <c r="AZ40" s="8">
        <v>1.2750490000000001</v>
      </c>
      <c r="BA40" s="8">
        <v>1.2750490000000001</v>
      </c>
      <c r="BB40" s="8">
        <v>1.2750490000000001</v>
      </c>
      <c r="BC40" s="8">
        <v>1.2750490000000001</v>
      </c>
      <c r="BD40" s="8">
        <v>1.2750490000000001</v>
      </c>
      <c r="BE40" s="8">
        <v>1.2750490000000001</v>
      </c>
      <c r="BF40" s="8">
        <v>1.2750490000000001</v>
      </c>
      <c r="BG40" s="8">
        <v>1.2750490000000001</v>
      </c>
      <c r="BH40" s="8">
        <v>1.2750490000000001</v>
      </c>
      <c r="BI40" s="8">
        <v>1.2750490000000001</v>
      </c>
      <c r="BJ40" s="8">
        <v>1.2750490000000001</v>
      </c>
      <c r="BK40" s="8">
        <v>1.2750490000000001</v>
      </c>
      <c r="BL40" s="8">
        <v>1.2750490000000001</v>
      </c>
      <c r="BM40" s="8">
        <v>1.2750490000000001</v>
      </c>
      <c r="BN40" s="8">
        <v>1.2750490000000001</v>
      </c>
      <c r="BO40" s="8">
        <v>1.2750490000000001</v>
      </c>
      <c r="BP40" s="8">
        <v>1.2750490000000001</v>
      </c>
      <c r="BQ40" s="8">
        <v>1.2750490000000001</v>
      </c>
      <c r="BR40" s="8">
        <v>1.2750490000000001</v>
      </c>
      <c r="BS40" s="8">
        <v>1.2750490000000001</v>
      </c>
      <c r="BT40" s="8">
        <v>1.2750490000000001</v>
      </c>
      <c r="BU40" s="8">
        <v>1.2750490000000001</v>
      </c>
      <c r="BV40" s="8">
        <v>1.2750490000000001</v>
      </c>
      <c r="BW40" s="8">
        <v>1.2750490000000001</v>
      </c>
      <c r="BX40" s="8">
        <v>1.2750490000000001</v>
      </c>
      <c r="BY40" s="8">
        <v>1.2750490000000001</v>
      </c>
      <c r="BZ40" s="8">
        <v>1.2750490000000001</v>
      </c>
      <c r="CA40" s="8">
        <v>1.2750490000000001</v>
      </c>
      <c r="CB40" s="8">
        <v>1.2750490000000001</v>
      </c>
      <c r="CC40" s="8">
        <v>1.2750490000000001</v>
      </c>
      <c r="CD40" s="8">
        <v>1.2750490000000001</v>
      </c>
      <c r="CE40" s="8">
        <v>1.2750490000000001</v>
      </c>
      <c r="CF40" s="8">
        <v>1.2750490000000001</v>
      </c>
      <c r="CG40" s="8">
        <v>1.2750490000000001</v>
      </c>
      <c r="CH40" s="8">
        <v>1.2750490000000001</v>
      </c>
      <c r="CI40" s="8">
        <v>1.2750490000000001</v>
      </c>
      <c r="CJ40" s="8">
        <v>1.2750490000000001</v>
      </c>
      <c r="CK40" s="8">
        <v>1.2750490000000001</v>
      </c>
      <c r="CL40" s="8">
        <v>1.2750490000000001</v>
      </c>
      <c r="CM40" s="8">
        <v>1.2750490000000001</v>
      </c>
      <c r="CN40" s="8">
        <v>1.2750490000000001</v>
      </c>
      <c r="CO40" s="8">
        <v>1.2750490000000001</v>
      </c>
      <c r="CP40" s="8">
        <v>1.2750490000000001</v>
      </c>
      <c r="CQ40" s="8">
        <v>1.2750490000000001</v>
      </c>
    </row>
    <row r="42" spans="3:95" ht="18" x14ac:dyDescent="0.35">
      <c r="C42" s="2" t="s">
        <v>7</v>
      </c>
    </row>
    <row r="44" spans="3:95" x14ac:dyDescent="0.3">
      <c r="C44" s="11" t="s">
        <v>7</v>
      </c>
      <c r="F44" s="6" t="str">
        <f>Timeline!F$14</f>
        <v>19/20</v>
      </c>
      <c r="G44" s="6" t="str">
        <f>Timeline!G$14</f>
        <v>20/21</v>
      </c>
      <c r="H44" s="6" t="str">
        <f>Timeline!H$14</f>
        <v>21/22</v>
      </c>
      <c r="I44" s="6" t="str">
        <f>Timeline!I$14</f>
        <v>22/23</v>
      </c>
      <c r="J44" s="6" t="str">
        <f>Timeline!J$14</f>
        <v>23/24</v>
      </c>
      <c r="K44" s="6" t="str">
        <f>Timeline!K$14</f>
        <v>24/25</v>
      </c>
      <c r="L44" s="6" t="str">
        <f>Timeline!L$14</f>
        <v>25/26</v>
      </c>
      <c r="M44" s="6" t="str">
        <f>Timeline!M$14</f>
        <v>26/27</v>
      </c>
      <c r="N44" s="6" t="str">
        <f>Timeline!N$14</f>
        <v>27/28</v>
      </c>
      <c r="O44" s="6" t="str">
        <f>Timeline!O$14</f>
        <v>28/29</v>
      </c>
      <c r="P44" s="6" t="str">
        <f>Timeline!P$14</f>
        <v>29/30</v>
      </c>
      <c r="Q44" s="6" t="str">
        <f>Timeline!Q$14</f>
        <v>30/31</v>
      </c>
      <c r="R44" s="6" t="str">
        <f>Timeline!R$14</f>
        <v>31/32</v>
      </c>
      <c r="S44" s="6" t="str">
        <f>Timeline!S$14</f>
        <v>32/33</v>
      </c>
      <c r="T44" s="6" t="str">
        <f>Timeline!T$14</f>
        <v>33/34</v>
      </c>
      <c r="U44" s="6" t="str">
        <f>Timeline!U$14</f>
        <v>34/35</v>
      </c>
      <c r="V44" s="6" t="str">
        <f>Timeline!V$14</f>
        <v>35/36</v>
      </c>
      <c r="W44" s="6" t="str">
        <f>Timeline!W$14</f>
        <v>36/37</v>
      </c>
      <c r="X44" s="6" t="str">
        <f>Timeline!X$14</f>
        <v>37/38</v>
      </c>
      <c r="Y44" s="6" t="str">
        <f>Timeline!Y$14</f>
        <v>38/39</v>
      </c>
      <c r="Z44" s="6" t="str">
        <f>Timeline!Z$14</f>
        <v>39/40</v>
      </c>
      <c r="AA44" s="6" t="str">
        <f>Timeline!AA$14</f>
        <v>40/41</v>
      </c>
      <c r="AB44" s="6" t="str">
        <f>Timeline!AB$14</f>
        <v>41/42</v>
      </c>
      <c r="AC44" s="6" t="str">
        <f>Timeline!AC$14</f>
        <v>42/43</v>
      </c>
      <c r="AD44" s="6" t="str">
        <f>Timeline!AD$14</f>
        <v>43/44</v>
      </c>
      <c r="AE44" s="6" t="str">
        <f>Timeline!AE$14</f>
        <v>44/45</v>
      </c>
      <c r="AF44" s="6" t="str">
        <f>Timeline!AF$14</f>
        <v>45/46</v>
      </c>
      <c r="AG44" s="6" t="str">
        <f>Timeline!AG$14</f>
        <v>46/47</v>
      </c>
      <c r="AH44" s="6" t="str">
        <f>Timeline!AH$14</f>
        <v>47/48</v>
      </c>
      <c r="AI44" s="6" t="str">
        <f>Timeline!AI$14</f>
        <v>48/49</v>
      </c>
      <c r="AJ44" s="6" t="str">
        <f>Timeline!AJ$14</f>
        <v>49/50</v>
      </c>
      <c r="AK44" s="6" t="str">
        <f>Timeline!AK$14</f>
        <v>50/51</v>
      </c>
      <c r="AL44" s="6" t="str">
        <f>Timeline!AL$14</f>
        <v>51/52</v>
      </c>
      <c r="AM44" s="6" t="str">
        <f>Timeline!AM$14</f>
        <v>52/53</v>
      </c>
      <c r="AN44" s="6" t="str">
        <f>Timeline!AN$14</f>
        <v>53/54</v>
      </c>
      <c r="AO44" s="6" t="str">
        <f>Timeline!AO$14</f>
        <v>54/55</v>
      </c>
      <c r="AP44" s="6" t="str">
        <f>Timeline!AP$14</f>
        <v>55/56</v>
      </c>
      <c r="AQ44" s="6" t="str">
        <f>Timeline!AQ$14</f>
        <v>56/57</v>
      </c>
      <c r="AR44" s="6" t="str">
        <f>Timeline!AR$14</f>
        <v>57/58</v>
      </c>
      <c r="AS44" s="6" t="str">
        <f>Timeline!AS$14</f>
        <v>58/59</v>
      </c>
      <c r="AT44" s="6" t="str">
        <f>Timeline!AT$14</f>
        <v>59/60</v>
      </c>
      <c r="AU44" s="6" t="str">
        <f>Timeline!AU$14</f>
        <v>60/61</v>
      </c>
      <c r="AV44" s="6" t="str">
        <f>Timeline!AV$14</f>
        <v>61/62</v>
      </c>
      <c r="AW44" s="6" t="str">
        <f>Timeline!AW$14</f>
        <v>62/63</v>
      </c>
      <c r="AX44" s="6" t="str">
        <f>Timeline!AX$14</f>
        <v>63/64</v>
      </c>
      <c r="AY44" s="6" t="str">
        <f>Timeline!AY$14</f>
        <v>64/65</v>
      </c>
      <c r="AZ44" s="6" t="str">
        <f>Timeline!AZ$14</f>
        <v>65/66</v>
      </c>
      <c r="BA44" s="6" t="str">
        <f>Timeline!BA$14</f>
        <v>66/67</v>
      </c>
      <c r="BB44" s="6" t="str">
        <f>Timeline!BB$14</f>
        <v>67/68</v>
      </c>
      <c r="BC44" s="6" t="str">
        <f>Timeline!BC$14</f>
        <v>68/69</v>
      </c>
      <c r="BD44" s="6" t="str">
        <f>Timeline!BD$14</f>
        <v>69/70</v>
      </c>
      <c r="BE44" s="6" t="str">
        <f>Timeline!BE$14</f>
        <v>70/71</v>
      </c>
      <c r="BF44" s="6" t="str">
        <f>Timeline!BF$14</f>
        <v>71/72</v>
      </c>
      <c r="BG44" s="6" t="str">
        <f>Timeline!BG$14</f>
        <v>72/73</v>
      </c>
      <c r="BH44" s="6" t="str">
        <f>Timeline!BH$14</f>
        <v>73/74</v>
      </c>
      <c r="BI44" s="6" t="str">
        <f>Timeline!BI$14</f>
        <v>74/75</v>
      </c>
      <c r="BJ44" s="6" t="str">
        <f>Timeline!BJ$14</f>
        <v>75/76</v>
      </c>
      <c r="BK44" s="6" t="str">
        <f>Timeline!BK$14</f>
        <v>76/77</v>
      </c>
      <c r="BL44" s="6" t="str">
        <f>Timeline!BL$14</f>
        <v>77/78</v>
      </c>
      <c r="BM44" s="6" t="str">
        <f>Timeline!BM$14</f>
        <v>78/79</v>
      </c>
      <c r="BN44" s="6" t="str">
        <f>Timeline!BN$14</f>
        <v>79/80</v>
      </c>
      <c r="BO44" s="6" t="str">
        <f>Timeline!BO$14</f>
        <v>80/81</v>
      </c>
      <c r="BP44" s="6" t="str">
        <f>Timeline!BP$14</f>
        <v>81/82</v>
      </c>
      <c r="BQ44" s="6" t="str">
        <f>Timeline!BQ$14</f>
        <v>82/83</v>
      </c>
      <c r="BR44" s="6" t="str">
        <f>Timeline!BR$14</f>
        <v>83/84</v>
      </c>
      <c r="BS44" s="6" t="str">
        <f>Timeline!BS$14</f>
        <v>84/85</v>
      </c>
      <c r="BT44" s="6" t="str">
        <f>Timeline!BT$14</f>
        <v>85/86</v>
      </c>
      <c r="BU44" s="6" t="str">
        <f>Timeline!BU$14</f>
        <v>86/87</v>
      </c>
      <c r="BV44" s="6" t="str">
        <f>Timeline!BV$14</f>
        <v>87/88</v>
      </c>
      <c r="BW44" s="6" t="str">
        <f>Timeline!BW$14</f>
        <v>88/89</v>
      </c>
      <c r="BX44" s="6" t="str">
        <f>Timeline!BX$14</f>
        <v>89/90</v>
      </c>
      <c r="BY44" s="6" t="str">
        <f>Timeline!BY$14</f>
        <v>90/91</v>
      </c>
      <c r="BZ44" s="6" t="str">
        <f>Timeline!BZ$14</f>
        <v>91/92</v>
      </c>
      <c r="CA44" s="6" t="str">
        <f>Timeline!CA$14</f>
        <v>92/93</v>
      </c>
      <c r="CB44" s="6" t="str">
        <f>Timeline!CB$14</f>
        <v>93/94</v>
      </c>
      <c r="CC44" s="6" t="str">
        <f>Timeline!CC$14</f>
        <v>94/95</v>
      </c>
      <c r="CD44" s="6" t="str">
        <f>Timeline!CD$14</f>
        <v>95/96</v>
      </c>
      <c r="CE44" s="6" t="str">
        <f>Timeline!CE$14</f>
        <v>96/97</v>
      </c>
      <c r="CF44" s="6" t="str">
        <f>Timeline!CF$14</f>
        <v>97/98</v>
      </c>
      <c r="CG44" s="6" t="str">
        <f>Timeline!CG$14</f>
        <v>98/99</v>
      </c>
      <c r="CH44" s="6" t="str">
        <f>Timeline!CH$14</f>
        <v>99/00</v>
      </c>
      <c r="CI44" s="6" t="str">
        <f>Timeline!CI$14</f>
        <v>00/01</v>
      </c>
      <c r="CJ44" s="6" t="str">
        <f>Timeline!CJ$14</f>
        <v>01/02</v>
      </c>
      <c r="CK44" s="6" t="str">
        <f>Timeline!CK$14</f>
        <v>02/03</v>
      </c>
      <c r="CL44" s="6" t="str">
        <f>Timeline!CL$14</f>
        <v>03/04</v>
      </c>
      <c r="CM44" s="6" t="str">
        <f>Timeline!CM$14</f>
        <v>04/05</v>
      </c>
      <c r="CN44" s="6" t="str">
        <f>Timeline!CN$14</f>
        <v>05/06</v>
      </c>
      <c r="CO44" s="6" t="str">
        <f>Timeline!CO$14</f>
        <v>06/07</v>
      </c>
      <c r="CP44" s="6" t="str">
        <f>Timeline!CP$14</f>
        <v>07/08</v>
      </c>
      <c r="CQ44" s="6" t="str">
        <f>Timeline!CQ$14</f>
        <v>08/09</v>
      </c>
    </row>
    <row r="45" spans="3:95" x14ac:dyDescent="0.3">
      <c r="C45" s="7" t="s">
        <v>48</v>
      </c>
      <c r="F45" s="8">
        <v>1</v>
      </c>
      <c r="G45" s="8">
        <v>1</v>
      </c>
      <c r="H45" s="8">
        <v>1</v>
      </c>
      <c r="I45" s="8">
        <v>1</v>
      </c>
      <c r="J45" s="8">
        <v>1</v>
      </c>
      <c r="K45" s="8">
        <v>1</v>
      </c>
      <c r="L45" s="8">
        <v>1</v>
      </c>
      <c r="M45" s="8">
        <v>1</v>
      </c>
      <c r="N45" s="8">
        <v>1</v>
      </c>
      <c r="O45" s="8">
        <v>1</v>
      </c>
      <c r="P45" s="8">
        <v>1</v>
      </c>
      <c r="Q45" s="8">
        <v>1</v>
      </c>
      <c r="R45" s="8">
        <v>1</v>
      </c>
      <c r="S45" s="8">
        <v>1</v>
      </c>
      <c r="T45" s="8">
        <v>1</v>
      </c>
      <c r="U45" s="8">
        <v>1</v>
      </c>
      <c r="V45" s="8">
        <v>1</v>
      </c>
      <c r="W45" s="8">
        <v>1</v>
      </c>
      <c r="X45" s="8">
        <v>1</v>
      </c>
      <c r="Y45" s="8">
        <v>1</v>
      </c>
      <c r="Z45" s="8">
        <v>1</v>
      </c>
      <c r="AA45" s="8">
        <v>1</v>
      </c>
      <c r="AB45" s="8">
        <v>1</v>
      </c>
      <c r="AC45" s="8">
        <v>1</v>
      </c>
      <c r="AD45" s="8">
        <v>1</v>
      </c>
      <c r="AE45" s="8">
        <v>1</v>
      </c>
      <c r="AF45" s="8">
        <v>1</v>
      </c>
      <c r="AG45" s="8">
        <v>1</v>
      </c>
      <c r="AH45" s="8">
        <v>1</v>
      </c>
      <c r="AI45" s="8">
        <v>1</v>
      </c>
      <c r="AJ45" s="8">
        <v>1</v>
      </c>
      <c r="AK45" s="8">
        <v>1</v>
      </c>
      <c r="AL45" s="8">
        <v>1</v>
      </c>
      <c r="AM45" s="8">
        <v>1</v>
      </c>
      <c r="AN45" s="8">
        <v>1</v>
      </c>
      <c r="AO45" s="8">
        <v>1</v>
      </c>
      <c r="AP45" s="8">
        <v>1</v>
      </c>
      <c r="AQ45" s="8">
        <v>1</v>
      </c>
      <c r="AR45" s="8">
        <v>1</v>
      </c>
      <c r="AS45" s="8">
        <v>1</v>
      </c>
      <c r="AT45" s="8">
        <v>1</v>
      </c>
      <c r="AU45" s="8">
        <v>1</v>
      </c>
      <c r="AV45" s="8">
        <v>1</v>
      </c>
      <c r="AW45" s="8">
        <v>1</v>
      </c>
      <c r="AX45" s="8">
        <v>1</v>
      </c>
      <c r="AY45" s="8">
        <v>1</v>
      </c>
      <c r="AZ45" s="8">
        <v>1</v>
      </c>
      <c r="BA45" s="8">
        <v>1</v>
      </c>
      <c r="BB45" s="8">
        <v>1</v>
      </c>
      <c r="BC45" s="8">
        <v>1</v>
      </c>
      <c r="BD45" s="8">
        <v>1</v>
      </c>
      <c r="BE45" s="8">
        <v>1</v>
      </c>
      <c r="BF45" s="8">
        <v>1</v>
      </c>
      <c r="BG45" s="8">
        <v>1</v>
      </c>
      <c r="BH45" s="8">
        <v>1</v>
      </c>
      <c r="BI45" s="8">
        <v>1</v>
      </c>
      <c r="BJ45" s="8">
        <v>1</v>
      </c>
      <c r="BK45" s="8">
        <v>1</v>
      </c>
      <c r="BL45" s="8">
        <v>1</v>
      </c>
      <c r="BM45" s="8">
        <v>1</v>
      </c>
      <c r="BN45" s="8">
        <v>1</v>
      </c>
      <c r="BO45" s="8">
        <v>1</v>
      </c>
      <c r="BP45" s="8">
        <v>1</v>
      </c>
      <c r="BQ45" s="8">
        <v>1</v>
      </c>
      <c r="BR45" s="8">
        <v>1</v>
      </c>
      <c r="BS45" s="8">
        <v>1</v>
      </c>
      <c r="BT45" s="8">
        <v>1</v>
      </c>
      <c r="BU45" s="8">
        <v>1</v>
      </c>
      <c r="BV45" s="8">
        <v>1</v>
      </c>
      <c r="BW45" s="8">
        <v>1</v>
      </c>
      <c r="BX45" s="8">
        <v>1</v>
      </c>
      <c r="BY45" s="8">
        <v>1</v>
      </c>
      <c r="BZ45" s="8">
        <v>1</v>
      </c>
      <c r="CA45" s="8">
        <v>1</v>
      </c>
      <c r="CB45" s="8">
        <v>1</v>
      </c>
      <c r="CC45" s="8">
        <v>1</v>
      </c>
      <c r="CD45" s="8">
        <v>1</v>
      </c>
      <c r="CE45" s="8">
        <v>1</v>
      </c>
      <c r="CF45" s="8">
        <v>1</v>
      </c>
      <c r="CG45" s="8">
        <v>1</v>
      </c>
      <c r="CH45" s="8">
        <v>1</v>
      </c>
      <c r="CI45" s="8">
        <v>1</v>
      </c>
      <c r="CJ45" s="8">
        <v>1</v>
      </c>
      <c r="CK45" s="8">
        <v>1</v>
      </c>
      <c r="CL45" s="8">
        <v>1</v>
      </c>
      <c r="CM45" s="8">
        <v>1</v>
      </c>
      <c r="CN45" s="8">
        <v>1</v>
      </c>
      <c r="CO45" s="8">
        <v>1</v>
      </c>
      <c r="CP45" s="8">
        <v>1</v>
      </c>
      <c r="CQ45" s="8">
        <v>1</v>
      </c>
    </row>
    <row r="46" spans="3:95" x14ac:dyDescent="0.3">
      <c r="C46" s="7" t="s">
        <v>49</v>
      </c>
      <c r="F46" s="8">
        <v>1.2</v>
      </c>
      <c r="G46" s="8">
        <v>1.2</v>
      </c>
      <c r="H46" s="8">
        <v>1.2</v>
      </c>
      <c r="I46" s="8">
        <v>1.2</v>
      </c>
      <c r="J46" s="8">
        <v>1.2</v>
      </c>
      <c r="K46" s="8">
        <v>1.2</v>
      </c>
      <c r="L46" s="8">
        <v>1.2</v>
      </c>
      <c r="M46" s="8">
        <v>1.2</v>
      </c>
      <c r="N46" s="8">
        <v>1.2</v>
      </c>
      <c r="O46" s="8">
        <v>1.2</v>
      </c>
      <c r="P46" s="8">
        <v>1.2</v>
      </c>
      <c r="Q46" s="8">
        <v>1.2</v>
      </c>
      <c r="R46" s="8">
        <v>1.2</v>
      </c>
      <c r="S46" s="8">
        <v>1.2</v>
      </c>
      <c r="T46" s="8">
        <v>1.2</v>
      </c>
      <c r="U46" s="8">
        <v>1.2</v>
      </c>
      <c r="V46" s="8">
        <v>1.2</v>
      </c>
      <c r="W46" s="8">
        <v>1.2</v>
      </c>
      <c r="X46" s="8">
        <v>1.2</v>
      </c>
      <c r="Y46" s="8">
        <v>1.2</v>
      </c>
      <c r="Z46" s="8">
        <v>1.2</v>
      </c>
      <c r="AA46" s="8">
        <v>1.2</v>
      </c>
      <c r="AB46" s="8">
        <v>1.2</v>
      </c>
      <c r="AC46" s="8">
        <v>1.2</v>
      </c>
      <c r="AD46" s="8">
        <v>1.2</v>
      </c>
      <c r="AE46" s="8">
        <v>1.2</v>
      </c>
      <c r="AF46" s="8">
        <v>1.2</v>
      </c>
      <c r="AG46" s="8">
        <v>1.2</v>
      </c>
      <c r="AH46" s="8">
        <v>1.2</v>
      </c>
      <c r="AI46" s="8">
        <v>1.2</v>
      </c>
      <c r="AJ46" s="8">
        <v>1.2</v>
      </c>
      <c r="AK46" s="8">
        <v>1.2</v>
      </c>
      <c r="AL46" s="8">
        <v>1.2</v>
      </c>
      <c r="AM46" s="8">
        <v>1.2</v>
      </c>
      <c r="AN46" s="8">
        <v>1.2</v>
      </c>
      <c r="AO46" s="8">
        <v>1.2</v>
      </c>
      <c r="AP46" s="8">
        <v>1.2</v>
      </c>
      <c r="AQ46" s="8">
        <v>1.2</v>
      </c>
      <c r="AR46" s="8">
        <v>1.2</v>
      </c>
      <c r="AS46" s="8">
        <v>1.2</v>
      </c>
      <c r="AT46" s="8">
        <v>1.2</v>
      </c>
      <c r="AU46" s="8">
        <v>1.2</v>
      </c>
      <c r="AV46" s="8">
        <v>1.2</v>
      </c>
      <c r="AW46" s="8">
        <v>1.2</v>
      </c>
      <c r="AX46" s="8">
        <v>1.2</v>
      </c>
      <c r="AY46" s="8">
        <v>1.2</v>
      </c>
      <c r="AZ46" s="8">
        <v>1.2</v>
      </c>
      <c r="BA46" s="8">
        <v>1.2</v>
      </c>
      <c r="BB46" s="8">
        <v>1.2</v>
      </c>
      <c r="BC46" s="8">
        <v>1.2</v>
      </c>
      <c r="BD46" s="8">
        <v>1.2</v>
      </c>
      <c r="BE46" s="8">
        <v>1.2</v>
      </c>
      <c r="BF46" s="8">
        <v>1.2</v>
      </c>
      <c r="BG46" s="8">
        <v>1.2</v>
      </c>
      <c r="BH46" s="8">
        <v>1.2</v>
      </c>
      <c r="BI46" s="8">
        <v>1.2</v>
      </c>
      <c r="BJ46" s="8">
        <v>1.2</v>
      </c>
      <c r="BK46" s="8">
        <v>1.2</v>
      </c>
      <c r="BL46" s="8">
        <v>1.2</v>
      </c>
      <c r="BM46" s="8">
        <v>1.2</v>
      </c>
      <c r="BN46" s="8">
        <v>1.2</v>
      </c>
      <c r="BO46" s="8">
        <v>1.2</v>
      </c>
      <c r="BP46" s="8">
        <v>1.2</v>
      </c>
      <c r="BQ46" s="8">
        <v>1.2</v>
      </c>
      <c r="BR46" s="8">
        <v>1.2</v>
      </c>
      <c r="BS46" s="8">
        <v>1.2</v>
      </c>
      <c r="BT46" s="8">
        <v>1.2</v>
      </c>
      <c r="BU46" s="8">
        <v>1.2</v>
      </c>
      <c r="BV46" s="8">
        <v>1.2</v>
      </c>
      <c r="BW46" s="8">
        <v>1.2</v>
      </c>
      <c r="BX46" s="8">
        <v>1.2</v>
      </c>
      <c r="BY46" s="8">
        <v>1.2</v>
      </c>
      <c r="BZ46" s="8">
        <v>1.2</v>
      </c>
      <c r="CA46" s="8">
        <v>1.2</v>
      </c>
      <c r="CB46" s="8">
        <v>1.2</v>
      </c>
      <c r="CC46" s="8">
        <v>1.2</v>
      </c>
      <c r="CD46" s="8">
        <v>1.2</v>
      </c>
      <c r="CE46" s="8">
        <v>1.2</v>
      </c>
      <c r="CF46" s="8">
        <v>1.2</v>
      </c>
      <c r="CG46" s="8">
        <v>1.2</v>
      </c>
      <c r="CH46" s="8">
        <v>1.2</v>
      </c>
      <c r="CI46" s="8">
        <v>1.2</v>
      </c>
      <c r="CJ46" s="8">
        <v>1.2</v>
      </c>
      <c r="CK46" s="8">
        <v>1.2</v>
      </c>
      <c r="CL46" s="8">
        <v>1.2</v>
      </c>
      <c r="CM46" s="8">
        <v>1.2</v>
      </c>
      <c r="CN46" s="8">
        <v>1.2</v>
      </c>
      <c r="CO46" s="8">
        <v>1.2</v>
      </c>
      <c r="CP46" s="8">
        <v>1.2</v>
      </c>
      <c r="CQ46" s="8">
        <v>1.2</v>
      </c>
    </row>
    <row r="47" spans="3:95" x14ac:dyDescent="0.3">
      <c r="C47" s="7" t="s">
        <v>50</v>
      </c>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row>
    <row r="48" spans="3:95" x14ac:dyDescent="0.3">
      <c r="C48" s="7" t="s">
        <v>51</v>
      </c>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row>
    <row r="49" spans="3:95" x14ac:dyDescent="0.3">
      <c r="C49" s="7" t="s">
        <v>52</v>
      </c>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row>
    <row r="51" spans="3:95" ht="18" x14ac:dyDescent="0.35">
      <c r="C51" s="2" t="s">
        <v>53</v>
      </c>
    </row>
    <row r="53" spans="3:95" x14ac:dyDescent="0.3">
      <c r="C53" s="11" t="s">
        <v>54</v>
      </c>
      <c r="F53" s="6" t="str">
        <f>Timeline!F$14</f>
        <v>19/20</v>
      </c>
      <c r="G53" s="6" t="str">
        <f>Timeline!G$14</f>
        <v>20/21</v>
      </c>
      <c r="H53" s="6" t="str">
        <f>Timeline!H$14</f>
        <v>21/22</v>
      </c>
      <c r="I53" s="6" t="str">
        <f>Timeline!I$14</f>
        <v>22/23</v>
      </c>
      <c r="J53" s="6" t="str">
        <f>Timeline!J$14</f>
        <v>23/24</v>
      </c>
      <c r="K53" s="6" t="str">
        <f>Timeline!K$14</f>
        <v>24/25</v>
      </c>
      <c r="L53" s="6" t="str">
        <f>Timeline!L$14</f>
        <v>25/26</v>
      </c>
      <c r="M53" s="6" t="str">
        <f>Timeline!M$14</f>
        <v>26/27</v>
      </c>
      <c r="N53" s="6" t="str">
        <f>Timeline!N$14</f>
        <v>27/28</v>
      </c>
      <c r="O53" s="6" t="str">
        <f>Timeline!O$14</f>
        <v>28/29</v>
      </c>
      <c r="P53" s="6" t="str">
        <f>Timeline!P$14</f>
        <v>29/30</v>
      </c>
      <c r="Q53" s="6" t="str">
        <f>Timeline!Q$14</f>
        <v>30/31</v>
      </c>
      <c r="R53" s="6" t="str">
        <f>Timeline!R$14</f>
        <v>31/32</v>
      </c>
      <c r="S53" s="6" t="str">
        <f>Timeline!S$14</f>
        <v>32/33</v>
      </c>
      <c r="T53" s="6" t="str">
        <f>Timeline!T$14</f>
        <v>33/34</v>
      </c>
      <c r="U53" s="6" t="str">
        <f>Timeline!U$14</f>
        <v>34/35</v>
      </c>
      <c r="V53" s="6" t="str">
        <f>Timeline!V$14</f>
        <v>35/36</v>
      </c>
      <c r="W53" s="6" t="str">
        <f>Timeline!W$14</f>
        <v>36/37</v>
      </c>
      <c r="X53" s="6" t="str">
        <f>Timeline!X$14</f>
        <v>37/38</v>
      </c>
      <c r="Y53" s="6" t="str">
        <f>Timeline!Y$14</f>
        <v>38/39</v>
      </c>
      <c r="Z53" s="6" t="str">
        <f>Timeline!Z$14</f>
        <v>39/40</v>
      </c>
      <c r="AA53" s="6" t="str">
        <f>Timeline!AA$14</f>
        <v>40/41</v>
      </c>
      <c r="AB53" s="6" t="str">
        <f>Timeline!AB$14</f>
        <v>41/42</v>
      </c>
      <c r="AC53" s="6" t="str">
        <f>Timeline!AC$14</f>
        <v>42/43</v>
      </c>
      <c r="AD53" s="6" t="str">
        <f>Timeline!AD$14</f>
        <v>43/44</v>
      </c>
      <c r="AE53" s="6" t="str">
        <f>Timeline!AE$14</f>
        <v>44/45</v>
      </c>
      <c r="AF53" s="6" t="str">
        <f>Timeline!AF$14</f>
        <v>45/46</v>
      </c>
      <c r="AG53" s="6" t="str">
        <f>Timeline!AG$14</f>
        <v>46/47</v>
      </c>
      <c r="AH53" s="6" t="str">
        <f>Timeline!AH$14</f>
        <v>47/48</v>
      </c>
      <c r="AI53" s="6" t="str">
        <f>Timeline!AI$14</f>
        <v>48/49</v>
      </c>
      <c r="AJ53" s="6" t="str">
        <f>Timeline!AJ$14</f>
        <v>49/50</v>
      </c>
      <c r="AK53" s="6" t="str">
        <f>Timeline!AK$14</f>
        <v>50/51</v>
      </c>
      <c r="AL53" s="6" t="str">
        <f>Timeline!AL$14</f>
        <v>51/52</v>
      </c>
      <c r="AM53" s="6" t="str">
        <f>Timeline!AM$14</f>
        <v>52/53</v>
      </c>
      <c r="AN53" s="6" t="str">
        <f>Timeline!AN$14</f>
        <v>53/54</v>
      </c>
      <c r="AO53" s="6" t="str">
        <f>Timeline!AO$14</f>
        <v>54/55</v>
      </c>
      <c r="AP53" s="6" t="str">
        <f>Timeline!AP$14</f>
        <v>55/56</v>
      </c>
      <c r="AQ53" s="6" t="str">
        <f>Timeline!AQ$14</f>
        <v>56/57</v>
      </c>
      <c r="AR53" s="6" t="str">
        <f>Timeline!AR$14</f>
        <v>57/58</v>
      </c>
      <c r="AS53" s="6" t="str">
        <f>Timeline!AS$14</f>
        <v>58/59</v>
      </c>
      <c r="AT53" s="6" t="str">
        <f>Timeline!AT$14</f>
        <v>59/60</v>
      </c>
      <c r="AU53" s="6" t="str">
        <f>Timeline!AU$14</f>
        <v>60/61</v>
      </c>
      <c r="AV53" s="6" t="str">
        <f>Timeline!AV$14</f>
        <v>61/62</v>
      </c>
      <c r="AW53" s="6" t="str">
        <f>Timeline!AW$14</f>
        <v>62/63</v>
      </c>
      <c r="AX53" s="6" t="str">
        <f>Timeline!AX$14</f>
        <v>63/64</v>
      </c>
      <c r="AY53" s="6" t="str">
        <f>Timeline!AY$14</f>
        <v>64/65</v>
      </c>
      <c r="AZ53" s="6" t="str">
        <f>Timeline!AZ$14</f>
        <v>65/66</v>
      </c>
      <c r="BA53" s="6" t="str">
        <f>Timeline!BA$14</f>
        <v>66/67</v>
      </c>
      <c r="BB53" s="6" t="str">
        <f>Timeline!BB$14</f>
        <v>67/68</v>
      </c>
      <c r="BC53" s="6" t="str">
        <f>Timeline!BC$14</f>
        <v>68/69</v>
      </c>
      <c r="BD53" s="6" t="str">
        <f>Timeline!BD$14</f>
        <v>69/70</v>
      </c>
      <c r="BE53" s="6" t="str">
        <f>Timeline!BE$14</f>
        <v>70/71</v>
      </c>
      <c r="BF53" s="6" t="str">
        <f>Timeline!BF$14</f>
        <v>71/72</v>
      </c>
      <c r="BG53" s="6" t="str">
        <f>Timeline!BG$14</f>
        <v>72/73</v>
      </c>
      <c r="BH53" s="6" t="str">
        <f>Timeline!BH$14</f>
        <v>73/74</v>
      </c>
      <c r="BI53" s="6" t="str">
        <f>Timeline!BI$14</f>
        <v>74/75</v>
      </c>
      <c r="BJ53" s="6" t="str">
        <f>Timeline!BJ$14</f>
        <v>75/76</v>
      </c>
      <c r="BK53" s="6" t="str">
        <f>Timeline!BK$14</f>
        <v>76/77</v>
      </c>
      <c r="BL53" s="6" t="str">
        <f>Timeline!BL$14</f>
        <v>77/78</v>
      </c>
      <c r="BM53" s="6" t="str">
        <f>Timeline!BM$14</f>
        <v>78/79</v>
      </c>
      <c r="BN53" s="6" t="str">
        <f>Timeline!BN$14</f>
        <v>79/80</v>
      </c>
      <c r="BO53" s="6" t="str">
        <f>Timeline!BO$14</f>
        <v>80/81</v>
      </c>
      <c r="BP53" s="6" t="str">
        <f>Timeline!BP$14</f>
        <v>81/82</v>
      </c>
      <c r="BQ53" s="6" t="str">
        <f>Timeline!BQ$14</f>
        <v>82/83</v>
      </c>
      <c r="BR53" s="6" t="str">
        <f>Timeline!BR$14</f>
        <v>83/84</v>
      </c>
      <c r="BS53" s="6" t="str">
        <f>Timeline!BS$14</f>
        <v>84/85</v>
      </c>
      <c r="BT53" s="6" t="str">
        <f>Timeline!BT$14</f>
        <v>85/86</v>
      </c>
      <c r="BU53" s="6" t="str">
        <f>Timeline!BU$14</f>
        <v>86/87</v>
      </c>
      <c r="BV53" s="6" t="str">
        <f>Timeline!BV$14</f>
        <v>87/88</v>
      </c>
      <c r="BW53" s="6" t="str">
        <f>Timeline!BW$14</f>
        <v>88/89</v>
      </c>
      <c r="BX53" s="6" t="str">
        <f>Timeline!BX$14</f>
        <v>89/90</v>
      </c>
      <c r="BY53" s="6" t="str">
        <f>Timeline!BY$14</f>
        <v>90/91</v>
      </c>
      <c r="BZ53" s="6" t="str">
        <f>Timeline!BZ$14</f>
        <v>91/92</v>
      </c>
      <c r="CA53" s="6" t="str">
        <f>Timeline!CA$14</f>
        <v>92/93</v>
      </c>
      <c r="CB53" s="6" t="str">
        <f>Timeline!CB$14</f>
        <v>93/94</v>
      </c>
      <c r="CC53" s="6" t="str">
        <f>Timeline!CC$14</f>
        <v>94/95</v>
      </c>
      <c r="CD53" s="6" t="str">
        <f>Timeline!CD$14</f>
        <v>95/96</v>
      </c>
      <c r="CE53" s="6" t="str">
        <f>Timeline!CE$14</f>
        <v>96/97</v>
      </c>
      <c r="CF53" s="6" t="str">
        <f>Timeline!CF$14</f>
        <v>97/98</v>
      </c>
      <c r="CG53" s="6" t="str">
        <f>Timeline!CG$14</f>
        <v>98/99</v>
      </c>
      <c r="CH53" s="6" t="str">
        <f>Timeline!CH$14</f>
        <v>99/00</v>
      </c>
      <c r="CI53" s="6" t="str">
        <f>Timeline!CI$14</f>
        <v>00/01</v>
      </c>
      <c r="CJ53" s="6" t="str">
        <f>Timeline!CJ$14</f>
        <v>01/02</v>
      </c>
      <c r="CK53" s="6" t="str">
        <f>Timeline!CK$14</f>
        <v>02/03</v>
      </c>
      <c r="CL53" s="6" t="str">
        <f>Timeline!CL$14</f>
        <v>03/04</v>
      </c>
      <c r="CM53" s="6" t="str">
        <f>Timeline!CM$14</f>
        <v>04/05</v>
      </c>
      <c r="CN53" s="6" t="str">
        <f>Timeline!CN$14</f>
        <v>05/06</v>
      </c>
      <c r="CO53" s="6" t="str">
        <f>Timeline!CO$14</f>
        <v>06/07</v>
      </c>
      <c r="CP53" s="6" t="str">
        <f>Timeline!CP$14</f>
        <v>07/08</v>
      </c>
      <c r="CQ53" s="6" t="str">
        <f>Timeline!CQ$14</f>
        <v>08/09</v>
      </c>
    </row>
    <row r="54" spans="3:95" x14ac:dyDescent="0.3">
      <c r="C54" s="7" t="s">
        <v>55</v>
      </c>
      <c r="F54" s="24">
        <v>3.5000000000000003E-2</v>
      </c>
      <c r="G54" s="24">
        <v>3.5000000000000003E-2</v>
      </c>
      <c r="H54" s="24">
        <v>3.5000000000000003E-2</v>
      </c>
      <c r="I54" s="24">
        <v>3.5000000000000003E-2</v>
      </c>
      <c r="J54" s="24">
        <v>3.5000000000000003E-2</v>
      </c>
      <c r="K54" s="24">
        <v>3.5000000000000003E-2</v>
      </c>
      <c r="L54" s="24">
        <v>3.5000000000000003E-2</v>
      </c>
      <c r="M54" s="24">
        <v>3.5000000000000003E-2</v>
      </c>
      <c r="N54" s="24">
        <v>3.5000000000000003E-2</v>
      </c>
      <c r="O54" s="24">
        <v>3.5000000000000003E-2</v>
      </c>
      <c r="P54" s="24">
        <v>3.5000000000000003E-2</v>
      </c>
      <c r="Q54" s="24">
        <v>3.5000000000000003E-2</v>
      </c>
      <c r="R54" s="24">
        <v>3.5000000000000003E-2</v>
      </c>
      <c r="S54" s="24">
        <v>3.5000000000000003E-2</v>
      </c>
      <c r="T54" s="24">
        <v>3.5000000000000003E-2</v>
      </c>
      <c r="U54" s="24">
        <v>3.5000000000000003E-2</v>
      </c>
      <c r="V54" s="24">
        <v>3.5000000000000003E-2</v>
      </c>
      <c r="W54" s="24">
        <v>3.5000000000000003E-2</v>
      </c>
      <c r="X54" s="24">
        <v>3.5000000000000003E-2</v>
      </c>
      <c r="Y54" s="24">
        <v>3.5000000000000003E-2</v>
      </c>
      <c r="Z54" s="24">
        <v>3.5000000000000003E-2</v>
      </c>
      <c r="AA54" s="24">
        <v>3.5000000000000003E-2</v>
      </c>
      <c r="AB54" s="24">
        <v>3.5000000000000003E-2</v>
      </c>
      <c r="AC54" s="24">
        <v>3.5000000000000003E-2</v>
      </c>
      <c r="AD54" s="24">
        <v>3.5000000000000003E-2</v>
      </c>
      <c r="AE54" s="24">
        <v>3.5000000000000003E-2</v>
      </c>
      <c r="AF54" s="24">
        <v>3.5000000000000003E-2</v>
      </c>
      <c r="AG54" s="24">
        <v>3.5000000000000003E-2</v>
      </c>
      <c r="AH54" s="24">
        <v>3.5000000000000003E-2</v>
      </c>
      <c r="AI54" s="24">
        <v>3.5000000000000003E-2</v>
      </c>
      <c r="AJ54" s="24">
        <v>0.03</v>
      </c>
      <c r="AK54" s="24">
        <v>0.03</v>
      </c>
      <c r="AL54" s="24">
        <v>0.03</v>
      </c>
      <c r="AM54" s="24">
        <v>0.03</v>
      </c>
      <c r="AN54" s="24">
        <v>0.03</v>
      </c>
      <c r="AO54" s="24">
        <v>0.03</v>
      </c>
      <c r="AP54" s="24">
        <v>0.03</v>
      </c>
      <c r="AQ54" s="24">
        <v>0.03</v>
      </c>
      <c r="AR54" s="24">
        <v>0.03</v>
      </c>
      <c r="AS54" s="24">
        <v>0.03</v>
      </c>
      <c r="AT54" s="24">
        <v>0.03</v>
      </c>
      <c r="AU54" s="24">
        <v>0.03</v>
      </c>
      <c r="AV54" s="24">
        <v>0.03</v>
      </c>
      <c r="AW54" s="24">
        <v>0.03</v>
      </c>
      <c r="AX54" s="24">
        <v>0.03</v>
      </c>
      <c r="AY54" s="24">
        <v>0.03</v>
      </c>
      <c r="AZ54" s="24">
        <v>0.03</v>
      </c>
      <c r="BA54" s="24">
        <v>0.03</v>
      </c>
      <c r="BB54" s="24">
        <v>0.03</v>
      </c>
      <c r="BC54" s="24">
        <v>0.03</v>
      </c>
      <c r="BD54" s="24">
        <v>0.03</v>
      </c>
      <c r="BE54" s="24">
        <v>0.03</v>
      </c>
      <c r="BF54" s="24">
        <v>0.03</v>
      </c>
      <c r="BG54" s="24">
        <v>0.03</v>
      </c>
      <c r="BH54" s="24">
        <v>0.03</v>
      </c>
      <c r="BI54" s="24">
        <v>0.03</v>
      </c>
      <c r="BJ54" s="24">
        <v>0.03</v>
      </c>
      <c r="BK54" s="24">
        <v>0.03</v>
      </c>
      <c r="BL54" s="24">
        <v>0.03</v>
      </c>
      <c r="BM54" s="24">
        <v>0.03</v>
      </c>
      <c r="BN54" s="24">
        <v>0.03</v>
      </c>
      <c r="BO54" s="24">
        <v>0.03</v>
      </c>
      <c r="BP54" s="24">
        <v>0.03</v>
      </c>
      <c r="BQ54" s="24">
        <v>0.03</v>
      </c>
      <c r="BR54" s="24">
        <v>0.03</v>
      </c>
      <c r="BS54" s="24">
        <v>0.03</v>
      </c>
      <c r="BT54" s="24">
        <v>0.03</v>
      </c>
      <c r="BU54" s="24">
        <v>0.03</v>
      </c>
      <c r="BV54" s="24">
        <v>0.03</v>
      </c>
      <c r="BW54" s="24">
        <v>0.03</v>
      </c>
      <c r="BX54" s="24">
        <v>0.03</v>
      </c>
      <c r="BY54" s="24">
        <v>0.03</v>
      </c>
      <c r="BZ54" s="24">
        <v>0.03</v>
      </c>
      <c r="CA54" s="24">
        <v>0.03</v>
      </c>
      <c r="CB54" s="24">
        <v>0.03</v>
      </c>
      <c r="CC54" s="24">
        <v>2.5000000000000001E-2</v>
      </c>
      <c r="CD54" s="24">
        <v>2.5000000000000001E-2</v>
      </c>
      <c r="CE54" s="24">
        <v>2.5000000000000001E-2</v>
      </c>
      <c r="CF54" s="24">
        <v>2.5000000000000001E-2</v>
      </c>
      <c r="CG54" s="24">
        <v>2.5000000000000001E-2</v>
      </c>
      <c r="CH54" s="24">
        <v>2.5000000000000001E-2</v>
      </c>
      <c r="CI54" s="24">
        <v>2.5000000000000001E-2</v>
      </c>
      <c r="CJ54" s="24">
        <v>2.5000000000000001E-2</v>
      </c>
      <c r="CK54" s="24">
        <v>2.5000000000000001E-2</v>
      </c>
      <c r="CL54" s="24">
        <v>2.5000000000000001E-2</v>
      </c>
      <c r="CM54" s="24">
        <v>2.5000000000000001E-2</v>
      </c>
      <c r="CN54" s="24">
        <v>2.5000000000000001E-2</v>
      </c>
      <c r="CO54" s="24">
        <v>2.5000000000000001E-2</v>
      </c>
      <c r="CP54" s="24">
        <v>2.5000000000000001E-2</v>
      </c>
      <c r="CQ54" s="24">
        <v>2.5000000000000001E-2</v>
      </c>
    </row>
    <row r="55" spans="3:95" x14ac:dyDescent="0.3">
      <c r="C55" s="7" t="s">
        <v>100</v>
      </c>
      <c r="F55" s="24">
        <v>0.02</v>
      </c>
      <c r="G55" s="24">
        <v>1.9E-2</v>
      </c>
      <c r="H55" s="24">
        <v>1.9E-2</v>
      </c>
      <c r="I55" s="24">
        <v>0.02</v>
      </c>
      <c r="J55" s="24">
        <v>0.02</v>
      </c>
      <c r="K55" s="24">
        <v>2.3E-2</v>
      </c>
      <c r="L55" s="24">
        <v>2.3E-2</v>
      </c>
      <c r="M55" s="24">
        <v>2.3E-2</v>
      </c>
      <c r="N55" s="24">
        <v>2.3E-2</v>
      </c>
      <c r="O55" s="24">
        <v>2.3E-2</v>
      </c>
      <c r="P55" s="24">
        <v>2.3E-2</v>
      </c>
      <c r="Q55" s="24">
        <v>2.3E-2</v>
      </c>
      <c r="R55" s="24">
        <v>2.3E-2</v>
      </c>
      <c r="S55" s="24">
        <v>2.3E-2</v>
      </c>
      <c r="T55" s="24">
        <v>2.3E-2</v>
      </c>
      <c r="U55" s="24">
        <v>2.3E-2</v>
      </c>
      <c r="V55" s="24">
        <v>2.3E-2</v>
      </c>
      <c r="W55" s="24">
        <v>2.3E-2</v>
      </c>
      <c r="X55" s="24">
        <v>2.3E-2</v>
      </c>
      <c r="Y55" s="24">
        <v>2.3E-2</v>
      </c>
      <c r="Z55" s="24">
        <v>2.3E-2</v>
      </c>
      <c r="AA55" s="24">
        <v>2.3E-2</v>
      </c>
      <c r="AB55" s="24">
        <v>2.3E-2</v>
      </c>
      <c r="AC55" s="24">
        <v>2.3E-2</v>
      </c>
      <c r="AD55" s="24">
        <v>2.3E-2</v>
      </c>
      <c r="AE55" s="24">
        <v>2.3E-2</v>
      </c>
      <c r="AF55" s="24">
        <v>2.3E-2</v>
      </c>
      <c r="AG55" s="24">
        <v>2.3E-2</v>
      </c>
      <c r="AH55" s="24">
        <v>2.3E-2</v>
      </c>
      <c r="AI55" s="24">
        <v>2.3E-2</v>
      </c>
      <c r="AJ55" s="24">
        <v>2.3E-2</v>
      </c>
      <c r="AK55" s="24">
        <v>2.3E-2</v>
      </c>
      <c r="AL55" s="24">
        <v>2.3E-2</v>
      </c>
      <c r="AM55" s="24">
        <v>2.3E-2</v>
      </c>
      <c r="AN55" s="24">
        <v>2.3E-2</v>
      </c>
      <c r="AO55" s="24">
        <v>2.3E-2</v>
      </c>
      <c r="AP55" s="24">
        <v>2.3E-2</v>
      </c>
      <c r="AQ55" s="24">
        <v>2.3E-2</v>
      </c>
      <c r="AR55" s="24">
        <v>2.3E-2</v>
      </c>
      <c r="AS55" s="24">
        <v>2.3E-2</v>
      </c>
      <c r="AT55" s="24">
        <v>2.3E-2</v>
      </c>
      <c r="AU55" s="24">
        <v>2.3E-2</v>
      </c>
      <c r="AV55" s="24">
        <v>2.3E-2</v>
      </c>
      <c r="AW55" s="24">
        <v>2.3E-2</v>
      </c>
      <c r="AX55" s="24">
        <v>2.3E-2</v>
      </c>
      <c r="AY55" s="24">
        <v>2.3E-2</v>
      </c>
      <c r="AZ55" s="24">
        <v>2.3E-2</v>
      </c>
      <c r="BA55" s="24">
        <v>2.3E-2</v>
      </c>
      <c r="BB55" s="24">
        <v>2.3E-2</v>
      </c>
      <c r="BC55" s="24">
        <v>2.3E-2</v>
      </c>
      <c r="BD55" s="24">
        <v>2.3E-2</v>
      </c>
      <c r="BE55" s="24">
        <v>2.3E-2</v>
      </c>
      <c r="BF55" s="24">
        <v>2.3E-2</v>
      </c>
      <c r="BG55" s="24">
        <v>2.3E-2</v>
      </c>
      <c r="BH55" s="24">
        <v>2.3E-2</v>
      </c>
      <c r="BI55" s="24">
        <v>2.3E-2</v>
      </c>
      <c r="BJ55" s="24">
        <v>2.3E-2</v>
      </c>
      <c r="BK55" s="24">
        <v>2.3E-2</v>
      </c>
      <c r="BL55" s="24">
        <v>2.3E-2</v>
      </c>
      <c r="BM55" s="24">
        <v>2.3E-2</v>
      </c>
      <c r="BN55" s="24">
        <v>2.3E-2</v>
      </c>
      <c r="BO55" s="24">
        <v>2.3E-2</v>
      </c>
      <c r="BP55" s="24">
        <v>2.3E-2</v>
      </c>
      <c r="BQ55" s="24">
        <v>2.3E-2</v>
      </c>
      <c r="BR55" s="24">
        <v>2.3E-2</v>
      </c>
      <c r="BS55" s="24">
        <v>2.3E-2</v>
      </c>
      <c r="BT55" s="24">
        <v>2.3E-2</v>
      </c>
      <c r="BU55" s="24">
        <v>2.3E-2</v>
      </c>
      <c r="BV55" s="24">
        <v>2.3E-2</v>
      </c>
      <c r="BW55" s="24">
        <v>2.3E-2</v>
      </c>
      <c r="BX55" s="24">
        <v>2.3E-2</v>
      </c>
      <c r="BY55" s="24">
        <v>2.3E-2</v>
      </c>
      <c r="BZ55" s="24">
        <v>2.3E-2</v>
      </c>
      <c r="CA55" s="24">
        <v>2.3E-2</v>
      </c>
      <c r="CB55" s="24">
        <v>2.3E-2</v>
      </c>
      <c r="CC55" s="24">
        <v>2.3E-2</v>
      </c>
      <c r="CD55" s="24">
        <v>2.3E-2</v>
      </c>
      <c r="CE55" s="24">
        <v>2.3E-2</v>
      </c>
      <c r="CF55" s="24">
        <v>2.3E-2</v>
      </c>
      <c r="CG55" s="24">
        <v>2.3E-2</v>
      </c>
      <c r="CH55" s="24">
        <v>2.3E-2</v>
      </c>
      <c r="CI55" s="24">
        <v>2.3E-2</v>
      </c>
      <c r="CJ55" s="24">
        <v>2.3E-2</v>
      </c>
      <c r="CK55" s="24">
        <v>2.3E-2</v>
      </c>
      <c r="CL55" s="24">
        <v>2.3E-2</v>
      </c>
      <c r="CM55" s="24">
        <v>2.3E-2</v>
      </c>
      <c r="CN55" s="24">
        <v>2.3E-2</v>
      </c>
      <c r="CO55" s="24">
        <v>2.3E-2</v>
      </c>
      <c r="CP55" s="24">
        <v>2.3E-2</v>
      </c>
      <c r="CQ55" s="24">
        <v>2.3E-2</v>
      </c>
    </row>
    <row r="57" spans="3:95" x14ac:dyDescent="0.3">
      <c r="F57" s="20">
        <f>Timeline!F17</f>
        <v>0</v>
      </c>
      <c r="G57" s="20">
        <f>Timeline!G17</f>
        <v>1</v>
      </c>
      <c r="H57" s="20">
        <f>Timeline!H17</f>
        <v>2</v>
      </c>
      <c r="I57" s="20">
        <f>Timeline!I17</f>
        <v>3</v>
      </c>
      <c r="J57" s="20">
        <f>Timeline!J17</f>
        <v>4</v>
      </c>
      <c r="K57" s="20">
        <f>Timeline!K17</f>
        <v>5</v>
      </c>
      <c r="L57" s="20">
        <f>Timeline!L17</f>
        <v>6</v>
      </c>
      <c r="M57" s="20">
        <f>Timeline!M17</f>
        <v>7</v>
      </c>
      <c r="N57" s="20">
        <f>Timeline!N17</f>
        <v>8</v>
      </c>
      <c r="O57" s="20">
        <f>Timeline!O17</f>
        <v>9</v>
      </c>
      <c r="P57" s="20">
        <f>Timeline!P17</f>
        <v>10</v>
      </c>
      <c r="Q57" s="20">
        <f>Timeline!Q17</f>
        <v>11</v>
      </c>
      <c r="R57" s="20">
        <f>Timeline!R17</f>
        <v>12</v>
      </c>
      <c r="S57" s="20">
        <f>Timeline!S17</f>
        <v>13</v>
      </c>
      <c r="T57" s="20">
        <f>Timeline!T17</f>
        <v>14</v>
      </c>
      <c r="U57" s="20">
        <f>Timeline!U17</f>
        <v>15</v>
      </c>
      <c r="V57" s="20">
        <f>Timeline!V17</f>
        <v>16</v>
      </c>
      <c r="W57" s="20">
        <f>Timeline!W17</f>
        <v>17</v>
      </c>
      <c r="X57" s="20">
        <f>Timeline!X17</f>
        <v>18</v>
      </c>
      <c r="Y57" s="20">
        <f>Timeline!Y17</f>
        <v>19</v>
      </c>
      <c r="Z57" s="20">
        <f>Timeline!Z17</f>
        <v>20</v>
      </c>
      <c r="AA57" s="20">
        <f>Timeline!AA17</f>
        <v>21</v>
      </c>
      <c r="AB57" s="20">
        <f>Timeline!AB17</f>
        <v>22</v>
      </c>
      <c r="AC57" s="20">
        <f>Timeline!AC17</f>
        <v>23</v>
      </c>
      <c r="AD57" s="20">
        <f>Timeline!AD17</f>
        <v>24</v>
      </c>
      <c r="AE57" s="20">
        <f>Timeline!AE17</f>
        <v>25</v>
      </c>
      <c r="AF57" s="20">
        <f>Timeline!AF17</f>
        <v>26</v>
      </c>
      <c r="AG57" s="20">
        <f>Timeline!AG17</f>
        <v>27</v>
      </c>
      <c r="AH57" s="20">
        <f>Timeline!AH17</f>
        <v>28</v>
      </c>
      <c r="AI57" s="20">
        <f>Timeline!AI17</f>
        <v>29</v>
      </c>
      <c r="AJ57" s="20">
        <f>Timeline!AJ17</f>
        <v>30</v>
      </c>
      <c r="AK57" s="20">
        <f>Timeline!AK17</f>
        <v>31</v>
      </c>
      <c r="AL57" s="20">
        <f>Timeline!AL17</f>
        <v>32</v>
      </c>
      <c r="AM57" s="20">
        <f>Timeline!AM17</f>
        <v>33</v>
      </c>
      <c r="AN57" s="20">
        <f>Timeline!AN17</f>
        <v>34</v>
      </c>
      <c r="AO57" s="20">
        <f>Timeline!AO17</f>
        <v>35</v>
      </c>
      <c r="AP57" s="20">
        <f>Timeline!AP17</f>
        <v>36</v>
      </c>
      <c r="AQ57" s="20">
        <f>Timeline!AQ17</f>
        <v>37</v>
      </c>
      <c r="AR57" s="20">
        <f>Timeline!AR17</f>
        <v>38</v>
      </c>
      <c r="AS57" s="20">
        <f>Timeline!AS17</f>
        <v>39</v>
      </c>
      <c r="AT57" s="20">
        <f>Timeline!AT17</f>
        <v>40</v>
      </c>
      <c r="AU57" s="20">
        <f>Timeline!AU17</f>
        <v>41</v>
      </c>
      <c r="AV57" s="20">
        <f>Timeline!AV17</f>
        <v>42</v>
      </c>
      <c r="AW57" s="20">
        <f>Timeline!AW17</f>
        <v>43</v>
      </c>
      <c r="AX57" s="20">
        <f>Timeline!AX17</f>
        <v>44</v>
      </c>
      <c r="AY57" s="20">
        <f>Timeline!AY17</f>
        <v>45</v>
      </c>
      <c r="AZ57" s="20">
        <f>Timeline!AZ17</f>
        <v>46</v>
      </c>
      <c r="BA57" s="20">
        <f>Timeline!BA17</f>
        <v>47</v>
      </c>
      <c r="BB57" s="20">
        <f>Timeline!BB17</f>
        <v>48</v>
      </c>
      <c r="BC57" s="20">
        <f>Timeline!BC17</f>
        <v>49</v>
      </c>
      <c r="BD57" s="20">
        <f>Timeline!BD17</f>
        <v>50</v>
      </c>
      <c r="BE57" s="20">
        <f>Timeline!BE17</f>
        <v>51</v>
      </c>
      <c r="BF57" s="20">
        <f>Timeline!BF17</f>
        <v>52</v>
      </c>
      <c r="BG57" s="20">
        <f>Timeline!BG17</f>
        <v>53</v>
      </c>
      <c r="BH57" s="20">
        <f>Timeline!BH17</f>
        <v>54</v>
      </c>
      <c r="BI57" s="20">
        <f>Timeline!BI17</f>
        <v>55</v>
      </c>
      <c r="BJ57" s="20">
        <f>Timeline!BJ17</f>
        <v>56</v>
      </c>
      <c r="BK57" s="20">
        <f>Timeline!BK17</f>
        <v>57</v>
      </c>
      <c r="BL57" s="20">
        <f>Timeline!BL17</f>
        <v>58</v>
      </c>
      <c r="BM57" s="20">
        <f>Timeline!BM17</f>
        <v>59</v>
      </c>
      <c r="BN57" s="20">
        <f>Timeline!BN17</f>
        <v>60</v>
      </c>
      <c r="BO57" s="20">
        <f>Timeline!BO17</f>
        <v>61</v>
      </c>
      <c r="BP57" s="20">
        <f>Timeline!BP17</f>
        <v>62</v>
      </c>
      <c r="BQ57" s="20">
        <f>Timeline!BQ17</f>
        <v>63</v>
      </c>
      <c r="BR57" s="20">
        <f>Timeline!BR17</f>
        <v>64</v>
      </c>
      <c r="BS57" s="20">
        <f>Timeline!BS17</f>
        <v>65</v>
      </c>
      <c r="BT57" s="20">
        <f>Timeline!BT17</f>
        <v>66</v>
      </c>
      <c r="BU57" s="20">
        <f>Timeline!BU17</f>
        <v>67</v>
      </c>
      <c r="BV57" s="20">
        <f>Timeline!BV17</f>
        <v>68</v>
      </c>
      <c r="BW57" s="20">
        <f>Timeline!BW17</f>
        <v>69</v>
      </c>
      <c r="BX57" s="20">
        <f>Timeline!BX17</f>
        <v>70</v>
      </c>
      <c r="BY57" s="20">
        <f>Timeline!BY17</f>
        <v>71</v>
      </c>
      <c r="BZ57" s="20">
        <f>Timeline!BZ17</f>
        <v>72</v>
      </c>
      <c r="CA57" s="20">
        <f>Timeline!CA17</f>
        <v>73</v>
      </c>
      <c r="CB57" s="20">
        <f>Timeline!CB17</f>
        <v>74</v>
      </c>
      <c r="CC57" s="20">
        <f>Timeline!CC17</f>
        <v>75</v>
      </c>
      <c r="CD57" s="20">
        <f>Timeline!CD17</f>
        <v>76</v>
      </c>
      <c r="CE57" s="20">
        <f>Timeline!CE17</f>
        <v>77</v>
      </c>
      <c r="CF57" s="20">
        <f>Timeline!CF17</f>
        <v>78</v>
      </c>
      <c r="CG57" s="20">
        <f>Timeline!CG17</f>
        <v>79</v>
      </c>
      <c r="CH57" s="20">
        <f>Timeline!CH17</f>
        <v>80</v>
      </c>
      <c r="CI57" s="20">
        <f>Timeline!CI17</f>
        <v>81</v>
      </c>
      <c r="CJ57" s="20">
        <f>Timeline!CJ17</f>
        <v>82</v>
      </c>
      <c r="CK57" s="20">
        <f>Timeline!CK17</f>
        <v>83</v>
      </c>
      <c r="CL57" s="20">
        <f>Timeline!CL17</f>
        <v>84</v>
      </c>
      <c r="CM57" s="20">
        <f>Timeline!CM17</f>
        <v>85</v>
      </c>
      <c r="CN57" s="20">
        <f>Timeline!CN17</f>
        <v>86</v>
      </c>
      <c r="CO57" s="20">
        <f>Timeline!CO17</f>
        <v>87</v>
      </c>
      <c r="CP57" s="20">
        <f>Timeline!CP17</f>
        <v>88</v>
      </c>
      <c r="CQ57" s="20">
        <f>Timeline!CQ17</f>
        <v>89</v>
      </c>
    </row>
    <row r="58" spans="3:95" x14ac:dyDescent="0.3">
      <c r="C58" s="11" t="s">
        <v>172</v>
      </c>
      <c r="F58" s="6" t="str">
        <f>Timeline!F$14</f>
        <v>19/20</v>
      </c>
      <c r="G58" s="6" t="str">
        <f>Timeline!G$14</f>
        <v>20/21</v>
      </c>
      <c r="H58" s="6" t="str">
        <f>Timeline!H$14</f>
        <v>21/22</v>
      </c>
      <c r="I58" s="6" t="str">
        <f>Timeline!I$14</f>
        <v>22/23</v>
      </c>
      <c r="J58" s="6" t="str">
        <f>Timeline!J$14</f>
        <v>23/24</v>
      </c>
      <c r="K58" s="6" t="str">
        <f>Timeline!K$14</f>
        <v>24/25</v>
      </c>
      <c r="L58" s="6" t="str">
        <f>Timeline!L$14</f>
        <v>25/26</v>
      </c>
      <c r="M58" s="6" t="str">
        <f>Timeline!M$14</f>
        <v>26/27</v>
      </c>
      <c r="N58" s="6" t="str">
        <f>Timeline!N$14</f>
        <v>27/28</v>
      </c>
      <c r="O58" s="6" t="str">
        <f>Timeline!O$14</f>
        <v>28/29</v>
      </c>
      <c r="P58" s="6" t="str">
        <f>Timeline!P$14</f>
        <v>29/30</v>
      </c>
      <c r="Q58" s="6" t="str">
        <f>Timeline!Q$14</f>
        <v>30/31</v>
      </c>
      <c r="R58" s="6" t="str">
        <f>Timeline!R$14</f>
        <v>31/32</v>
      </c>
      <c r="S58" s="6" t="str">
        <f>Timeline!S$14</f>
        <v>32/33</v>
      </c>
      <c r="T58" s="6" t="str">
        <f>Timeline!T$14</f>
        <v>33/34</v>
      </c>
      <c r="U58" s="6" t="str">
        <f>Timeline!U$14</f>
        <v>34/35</v>
      </c>
      <c r="V58" s="6" t="str">
        <f>Timeline!V$14</f>
        <v>35/36</v>
      </c>
      <c r="W58" s="6" t="str">
        <f>Timeline!W$14</f>
        <v>36/37</v>
      </c>
      <c r="X58" s="6" t="str">
        <f>Timeline!X$14</f>
        <v>37/38</v>
      </c>
      <c r="Y58" s="6" t="str">
        <f>Timeline!Y$14</f>
        <v>38/39</v>
      </c>
      <c r="Z58" s="6" t="str">
        <f>Timeline!Z$14</f>
        <v>39/40</v>
      </c>
      <c r="AA58" s="6" t="str">
        <f>Timeline!AA$14</f>
        <v>40/41</v>
      </c>
      <c r="AB58" s="6" t="str">
        <f>Timeline!AB$14</f>
        <v>41/42</v>
      </c>
      <c r="AC58" s="6" t="str">
        <f>Timeline!AC$14</f>
        <v>42/43</v>
      </c>
      <c r="AD58" s="6" t="str">
        <f>Timeline!AD$14</f>
        <v>43/44</v>
      </c>
      <c r="AE58" s="6" t="str">
        <f>Timeline!AE$14</f>
        <v>44/45</v>
      </c>
      <c r="AF58" s="6" t="str">
        <f>Timeline!AF$14</f>
        <v>45/46</v>
      </c>
      <c r="AG58" s="6" t="str">
        <f>Timeline!AG$14</f>
        <v>46/47</v>
      </c>
      <c r="AH58" s="6" t="str">
        <f>Timeline!AH$14</f>
        <v>47/48</v>
      </c>
      <c r="AI58" s="6" t="str">
        <f>Timeline!AI$14</f>
        <v>48/49</v>
      </c>
      <c r="AJ58" s="6" t="str">
        <f>Timeline!AJ$14</f>
        <v>49/50</v>
      </c>
      <c r="AK58" s="6" t="str">
        <f>Timeline!AK$14</f>
        <v>50/51</v>
      </c>
      <c r="AL58" s="6" t="str">
        <f>Timeline!AL$14</f>
        <v>51/52</v>
      </c>
      <c r="AM58" s="6" t="str">
        <f>Timeline!AM$14</f>
        <v>52/53</v>
      </c>
      <c r="AN58" s="6" t="str">
        <f>Timeline!AN$14</f>
        <v>53/54</v>
      </c>
      <c r="AO58" s="6" t="str">
        <f>Timeline!AO$14</f>
        <v>54/55</v>
      </c>
      <c r="AP58" s="6" t="str">
        <f>Timeline!AP$14</f>
        <v>55/56</v>
      </c>
      <c r="AQ58" s="6" t="str">
        <f>Timeline!AQ$14</f>
        <v>56/57</v>
      </c>
      <c r="AR58" s="6" t="str">
        <f>Timeline!AR$14</f>
        <v>57/58</v>
      </c>
      <c r="AS58" s="6" t="str">
        <f>Timeline!AS$14</f>
        <v>58/59</v>
      </c>
      <c r="AT58" s="6" t="str">
        <f>Timeline!AT$14</f>
        <v>59/60</v>
      </c>
      <c r="AU58" s="6" t="str">
        <f>Timeline!AU$14</f>
        <v>60/61</v>
      </c>
      <c r="AV58" s="6" t="str">
        <f>Timeline!AV$14</f>
        <v>61/62</v>
      </c>
      <c r="AW58" s="6" t="str">
        <f>Timeline!AW$14</f>
        <v>62/63</v>
      </c>
      <c r="AX58" s="6" t="str">
        <f>Timeline!AX$14</f>
        <v>63/64</v>
      </c>
      <c r="AY58" s="6" t="str">
        <f>Timeline!AY$14</f>
        <v>64/65</v>
      </c>
      <c r="AZ58" s="6" t="str">
        <f>Timeline!AZ$14</f>
        <v>65/66</v>
      </c>
      <c r="BA58" s="6" t="str">
        <f>Timeline!BA$14</f>
        <v>66/67</v>
      </c>
      <c r="BB58" s="6" t="str">
        <f>Timeline!BB$14</f>
        <v>67/68</v>
      </c>
      <c r="BC58" s="6" t="str">
        <f>Timeline!BC$14</f>
        <v>68/69</v>
      </c>
      <c r="BD58" s="6" t="str">
        <f>Timeline!BD$14</f>
        <v>69/70</v>
      </c>
      <c r="BE58" s="6" t="str">
        <f>Timeline!BE$14</f>
        <v>70/71</v>
      </c>
      <c r="BF58" s="6" t="str">
        <f>Timeline!BF$14</f>
        <v>71/72</v>
      </c>
      <c r="BG58" s="6" t="str">
        <f>Timeline!BG$14</f>
        <v>72/73</v>
      </c>
      <c r="BH58" s="6" t="str">
        <f>Timeline!BH$14</f>
        <v>73/74</v>
      </c>
      <c r="BI58" s="6" t="str">
        <f>Timeline!BI$14</f>
        <v>74/75</v>
      </c>
      <c r="BJ58" s="6" t="str">
        <f>Timeline!BJ$14</f>
        <v>75/76</v>
      </c>
      <c r="BK58" s="6" t="str">
        <f>Timeline!BK$14</f>
        <v>76/77</v>
      </c>
      <c r="BL58" s="6" t="str">
        <f>Timeline!BL$14</f>
        <v>77/78</v>
      </c>
      <c r="BM58" s="6" t="str">
        <f>Timeline!BM$14</f>
        <v>78/79</v>
      </c>
      <c r="BN58" s="6" t="str">
        <f>Timeline!BN$14</f>
        <v>79/80</v>
      </c>
      <c r="BO58" s="6" t="str">
        <f>Timeline!BO$14</f>
        <v>80/81</v>
      </c>
      <c r="BP58" s="6" t="str">
        <f>Timeline!BP$14</f>
        <v>81/82</v>
      </c>
      <c r="BQ58" s="6" t="str">
        <f>Timeline!BQ$14</f>
        <v>82/83</v>
      </c>
      <c r="BR58" s="6" t="str">
        <f>Timeline!BR$14</f>
        <v>83/84</v>
      </c>
      <c r="BS58" s="6" t="str">
        <f>Timeline!BS$14</f>
        <v>84/85</v>
      </c>
      <c r="BT58" s="6" t="str">
        <f>Timeline!BT$14</f>
        <v>85/86</v>
      </c>
      <c r="BU58" s="6" t="str">
        <f>Timeline!BU$14</f>
        <v>86/87</v>
      </c>
      <c r="BV58" s="6" t="str">
        <f>Timeline!BV$14</f>
        <v>87/88</v>
      </c>
      <c r="BW58" s="6" t="str">
        <f>Timeline!BW$14</f>
        <v>88/89</v>
      </c>
      <c r="BX58" s="6" t="str">
        <f>Timeline!BX$14</f>
        <v>89/90</v>
      </c>
      <c r="BY58" s="6" t="str">
        <f>Timeline!BY$14</f>
        <v>90/91</v>
      </c>
      <c r="BZ58" s="6" t="str">
        <f>Timeline!BZ$14</f>
        <v>91/92</v>
      </c>
      <c r="CA58" s="6" t="str">
        <f>Timeline!CA$14</f>
        <v>92/93</v>
      </c>
      <c r="CB58" s="6" t="str">
        <f>Timeline!CB$14</f>
        <v>93/94</v>
      </c>
      <c r="CC58" s="6" t="str">
        <f>Timeline!CC$14</f>
        <v>94/95</v>
      </c>
      <c r="CD58" s="6" t="str">
        <f>Timeline!CD$14</f>
        <v>95/96</v>
      </c>
      <c r="CE58" s="6" t="str">
        <f>Timeline!CE$14</f>
        <v>96/97</v>
      </c>
      <c r="CF58" s="6" t="str">
        <f>Timeline!CF$14</f>
        <v>97/98</v>
      </c>
      <c r="CG58" s="6" t="str">
        <f>Timeline!CG$14</f>
        <v>98/99</v>
      </c>
      <c r="CH58" s="6" t="str">
        <f>Timeline!CH$14</f>
        <v>99/00</v>
      </c>
      <c r="CI58" s="6" t="str">
        <f>Timeline!CI$14</f>
        <v>00/01</v>
      </c>
      <c r="CJ58" s="6" t="str">
        <f>Timeline!CJ$14</f>
        <v>01/02</v>
      </c>
      <c r="CK58" s="6" t="str">
        <f>Timeline!CK$14</f>
        <v>02/03</v>
      </c>
      <c r="CL58" s="6" t="str">
        <f>Timeline!CL$14</f>
        <v>03/04</v>
      </c>
      <c r="CM58" s="6" t="str">
        <f>Timeline!CM$14</f>
        <v>04/05</v>
      </c>
      <c r="CN58" s="6" t="str">
        <f>Timeline!CN$14</f>
        <v>05/06</v>
      </c>
      <c r="CO58" s="6" t="str">
        <f>Timeline!CO$14</f>
        <v>06/07</v>
      </c>
      <c r="CP58" s="6" t="str">
        <f>Timeline!CP$14</f>
        <v>07/08</v>
      </c>
      <c r="CQ58" s="6" t="str">
        <f>Timeline!CQ$14</f>
        <v>08/09</v>
      </c>
    </row>
    <row r="59" spans="3:95" x14ac:dyDescent="0.3">
      <c r="C59" s="51" t="s">
        <v>101</v>
      </c>
      <c r="F59" s="10">
        <f>IF(F57&lt;=0,1,E59*(1/((1+F54)*(1+F55))))</f>
        <v>1</v>
      </c>
      <c r="G59" s="10">
        <f t="shared" ref="G59:BR59" si="31">IF(G57&lt;=0,1,F59*(1/((1+G54)*(1+G55))))</f>
        <v>0.94816837574016422</v>
      </c>
      <c r="H59" s="10">
        <f t="shared" si="31"/>
        <v>0.89902326875374128</v>
      </c>
      <c r="I59" s="10">
        <f t="shared" si="31"/>
        <v>0.85158972127852739</v>
      </c>
      <c r="J59" s="10">
        <f t="shared" si="31"/>
        <v>0.80665882474048256</v>
      </c>
      <c r="K59" s="10">
        <f t="shared" si="31"/>
        <v>0.7618577780993504</v>
      </c>
      <c r="L59" s="10">
        <f t="shared" si="31"/>
        <v>0.71954493801913533</v>
      </c>
      <c r="M59" s="10">
        <f t="shared" si="31"/>
        <v>0.67958211192725326</v>
      </c>
      <c r="N59" s="10">
        <f t="shared" si="31"/>
        <v>0.64183878233220792</v>
      </c>
      <c r="O59" s="10">
        <f t="shared" si="31"/>
        <v>0.60619168055705064</v>
      </c>
      <c r="P59" s="10">
        <f t="shared" si="31"/>
        <v>0.57252438414727047</v>
      </c>
      <c r="Q59" s="10">
        <f t="shared" si="31"/>
        <v>0.54072693663825777</v>
      </c>
      <c r="R59" s="10">
        <f t="shared" si="31"/>
        <v>0.51069548844051349</v>
      </c>
      <c r="S59" s="10">
        <f t="shared" si="31"/>
        <v>0.48233195766974424</v>
      </c>
      <c r="T59" s="10">
        <f t="shared" si="31"/>
        <v>0.45554370981412473</v>
      </c>
      <c r="U59" s="10">
        <f t="shared" si="31"/>
        <v>0.43024325519252821</v>
      </c>
      <c r="V59" s="10">
        <f t="shared" si="31"/>
        <v>0.40634796321563299</v>
      </c>
      <c r="W59" s="10">
        <f t="shared" si="31"/>
        <v>0.38377979251668914</v>
      </c>
      <c r="X59" s="10">
        <f t="shared" si="31"/>
        <v>0.36246503607055991</v>
      </c>
      <c r="Y59" s="10">
        <f t="shared" si="31"/>
        <v>0.34233408046860375</v>
      </c>
      <c r="Z59" s="10">
        <f t="shared" si="31"/>
        <v>0.32332117856319514</v>
      </c>
      <c r="AA59" s="10">
        <f t="shared" si="31"/>
        <v>0.30536423473934787</v>
      </c>
      <c r="AB59" s="10">
        <f t="shared" si="31"/>
        <v>0.28840460211214336</v>
      </c>
      <c r="AC59" s="10">
        <f t="shared" si="31"/>
        <v>0.27238689098761659</v>
      </c>
      <c r="AD59" s="10">
        <f t="shared" si="31"/>
        <v>0.25725878796153839</v>
      </c>
      <c r="AE59" s="10">
        <f t="shared" si="31"/>
        <v>0.24297088506527495</v>
      </c>
      <c r="AF59" s="10">
        <f t="shared" si="31"/>
        <v>0.22947651840072061</v>
      </c>
      <c r="AG59" s="10">
        <f t="shared" si="31"/>
        <v>0.21673161573728936</v>
      </c>
      <c r="AH59" s="10">
        <f t="shared" si="31"/>
        <v>0.20469455257322111</v>
      </c>
      <c r="AI59" s="10">
        <f t="shared" si="31"/>
        <v>0.19332601619110332</v>
      </c>
      <c r="AJ59" s="10">
        <f t="shared" si="31"/>
        <v>0.18347523103674071</v>
      </c>
      <c r="AK59" s="10">
        <f t="shared" si="31"/>
        <v>0.17412638540437958</v>
      </c>
      <c r="AL59" s="10">
        <f t="shared" si="31"/>
        <v>0.16525390333435791</v>
      </c>
      <c r="AM59" s="10">
        <f t="shared" si="31"/>
        <v>0.15683351207125237</v>
      </c>
      <c r="AN59" s="10">
        <f t="shared" si="31"/>
        <v>0.14884217566006355</v>
      </c>
      <c r="AO59" s="10">
        <f t="shared" si="31"/>
        <v>0.14125803192595882</v>
      </c>
      <c r="AP59" s="10">
        <f t="shared" si="31"/>
        <v>0.13406033266516607</v>
      </c>
      <c r="AQ59" s="10">
        <f t="shared" si="31"/>
        <v>0.12722938688339652</v>
      </c>
      <c r="AR59" s="10">
        <f t="shared" si="31"/>
        <v>0.12074650692651209</v>
      </c>
      <c r="AS59" s="10">
        <f t="shared" si="31"/>
        <v>0.11459395735606497</v>
      </c>
      <c r="AT59" s="10">
        <f t="shared" si="31"/>
        <v>0.1087549064298465</v>
      </c>
      <c r="AU59" s="10">
        <f t="shared" si="31"/>
        <v>0.10321338005470918</v>
      </c>
      <c r="AV59" s="10">
        <f t="shared" si="31"/>
        <v>9.7954218085688563E-2</v>
      </c>
      <c r="AW59" s="10">
        <f t="shared" si="31"/>
        <v>9.2963032851871574E-2</v>
      </c>
      <c r="AX59" s="10">
        <f t="shared" si="31"/>
        <v>8.8226169795548579E-2</v>
      </c>
      <c r="AY59" s="10">
        <f t="shared" si="31"/>
        <v>8.3730670116968539E-2</v>
      </c>
      <c r="AZ59" s="10">
        <f t="shared" si="31"/>
        <v>7.9464235322503338E-2</v>
      </c>
      <c r="BA59" s="10">
        <f t="shared" si="31"/>
        <v>7.5415193579234249E-2</v>
      </c>
      <c r="BB59" s="10">
        <f t="shared" si="31"/>
        <v>7.1572467783915808E-2</v>
      </c>
      <c r="BC59" s="10">
        <f t="shared" si="31"/>
        <v>6.7925545258962133E-2</v>
      </c>
      <c r="BD59" s="10">
        <f t="shared" si="31"/>
        <v>6.446444899255202E-2</v>
      </c>
      <c r="BE59" s="10">
        <f t="shared" si="31"/>
        <v>6.1179710344173355E-2</v>
      </c>
      <c r="BF59" s="10">
        <f t="shared" si="31"/>
        <v>5.806234314093648E-2</v>
      </c>
      <c r="BG59" s="10">
        <f t="shared" si="31"/>
        <v>5.5103819093790848E-2</v>
      </c>
      <c r="BH59" s="10">
        <f t="shared" si="31"/>
        <v>5.229604446639035E-2</v>
      </c>
      <c r="BI59" s="10">
        <f t="shared" si="31"/>
        <v>4.9631337932779421E-2</v>
      </c>
      <c r="BJ59" s="10">
        <f t="shared" si="31"/>
        <v>4.7102409563324531E-2</v>
      </c>
      <c r="BK59" s="10">
        <f t="shared" si="31"/>
        <v>4.4702340881402056E-2</v>
      </c>
      <c r="BL59" s="10">
        <f t="shared" si="31"/>
        <v>4.2424565936283021E-2</v>
      </c>
      <c r="BM59" s="10">
        <f t="shared" si="31"/>
        <v>4.0262853340435063E-2</v>
      </c>
      <c r="BN59" s="10">
        <f t="shared" si="31"/>
        <v>3.8211289222100486E-2</v>
      </c>
      <c r="BO59" s="10">
        <f t="shared" si="31"/>
        <v>3.6264261046513195E-2</v>
      </c>
      <c r="BP59" s="10">
        <f t="shared" si="31"/>
        <v>3.4416442261493603E-2</v>
      </c>
      <c r="BQ59" s="10">
        <f t="shared" si="31"/>
        <v>3.2662777725416016E-2</v>
      </c>
      <c r="BR59" s="10">
        <f t="shared" si="31"/>
        <v>3.0998469877683205E-2</v>
      </c>
      <c r="BS59" s="10">
        <f t="shared" ref="BS59:CQ59" si="32">IF(BS57&lt;=0,1,BR59*(1/((1+BS54)*(1+BS55))))</f>
        <v>2.9418965613874293E-2</v>
      </c>
      <c r="BT59" s="10">
        <f t="shared" si="32"/>
        <v>2.7919943829659857E-2</v>
      </c>
      <c r="BU59" s="10">
        <f t="shared" si="32"/>
        <v>2.6497303599407662E-2</v>
      </c>
      <c r="BV59" s="10">
        <f t="shared" si="32"/>
        <v>2.5147152957138878E-2</v>
      </c>
      <c r="BW59" s="10">
        <f t="shared" si="32"/>
        <v>2.3865798249142423E-2</v>
      </c>
      <c r="BX59" s="10">
        <f t="shared" si="32"/>
        <v>2.2649734029119024E-2</v>
      </c>
      <c r="BY59" s="10">
        <f t="shared" si="32"/>
        <v>2.1495633468210786E-2</v>
      </c>
      <c r="BZ59" s="10">
        <f t="shared" si="32"/>
        <v>2.040033925368067E-2</v>
      </c>
      <c r="CA59" s="10">
        <f t="shared" si="32"/>
        <v>1.936085495134306E-2</v>
      </c>
      <c r="CB59" s="10">
        <f t="shared" si="32"/>
        <v>1.8374336808115347E-2</v>
      </c>
      <c r="CC59" s="10">
        <f t="shared" si="32"/>
        <v>1.7523149806275517E-2</v>
      </c>
      <c r="CD59" s="10">
        <f t="shared" si="32"/>
        <v>1.6711393850011226E-2</v>
      </c>
      <c r="CE59" s="10">
        <f t="shared" si="32"/>
        <v>1.5937242305043731E-2</v>
      </c>
      <c r="CF59" s="10">
        <f t="shared" si="32"/>
        <v>1.5198953155514611E-2</v>
      </c>
      <c r="CG59" s="10">
        <f t="shared" si="32"/>
        <v>1.4494865084056566E-2</v>
      </c>
      <c r="CH59" s="10">
        <f t="shared" si="32"/>
        <v>1.3823393733454039E-2</v>
      </c>
      <c r="CI59" s="10">
        <f t="shared" si="32"/>
        <v>1.3183028141481574E-2</v>
      </c>
      <c r="CJ59" s="10">
        <f t="shared" si="32"/>
        <v>1.2572327340897482E-2</v>
      </c>
      <c r="CK59" s="10">
        <f t="shared" si="32"/>
        <v>1.1989917116942025E-2</v>
      </c>
      <c r="CL59" s="10">
        <f t="shared" si="32"/>
        <v>1.1434486915043776E-2</v>
      </c>
      <c r="CM59" s="10">
        <f t="shared" si="32"/>
        <v>1.0904786891775769E-2</v>
      </c>
      <c r="CN59" s="10">
        <f t="shared" si="32"/>
        <v>1.0399625102425454E-2</v>
      </c>
      <c r="CO59" s="10">
        <f t="shared" si="32"/>
        <v>9.9178648188498267E-3</v>
      </c>
      <c r="CP59" s="10">
        <f t="shared" si="32"/>
        <v>9.4584219715803143E-3</v>
      </c>
      <c r="CQ59" s="10">
        <f t="shared" si="32"/>
        <v>9.0202627104215873E-3</v>
      </c>
    </row>
  </sheetData>
  <conditionalFormatting sqref="A1">
    <cfRule type="cellIs" dxfId="31" priority="2" operator="greaterThanOrEqual">
      <formula>1</formula>
    </cfRule>
  </conditionalFormatting>
  <conditionalFormatting sqref="D1">
    <cfRule type="cellIs" dxfId="30" priority="1" operator="equal">
      <formula>"Error"</formula>
    </cfRule>
  </conditionalFormatting>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7" tint="0.79998168889431442"/>
  </sheetPr>
  <dimension ref="A1:DP39"/>
  <sheetViews>
    <sheetView showGridLines="0" workbookViewId="0">
      <pane xSplit="4" ySplit="9" topLeftCell="E14" activePane="bottomRight" state="frozenSplit"/>
      <selection pane="topRight" activeCell="E1" sqref="E1"/>
      <selection pane="bottomLeft" activeCell="A10" sqref="A10"/>
      <selection pane="bottomRight" activeCell="J32" sqref="J32"/>
    </sheetView>
  </sheetViews>
  <sheetFormatPr defaultRowHeight="14.4" x14ac:dyDescent="0.3"/>
  <cols>
    <col min="1" max="2" width="2.77734375" customWidth="1"/>
    <col min="3" max="3" width="16.33203125" bestFit="1" customWidth="1"/>
    <col min="4" max="4" width="10.21875" bestFit="1" customWidth="1"/>
    <col min="5" max="5" width="11.6640625" bestFit="1" customWidth="1"/>
    <col min="6" max="6" width="10.77734375" bestFit="1" customWidth="1"/>
    <col min="8" max="8" width="11.5546875" bestFit="1" customWidth="1"/>
    <col min="9" max="9" width="11.5546875" customWidth="1"/>
    <col min="10" max="11" width="10.5546875" customWidth="1"/>
    <col min="12" max="12" width="18.33203125" bestFit="1" customWidth="1"/>
    <col min="13" max="13" width="11.5546875" customWidth="1"/>
    <col min="18" max="18" width="10.33203125" bestFit="1" customWidth="1"/>
    <col min="19" max="19" width="9.88671875" customWidth="1"/>
    <col min="20" max="20" width="12.77734375" bestFit="1" customWidth="1"/>
    <col min="21" max="21" width="14.88671875" bestFit="1" customWidth="1"/>
    <col min="22" max="22" width="9.77734375" bestFit="1" customWidth="1"/>
    <col min="23" max="23" width="2.77734375" customWidth="1"/>
    <col min="24" max="24" width="11.6640625" bestFit="1" customWidth="1"/>
    <col min="25" max="25" width="2.77734375" customWidth="1"/>
    <col min="26" max="26" width="10.44140625" bestFit="1" customWidth="1"/>
    <col min="27" max="115" width="9.77734375" customWidth="1"/>
    <col min="116" max="116" width="2.77734375" customWidth="1"/>
    <col min="117" max="117" width="10.5546875" bestFit="1" customWidth="1"/>
    <col min="118" max="119" width="10.5546875" customWidth="1"/>
    <col min="120" max="120" width="9.77734375" bestFit="1" customWidth="1"/>
  </cols>
  <sheetData>
    <row r="1" spans="1:120" x14ac:dyDescent="0.3">
      <c r="A1" s="33">
        <f ca="1">SUM(DM10:DP39)</f>
        <v>0</v>
      </c>
      <c r="C1" t="s">
        <v>79</v>
      </c>
      <c r="D1" s="33" t="str">
        <f ca="1">Model_Health</f>
        <v>OK</v>
      </c>
    </row>
    <row r="3" spans="1:120" ht="21" x14ac:dyDescent="0.4">
      <c r="C3" s="3" t="s">
        <v>146</v>
      </c>
    </row>
    <row r="4" spans="1:120" x14ac:dyDescent="0.3">
      <c r="C4" s="65" t="s">
        <v>147</v>
      </c>
      <c r="Z4" s="6" t="s">
        <v>129</v>
      </c>
      <c r="AA4" s="6"/>
    </row>
    <row r="5" spans="1:120" x14ac:dyDescent="0.3">
      <c r="Z5" s="61" t="str">
        <f>Timeline!F14</f>
        <v>19/20</v>
      </c>
      <c r="AA5" s="61" t="str">
        <f>Timeline!G14</f>
        <v>20/21</v>
      </c>
      <c r="AB5" s="61" t="str">
        <f>Timeline!H14</f>
        <v>21/22</v>
      </c>
      <c r="AC5" s="61" t="str">
        <f>Timeline!I14</f>
        <v>22/23</v>
      </c>
      <c r="AD5" s="61" t="str">
        <f>Timeline!J14</f>
        <v>23/24</v>
      </c>
      <c r="AE5" s="61" t="str">
        <f>Timeline!K14</f>
        <v>24/25</v>
      </c>
      <c r="AF5" s="61" t="str">
        <f>Timeline!L14</f>
        <v>25/26</v>
      </c>
      <c r="AG5" s="61" t="str">
        <f>Timeline!M14</f>
        <v>26/27</v>
      </c>
      <c r="AH5" s="61" t="str">
        <f>Timeline!N14</f>
        <v>27/28</v>
      </c>
      <c r="AI5" s="61" t="str">
        <f>Timeline!O14</f>
        <v>28/29</v>
      </c>
      <c r="AJ5" s="61" t="str">
        <f>Timeline!P14</f>
        <v>29/30</v>
      </c>
      <c r="AK5" s="61" t="str">
        <f>Timeline!Q14</f>
        <v>30/31</v>
      </c>
      <c r="AL5" s="61" t="str">
        <f>Timeline!R14</f>
        <v>31/32</v>
      </c>
      <c r="AM5" s="61" t="str">
        <f>Timeline!S14</f>
        <v>32/33</v>
      </c>
      <c r="AN5" s="61" t="str">
        <f>Timeline!T14</f>
        <v>33/34</v>
      </c>
      <c r="AO5" s="61" t="str">
        <f>Timeline!U14</f>
        <v>34/35</v>
      </c>
      <c r="AP5" s="61" t="str">
        <f>Timeline!V14</f>
        <v>35/36</v>
      </c>
      <c r="AQ5" s="61" t="str">
        <f>Timeline!W14</f>
        <v>36/37</v>
      </c>
      <c r="AR5" s="61" t="str">
        <f>Timeline!X14</f>
        <v>37/38</v>
      </c>
      <c r="AS5" s="61" t="str">
        <f>Timeline!Y14</f>
        <v>38/39</v>
      </c>
      <c r="AT5" s="61" t="str">
        <f>Timeline!Z14</f>
        <v>39/40</v>
      </c>
      <c r="AU5" s="61" t="str">
        <f>Timeline!AA14</f>
        <v>40/41</v>
      </c>
      <c r="AV5" s="61" t="str">
        <f>Timeline!AB14</f>
        <v>41/42</v>
      </c>
      <c r="AW5" s="61" t="str">
        <f>Timeline!AC14</f>
        <v>42/43</v>
      </c>
      <c r="AX5" s="61" t="str">
        <f>Timeline!AD14</f>
        <v>43/44</v>
      </c>
      <c r="AY5" s="61" t="str">
        <f>Timeline!AE14</f>
        <v>44/45</v>
      </c>
      <c r="AZ5" s="61" t="str">
        <f>Timeline!AF14</f>
        <v>45/46</v>
      </c>
      <c r="BA5" s="61" t="str">
        <f>Timeline!AG14</f>
        <v>46/47</v>
      </c>
      <c r="BB5" s="61" t="str">
        <f>Timeline!AH14</f>
        <v>47/48</v>
      </c>
      <c r="BC5" s="61" t="str">
        <f>Timeline!AI14</f>
        <v>48/49</v>
      </c>
      <c r="BD5" s="61" t="str">
        <f>Timeline!AJ14</f>
        <v>49/50</v>
      </c>
      <c r="BE5" s="61" t="str">
        <f>Timeline!AK14</f>
        <v>50/51</v>
      </c>
      <c r="BF5" s="61" t="str">
        <f>Timeline!AL14</f>
        <v>51/52</v>
      </c>
      <c r="BG5" s="61" t="str">
        <f>Timeline!AM14</f>
        <v>52/53</v>
      </c>
      <c r="BH5" s="61" t="str">
        <f>Timeline!AN14</f>
        <v>53/54</v>
      </c>
      <c r="BI5" s="61" t="str">
        <f>Timeline!AO14</f>
        <v>54/55</v>
      </c>
      <c r="BJ5" s="61" t="str">
        <f>Timeline!AP14</f>
        <v>55/56</v>
      </c>
      <c r="BK5" s="61" t="str">
        <f>Timeline!AQ14</f>
        <v>56/57</v>
      </c>
      <c r="BL5" s="61" t="str">
        <f>Timeline!AR14</f>
        <v>57/58</v>
      </c>
      <c r="BM5" s="61" t="str">
        <f>Timeline!AS14</f>
        <v>58/59</v>
      </c>
      <c r="BN5" s="61" t="str">
        <f>Timeline!AT14</f>
        <v>59/60</v>
      </c>
      <c r="BO5" s="61" t="str">
        <f>Timeline!AU14</f>
        <v>60/61</v>
      </c>
      <c r="BP5" s="61" t="str">
        <f>Timeline!AV14</f>
        <v>61/62</v>
      </c>
      <c r="BQ5" s="61" t="str">
        <f>Timeline!AW14</f>
        <v>62/63</v>
      </c>
      <c r="BR5" s="61" t="str">
        <f>Timeline!AX14</f>
        <v>63/64</v>
      </c>
      <c r="BS5" s="61" t="str">
        <f>Timeline!AY14</f>
        <v>64/65</v>
      </c>
      <c r="BT5" s="61" t="str">
        <f>Timeline!AZ14</f>
        <v>65/66</v>
      </c>
      <c r="BU5" s="61" t="str">
        <f>Timeline!BA14</f>
        <v>66/67</v>
      </c>
      <c r="BV5" s="61" t="str">
        <f>Timeline!BB14</f>
        <v>67/68</v>
      </c>
      <c r="BW5" s="61" t="str">
        <f>Timeline!BC14</f>
        <v>68/69</v>
      </c>
      <c r="BX5" s="61" t="str">
        <f>Timeline!BD14</f>
        <v>69/70</v>
      </c>
      <c r="BY5" s="61" t="str">
        <f>Timeline!BE14</f>
        <v>70/71</v>
      </c>
      <c r="BZ5" s="61" t="str">
        <f>Timeline!BF14</f>
        <v>71/72</v>
      </c>
      <c r="CA5" s="61" t="str">
        <f>Timeline!BG14</f>
        <v>72/73</v>
      </c>
      <c r="CB5" s="61" t="str">
        <f>Timeline!BH14</f>
        <v>73/74</v>
      </c>
      <c r="CC5" s="61" t="str">
        <f>Timeline!BI14</f>
        <v>74/75</v>
      </c>
      <c r="CD5" s="61" t="str">
        <f>Timeline!BJ14</f>
        <v>75/76</v>
      </c>
      <c r="CE5" s="61" t="str">
        <f>Timeline!BK14</f>
        <v>76/77</v>
      </c>
      <c r="CF5" s="61" t="str">
        <f>Timeline!BL14</f>
        <v>77/78</v>
      </c>
      <c r="CG5" s="61" t="str">
        <f>Timeline!BM14</f>
        <v>78/79</v>
      </c>
      <c r="CH5" s="61" t="str">
        <f>Timeline!BN14</f>
        <v>79/80</v>
      </c>
      <c r="CI5" s="61" t="str">
        <f>Timeline!BO14</f>
        <v>80/81</v>
      </c>
      <c r="CJ5" s="61" t="str">
        <f>Timeline!BP14</f>
        <v>81/82</v>
      </c>
      <c r="CK5" s="61" t="str">
        <f>Timeline!BQ14</f>
        <v>82/83</v>
      </c>
      <c r="CL5" s="61" t="str">
        <f>Timeline!BR14</f>
        <v>83/84</v>
      </c>
      <c r="CM5" s="61" t="str">
        <f>Timeline!BS14</f>
        <v>84/85</v>
      </c>
      <c r="CN5" s="61" t="str">
        <f>Timeline!BT14</f>
        <v>85/86</v>
      </c>
      <c r="CO5" s="61" t="str">
        <f>Timeline!BU14</f>
        <v>86/87</v>
      </c>
      <c r="CP5" s="61" t="str">
        <f>Timeline!BV14</f>
        <v>87/88</v>
      </c>
      <c r="CQ5" s="61" t="str">
        <f>Timeline!BW14</f>
        <v>88/89</v>
      </c>
      <c r="CR5" s="61" t="str">
        <f>Timeline!BX14</f>
        <v>89/90</v>
      </c>
      <c r="CS5" s="61" t="str">
        <f>Timeline!BY14</f>
        <v>90/91</v>
      </c>
      <c r="CT5" s="61" t="str">
        <f>Timeline!BZ14</f>
        <v>91/92</v>
      </c>
      <c r="CU5" s="61" t="str">
        <f>Timeline!CA14</f>
        <v>92/93</v>
      </c>
      <c r="CV5" s="61" t="str">
        <f>Timeline!CB14</f>
        <v>93/94</v>
      </c>
      <c r="CW5" s="61" t="str">
        <f>Timeline!CC14</f>
        <v>94/95</v>
      </c>
      <c r="CX5" s="61" t="str">
        <f>Timeline!CD14</f>
        <v>95/96</v>
      </c>
      <c r="CY5" s="61" t="str">
        <f>Timeline!CE14</f>
        <v>96/97</v>
      </c>
      <c r="CZ5" s="61" t="str">
        <f>Timeline!CF14</f>
        <v>97/98</v>
      </c>
      <c r="DA5" s="61" t="str">
        <f>Timeline!CG14</f>
        <v>98/99</v>
      </c>
      <c r="DB5" s="61" t="str">
        <f>Timeline!CH14</f>
        <v>99/00</v>
      </c>
      <c r="DC5" s="61" t="str">
        <f>Timeline!CI14</f>
        <v>00/01</v>
      </c>
      <c r="DD5" s="61" t="str">
        <f>Timeline!CJ14</f>
        <v>01/02</v>
      </c>
      <c r="DE5" s="61" t="str">
        <f>Timeline!CK14</f>
        <v>02/03</v>
      </c>
      <c r="DF5" s="61" t="str">
        <f>Timeline!CL14</f>
        <v>03/04</v>
      </c>
      <c r="DG5" s="61" t="str">
        <f>Timeline!CM14</f>
        <v>04/05</v>
      </c>
      <c r="DH5" s="61" t="str">
        <f>Timeline!CN14</f>
        <v>05/06</v>
      </c>
      <c r="DI5" s="61" t="str">
        <f>Timeline!CO14</f>
        <v>06/07</v>
      </c>
      <c r="DJ5" s="61" t="str">
        <f>Timeline!CP14</f>
        <v>07/08</v>
      </c>
      <c r="DK5" s="61" t="str">
        <f>Timeline!CQ14</f>
        <v>08/09</v>
      </c>
    </row>
    <row r="6" spans="1:120" x14ac:dyDescent="0.3">
      <c r="C6" s="11" t="s">
        <v>58</v>
      </c>
      <c r="D6" s="7" t="s">
        <v>60</v>
      </c>
      <c r="Z6" s="27">
        <v>1</v>
      </c>
      <c r="AA6" s="27"/>
      <c r="AB6" s="27"/>
      <c r="AC6" s="27"/>
      <c r="AD6" s="27"/>
      <c r="AE6" s="27"/>
      <c r="AF6" s="27"/>
      <c r="AG6" s="27"/>
      <c r="AH6" s="27"/>
      <c r="AI6" s="27"/>
      <c r="AJ6" s="27"/>
      <c r="AK6" s="27"/>
      <c r="AL6" s="27"/>
      <c r="AM6" s="27"/>
      <c r="AN6" s="27"/>
      <c r="AO6" s="27"/>
      <c r="AP6" s="27"/>
      <c r="AQ6" s="27">
        <v>1</v>
      </c>
      <c r="AR6" s="27">
        <v>2</v>
      </c>
      <c r="AS6" s="27">
        <v>3</v>
      </c>
      <c r="AT6" s="27">
        <v>4</v>
      </c>
      <c r="AU6" s="27">
        <v>5</v>
      </c>
      <c r="AV6" s="27">
        <v>5</v>
      </c>
      <c r="AW6" s="27">
        <v>5</v>
      </c>
      <c r="AX6" s="27">
        <v>5</v>
      </c>
      <c r="AY6" s="27">
        <v>5</v>
      </c>
      <c r="AZ6" s="27">
        <v>5</v>
      </c>
      <c r="BA6" s="27">
        <v>5</v>
      </c>
      <c r="BB6" s="27">
        <v>5</v>
      </c>
      <c r="BC6" s="27">
        <v>5</v>
      </c>
      <c r="BD6" s="27">
        <v>5</v>
      </c>
      <c r="BE6" s="27">
        <v>5</v>
      </c>
      <c r="BF6" s="27">
        <v>5</v>
      </c>
      <c r="BG6" s="27">
        <v>5</v>
      </c>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row>
    <row r="7" spans="1:120" x14ac:dyDescent="0.3">
      <c r="C7" s="11" t="s">
        <v>170</v>
      </c>
      <c r="D7" s="7" t="s">
        <v>59</v>
      </c>
    </row>
    <row r="8" spans="1:120" x14ac:dyDescent="0.3">
      <c r="O8" s="75" t="s">
        <v>200</v>
      </c>
      <c r="P8" s="75"/>
      <c r="Q8" s="75"/>
      <c r="R8" s="75" t="s">
        <v>26</v>
      </c>
      <c r="S8" s="75"/>
      <c r="T8" s="75"/>
      <c r="Z8" s="61" t="s">
        <v>128</v>
      </c>
    </row>
    <row r="9" spans="1:120" x14ac:dyDescent="0.3">
      <c r="C9" s="11" t="s">
        <v>22</v>
      </c>
      <c r="D9" s="11" t="s">
        <v>23</v>
      </c>
      <c r="E9" s="11" t="s">
        <v>7</v>
      </c>
      <c r="F9" s="11" t="s">
        <v>13</v>
      </c>
      <c r="G9" s="11" t="s">
        <v>19</v>
      </c>
      <c r="H9" s="11" t="s">
        <v>5</v>
      </c>
      <c r="I9" s="11" t="s">
        <v>24</v>
      </c>
      <c r="J9" s="11" t="s">
        <v>42</v>
      </c>
      <c r="K9" s="11" t="s">
        <v>43</v>
      </c>
      <c r="L9" s="11" t="s">
        <v>46</v>
      </c>
      <c r="M9" s="11" t="s">
        <v>97</v>
      </c>
      <c r="N9" s="11" t="s">
        <v>25</v>
      </c>
      <c r="O9" s="11" t="s">
        <v>157</v>
      </c>
      <c r="P9" s="11" t="s">
        <v>199</v>
      </c>
      <c r="Q9" s="11" t="s">
        <v>158</v>
      </c>
      <c r="R9" s="11" t="s">
        <v>157</v>
      </c>
      <c r="S9" s="11" t="s">
        <v>199</v>
      </c>
      <c r="T9" s="11" t="s">
        <v>158</v>
      </c>
      <c r="U9" s="12" t="s">
        <v>26</v>
      </c>
      <c r="V9" s="11" t="s">
        <v>27</v>
      </c>
      <c r="X9" s="11" t="s">
        <v>132</v>
      </c>
      <c r="Z9" s="61" t="str">
        <f>Timeline!F14</f>
        <v>19/20</v>
      </c>
      <c r="AA9" s="61" t="str">
        <f>Timeline!G14</f>
        <v>20/21</v>
      </c>
      <c r="AB9" s="61" t="str">
        <f>Timeline!H14</f>
        <v>21/22</v>
      </c>
      <c r="AC9" s="61" t="str">
        <f>Timeline!I14</f>
        <v>22/23</v>
      </c>
      <c r="AD9" s="61" t="str">
        <f>Timeline!J14</f>
        <v>23/24</v>
      </c>
      <c r="AE9" s="61" t="str">
        <f>Timeline!K14</f>
        <v>24/25</v>
      </c>
      <c r="AF9" s="61" t="str">
        <f>Timeline!L14</f>
        <v>25/26</v>
      </c>
      <c r="AG9" s="61" t="str">
        <f>Timeline!M14</f>
        <v>26/27</v>
      </c>
      <c r="AH9" s="61" t="str">
        <f>Timeline!N14</f>
        <v>27/28</v>
      </c>
      <c r="AI9" s="61" t="str">
        <f>Timeline!O14</f>
        <v>28/29</v>
      </c>
      <c r="AJ9" s="61" t="str">
        <f>Timeline!P14</f>
        <v>29/30</v>
      </c>
      <c r="AK9" s="61" t="str">
        <f>Timeline!Q14</f>
        <v>30/31</v>
      </c>
      <c r="AL9" s="61" t="str">
        <f>Timeline!R14</f>
        <v>31/32</v>
      </c>
      <c r="AM9" s="61" t="str">
        <f>Timeline!S14</f>
        <v>32/33</v>
      </c>
      <c r="AN9" s="61" t="str">
        <f>Timeline!T14</f>
        <v>33/34</v>
      </c>
      <c r="AO9" s="61" t="str">
        <f>Timeline!U14</f>
        <v>34/35</v>
      </c>
      <c r="AP9" s="61" t="str">
        <f>Timeline!V14</f>
        <v>35/36</v>
      </c>
      <c r="AQ9" s="61" t="str">
        <f>Timeline!W14</f>
        <v>36/37</v>
      </c>
      <c r="AR9" s="61" t="str">
        <f>Timeline!X14</f>
        <v>37/38</v>
      </c>
      <c r="AS9" s="61" t="str">
        <f>Timeline!Y14</f>
        <v>38/39</v>
      </c>
      <c r="AT9" s="61" t="str">
        <f>Timeline!Z14</f>
        <v>39/40</v>
      </c>
      <c r="AU9" s="61" t="str">
        <f>Timeline!AA14</f>
        <v>40/41</v>
      </c>
      <c r="AV9" s="61" t="str">
        <f>Timeline!AB14</f>
        <v>41/42</v>
      </c>
      <c r="AW9" s="61" t="str">
        <f>Timeline!AC14</f>
        <v>42/43</v>
      </c>
      <c r="AX9" s="61" t="str">
        <f>Timeline!AD14</f>
        <v>43/44</v>
      </c>
      <c r="AY9" s="61" t="str">
        <f>Timeline!AE14</f>
        <v>44/45</v>
      </c>
      <c r="AZ9" s="61" t="str">
        <f>Timeline!AF14</f>
        <v>45/46</v>
      </c>
      <c r="BA9" s="61" t="str">
        <f>Timeline!AG14</f>
        <v>46/47</v>
      </c>
      <c r="BB9" s="61" t="str">
        <f>Timeline!AH14</f>
        <v>47/48</v>
      </c>
      <c r="BC9" s="61" t="str">
        <f>Timeline!AI14</f>
        <v>48/49</v>
      </c>
      <c r="BD9" s="61" t="str">
        <f>Timeline!AJ14</f>
        <v>49/50</v>
      </c>
      <c r="BE9" s="61" t="str">
        <f>Timeline!AK14</f>
        <v>50/51</v>
      </c>
      <c r="BF9" s="61" t="str">
        <f>Timeline!AL14</f>
        <v>51/52</v>
      </c>
      <c r="BG9" s="61" t="str">
        <f>Timeline!AM14</f>
        <v>52/53</v>
      </c>
      <c r="BH9" s="61" t="str">
        <f>Timeline!AN14</f>
        <v>53/54</v>
      </c>
      <c r="BI9" s="61" t="str">
        <f>Timeline!AO14</f>
        <v>54/55</v>
      </c>
      <c r="BJ9" s="61" t="str">
        <f>Timeline!AP14</f>
        <v>55/56</v>
      </c>
      <c r="BK9" s="61" t="str">
        <f>Timeline!AQ14</f>
        <v>56/57</v>
      </c>
      <c r="BL9" s="61" t="str">
        <f>Timeline!AR14</f>
        <v>57/58</v>
      </c>
      <c r="BM9" s="61" t="str">
        <f>Timeline!AS14</f>
        <v>58/59</v>
      </c>
      <c r="BN9" s="61" t="str">
        <f>Timeline!AT14</f>
        <v>59/60</v>
      </c>
      <c r="BO9" s="61" t="str">
        <f>Timeline!AU14</f>
        <v>60/61</v>
      </c>
      <c r="BP9" s="61" t="str">
        <f>Timeline!AV14</f>
        <v>61/62</v>
      </c>
      <c r="BQ9" s="61" t="str">
        <f>Timeline!AW14</f>
        <v>62/63</v>
      </c>
      <c r="BR9" s="61" t="str">
        <f>Timeline!AX14</f>
        <v>63/64</v>
      </c>
      <c r="BS9" s="61" t="str">
        <f>Timeline!AY14</f>
        <v>64/65</v>
      </c>
      <c r="BT9" s="61" t="str">
        <f>Timeline!AZ14</f>
        <v>65/66</v>
      </c>
      <c r="BU9" s="61" t="str">
        <f>Timeline!BA14</f>
        <v>66/67</v>
      </c>
      <c r="BV9" s="61" t="str">
        <f>Timeline!BB14</f>
        <v>67/68</v>
      </c>
      <c r="BW9" s="61" t="str">
        <f>Timeline!BC14</f>
        <v>68/69</v>
      </c>
      <c r="BX9" s="61" t="str">
        <f>Timeline!BD14</f>
        <v>69/70</v>
      </c>
      <c r="BY9" s="61" t="str">
        <f>Timeline!BE14</f>
        <v>70/71</v>
      </c>
      <c r="BZ9" s="61" t="str">
        <f>Timeline!BF14</f>
        <v>71/72</v>
      </c>
      <c r="CA9" s="61" t="str">
        <f>Timeline!BG14</f>
        <v>72/73</v>
      </c>
      <c r="CB9" s="61" t="str">
        <f>Timeline!BH14</f>
        <v>73/74</v>
      </c>
      <c r="CC9" s="61" t="str">
        <f>Timeline!BI14</f>
        <v>74/75</v>
      </c>
      <c r="CD9" s="61" t="str">
        <f>Timeline!BJ14</f>
        <v>75/76</v>
      </c>
      <c r="CE9" s="61" t="str">
        <f>Timeline!BK14</f>
        <v>76/77</v>
      </c>
      <c r="CF9" s="61" t="str">
        <f>Timeline!BL14</f>
        <v>77/78</v>
      </c>
      <c r="CG9" s="61" t="str">
        <f>Timeline!BM14</f>
        <v>78/79</v>
      </c>
      <c r="CH9" s="61" t="str">
        <f>Timeline!BN14</f>
        <v>79/80</v>
      </c>
      <c r="CI9" s="61" t="str">
        <f>Timeline!BO14</f>
        <v>80/81</v>
      </c>
      <c r="CJ9" s="61" t="str">
        <f>Timeline!BP14</f>
        <v>81/82</v>
      </c>
      <c r="CK9" s="61" t="str">
        <f>Timeline!BQ14</f>
        <v>82/83</v>
      </c>
      <c r="CL9" s="61" t="str">
        <f>Timeline!BR14</f>
        <v>83/84</v>
      </c>
      <c r="CM9" s="61" t="str">
        <f>Timeline!BS14</f>
        <v>84/85</v>
      </c>
      <c r="CN9" s="61" t="str">
        <f>Timeline!BT14</f>
        <v>85/86</v>
      </c>
      <c r="CO9" s="61" t="str">
        <f>Timeline!BU14</f>
        <v>86/87</v>
      </c>
      <c r="CP9" s="61" t="str">
        <f>Timeline!BV14</f>
        <v>87/88</v>
      </c>
      <c r="CQ9" s="61" t="str">
        <f>Timeline!BW14</f>
        <v>88/89</v>
      </c>
      <c r="CR9" s="61" t="str">
        <f>Timeline!BX14</f>
        <v>89/90</v>
      </c>
      <c r="CS9" s="61" t="str">
        <f>Timeline!BY14</f>
        <v>90/91</v>
      </c>
      <c r="CT9" s="61" t="str">
        <f>Timeline!BZ14</f>
        <v>91/92</v>
      </c>
      <c r="CU9" s="61" t="str">
        <f>Timeline!CA14</f>
        <v>92/93</v>
      </c>
      <c r="CV9" s="61" t="str">
        <f>Timeline!CB14</f>
        <v>93/94</v>
      </c>
      <c r="CW9" s="61" t="str">
        <f>Timeline!CC14</f>
        <v>94/95</v>
      </c>
      <c r="CX9" s="61" t="str">
        <f>Timeline!CD14</f>
        <v>95/96</v>
      </c>
      <c r="CY9" s="61" t="str">
        <f>Timeline!CE14</f>
        <v>96/97</v>
      </c>
      <c r="CZ9" s="61" t="str">
        <f>Timeline!CF14</f>
        <v>97/98</v>
      </c>
      <c r="DA9" s="61" t="str">
        <f>Timeline!CG14</f>
        <v>98/99</v>
      </c>
      <c r="DB9" s="61" t="str">
        <f>Timeline!CH14</f>
        <v>99/00</v>
      </c>
      <c r="DC9" s="61" t="str">
        <f>Timeline!CI14</f>
        <v>00/01</v>
      </c>
      <c r="DD9" s="61" t="str">
        <f>Timeline!CJ14</f>
        <v>01/02</v>
      </c>
      <c r="DE9" s="61" t="str">
        <f>Timeline!CK14</f>
        <v>02/03</v>
      </c>
      <c r="DF9" s="61" t="str">
        <f>Timeline!CL14</f>
        <v>03/04</v>
      </c>
      <c r="DG9" s="61" t="str">
        <f>Timeline!CM14</f>
        <v>04/05</v>
      </c>
      <c r="DH9" s="61" t="str">
        <f>Timeline!CN14</f>
        <v>05/06</v>
      </c>
      <c r="DI9" s="61" t="str">
        <f>Timeline!CO14</f>
        <v>06/07</v>
      </c>
      <c r="DJ9" s="61" t="str">
        <f>Timeline!CP14</f>
        <v>07/08</v>
      </c>
      <c r="DK9" s="61" t="str">
        <f>Timeline!CQ14</f>
        <v>08/09</v>
      </c>
      <c r="DM9" s="12" t="s">
        <v>70</v>
      </c>
      <c r="DN9" s="12" t="s">
        <v>201</v>
      </c>
      <c r="DO9" s="12" t="s">
        <v>202</v>
      </c>
      <c r="DP9" s="12" t="s">
        <v>71</v>
      </c>
    </row>
    <row r="10" spans="1:120" x14ac:dyDescent="0.3">
      <c r="C10" s="7" t="s">
        <v>104</v>
      </c>
      <c r="D10" s="7">
        <v>1</v>
      </c>
      <c r="E10" s="7" t="s">
        <v>49</v>
      </c>
      <c r="F10" s="7" t="s">
        <v>167</v>
      </c>
      <c r="G10" s="7" t="s">
        <v>192</v>
      </c>
      <c r="H10" s="7" t="s">
        <v>1</v>
      </c>
      <c r="I10" s="7" t="s">
        <v>177</v>
      </c>
      <c r="J10" s="17">
        <v>42095</v>
      </c>
      <c r="K10" s="17">
        <v>42460</v>
      </c>
      <c r="L10" s="30" t="s">
        <v>113</v>
      </c>
      <c r="M10" s="50">
        <v>1</v>
      </c>
      <c r="N10" s="32">
        <v>100</v>
      </c>
      <c r="O10" s="76">
        <v>1</v>
      </c>
      <c r="P10" s="76">
        <v>1</v>
      </c>
      <c r="Q10" s="76">
        <v>1</v>
      </c>
      <c r="R10" s="71">
        <v>10</v>
      </c>
      <c r="S10" s="70">
        <v>20</v>
      </c>
      <c r="T10" s="70">
        <v>30</v>
      </c>
      <c r="U10" s="72">
        <f ca="1">IF(ModelOutput = Lookups!$I$5,S10*M10*N10*P10,Triang(O10,P10,Q10)*Triang(R10,S10,T10)*N10*IF(RAND()&lt;M10,1,0))</f>
        <v>2000</v>
      </c>
      <c r="V10" s="7"/>
      <c r="X10" s="57">
        <f>SUM(Z10:DK10)</f>
        <v>1</v>
      </c>
      <c r="Z10" s="64"/>
      <c r="AA10" s="64"/>
      <c r="AB10" s="64"/>
      <c r="AC10" s="64"/>
      <c r="AD10" s="64"/>
      <c r="AE10" s="64"/>
      <c r="AF10" s="64"/>
      <c r="AG10" s="64"/>
      <c r="AH10" s="64"/>
      <c r="AI10" s="64"/>
      <c r="AJ10" s="64"/>
      <c r="AK10" s="64"/>
      <c r="AL10" s="64"/>
      <c r="AM10" s="64"/>
      <c r="AN10" s="64"/>
      <c r="AO10" s="64"/>
      <c r="AP10" s="64"/>
      <c r="AQ10" s="64">
        <v>1</v>
      </c>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M10" s="18">
        <f t="shared" ref="DM10:DM39" si="0">IF(AND(C10&lt;&gt;"",COUNTIF(E10:T10,"")&gt;0),1,0)</f>
        <v>0</v>
      </c>
      <c r="DN10" s="18">
        <f>IF(AND(Q10&gt;=P10,P10&gt;=O10),0,1)</f>
        <v>0</v>
      </c>
      <c r="DO10" s="18">
        <f t="shared" ref="DO10:DO39" si="1">IF(AND(T10&gt;=S10,S10&gt;=R10),0,1)</f>
        <v>0</v>
      </c>
      <c r="DP10" s="18">
        <f t="shared" ref="DP10:DP39" ca="1" si="2">IF(ISERROR(SUM(U10:U10)),1,0)</f>
        <v>0</v>
      </c>
    </row>
    <row r="11" spans="1:120" x14ac:dyDescent="0.3">
      <c r="C11" s="7" t="s">
        <v>105</v>
      </c>
      <c r="D11" s="7">
        <v>2</v>
      </c>
      <c r="E11" s="7" t="s">
        <v>49</v>
      </c>
      <c r="F11" s="7" t="s">
        <v>167</v>
      </c>
      <c r="G11" s="7" t="s">
        <v>166</v>
      </c>
      <c r="H11" s="7" t="s">
        <v>2</v>
      </c>
      <c r="I11" s="7" t="s">
        <v>178</v>
      </c>
      <c r="J11" s="17">
        <f>K10+1</f>
        <v>42461</v>
      </c>
      <c r="K11" s="17">
        <f>EDATE(J11,12)-1</f>
        <v>42825</v>
      </c>
      <c r="L11" s="30" t="s">
        <v>113</v>
      </c>
      <c r="M11" s="50">
        <v>1</v>
      </c>
      <c r="N11" s="32">
        <v>100</v>
      </c>
      <c r="O11" s="76">
        <v>1</v>
      </c>
      <c r="P11" s="76">
        <v>1</v>
      </c>
      <c r="Q11" s="76">
        <v>1</v>
      </c>
      <c r="R11" s="71">
        <v>10</v>
      </c>
      <c r="S11" s="71">
        <v>20</v>
      </c>
      <c r="T11" s="71">
        <v>30</v>
      </c>
      <c r="U11" s="72">
        <f ca="1">IF(ModelOutput = Lookups!$I$5,S11*M11*N11*P11,Triang(O11,P11,Q11)*Triang(R11,S11,T11)*N11*IF(RAND()&lt;M11,1,0))</f>
        <v>2000</v>
      </c>
      <c r="V11" s="7"/>
      <c r="X11" s="57">
        <f t="shared" ref="X11:X39" si="3">SUM(Z11:DK11)</f>
        <v>1</v>
      </c>
      <c r="Z11" s="64"/>
      <c r="AA11" s="64"/>
      <c r="AB11" s="64"/>
      <c r="AC11" s="64"/>
      <c r="AD11" s="64"/>
      <c r="AE11" s="64"/>
      <c r="AF11" s="64"/>
      <c r="AG11" s="64"/>
      <c r="AH11" s="64"/>
      <c r="AI11" s="64"/>
      <c r="AJ11" s="64"/>
      <c r="AK11" s="64"/>
      <c r="AL11" s="64"/>
      <c r="AM11" s="64"/>
      <c r="AN11" s="64"/>
      <c r="AO11" s="64"/>
      <c r="AP11" s="64"/>
      <c r="AQ11" s="64"/>
      <c r="AR11" s="64">
        <v>1</v>
      </c>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M11" s="18">
        <f t="shared" si="0"/>
        <v>0</v>
      </c>
      <c r="DN11" s="18">
        <f t="shared" ref="DN11:DN39" si="4">IF(AND(Q11&gt;=P11,P11&gt;=O11),0,1)</f>
        <v>0</v>
      </c>
      <c r="DO11" s="18">
        <f t="shared" si="1"/>
        <v>0</v>
      </c>
      <c r="DP11" s="18">
        <f t="shared" ca="1" si="2"/>
        <v>0</v>
      </c>
    </row>
    <row r="12" spans="1:120" x14ac:dyDescent="0.3">
      <c r="C12" s="7" t="s">
        <v>106</v>
      </c>
      <c r="D12" s="7">
        <v>3</v>
      </c>
      <c r="E12" s="7" t="s">
        <v>49</v>
      </c>
      <c r="F12" s="7" t="s">
        <v>167</v>
      </c>
      <c r="G12" s="7" t="s">
        <v>166</v>
      </c>
      <c r="H12" s="7" t="s">
        <v>3</v>
      </c>
      <c r="I12" s="7" t="s">
        <v>179</v>
      </c>
      <c r="J12" s="17">
        <f t="shared" ref="J12:J14" si="5">K11+1</f>
        <v>42826</v>
      </c>
      <c r="K12" s="17">
        <f t="shared" ref="K12:K14" si="6">EDATE(J12,12)-1</f>
        <v>43190</v>
      </c>
      <c r="L12" s="30" t="s">
        <v>113</v>
      </c>
      <c r="M12" s="50">
        <v>1</v>
      </c>
      <c r="N12" s="32">
        <v>100</v>
      </c>
      <c r="O12" s="76">
        <v>1</v>
      </c>
      <c r="P12" s="76">
        <v>1</v>
      </c>
      <c r="Q12" s="76">
        <v>1</v>
      </c>
      <c r="R12" s="71">
        <v>10</v>
      </c>
      <c r="S12" s="71">
        <v>20</v>
      </c>
      <c r="T12" s="71">
        <v>30</v>
      </c>
      <c r="U12" s="72">
        <f ca="1">IF(ModelOutput = Lookups!$I$5,S12*M12*N12*P12,Triang(O12,P12,Q12)*Triang(R12,S12,T12)*N12*IF(RAND()&lt;M12,1,0))</f>
        <v>2000</v>
      </c>
      <c r="V12" s="7"/>
      <c r="X12" s="57">
        <f t="shared" si="3"/>
        <v>1</v>
      </c>
      <c r="Z12" s="64"/>
      <c r="AA12" s="64"/>
      <c r="AB12" s="64"/>
      <c r="AC12" s="64"/>
      <c r="AD12" s="64"/>
      <c r="AE12" s="64"/>
      <c r="AF12" s="64"/>
      <c r="AG12" s="64"/>
      <c r="AH12" s="64"/>
      <c r="AI12" s="64"/>
      <c r="AJ12" s="64"/>
      <c r="AK12" s="64"/>
      <c r="AL12" s="64"/>
      <c r="AM12" s="64"/>
      <c r="AN12" s="64"/>
      <c r="AO12" s="64"/>
      <c r="AP12" s="64"/>
      <c r="AQ12" s="64"/>
      <c r="AR12" s="64"/>
      <c r="AS12" s="64">
        <v>1</v>
      </c>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M12" s="18">
        <f t="shared" si="0"/>
        <v>0</v>
      </c>
      <c r="DN12" s="18">
        <f t="shared" si="4"/>
        <v>0</v>
      </c>
      <c r="DO12" s="18">
        <f t="shared" si="1"/>
        <v>0</v>
      </c>
      <c r="DP12" s="18">
        <f t="shared" ca="1" si="2"/>
        <v>0</v>
      </c>
    </row>
    <row r="13" spans="1:120" x14ac:dyDescent="0.3">
      <c r="C13" s="7" t="s">
        <v>107</v>
      </c>
      <c r="D13" s="7">
        <v>4</v>
      </c>
      <c r="E13" s="7" t="s">
        <v>49</v>
      </c>
      <c r="F13" s="7" t="s">
        <v>167</v>
      </c>
      <c r="G13" s="7" t="s">
        <v>166</v>
      </c>
      <c r="H13" s="7" t="s">
        <v>4</v>
      </c>
      <c r="I13" s="7" t="s">
        <v>180</v>
      </c>
      <c r="J13" s="17">
        <f t="shared" si="5"/>
        <v>43191</v>
      </c>
      <c r="K13" s="17">
        <f t="shared" si="6"/>
        <v>43555</v>
      </c>
      <c r="L13" s="30" t="s">
        <v>113</v>
      </c>
      <c r="M13" s="50">
        <v>1</v>
      </c>
      <c r="N13" s="32">
        <v>100</v>
      </c>
      <c r="O13" s="76">
        <v>1</v>
      </c>
      <c r="P13" s="76">
        <v>1</v>
      </c>
      <c r="Q13" s="76">
        <v>1</v>
      </c>
      <c r="R13" s="71">
        <v>10</v>
      </c>
      <c r="S13" s="71">
        <v>20</v>
      </c>
      <c r="T13" s="71">
        <v>30</v>
      </c>
      <c r="U13" s="72">
        <f ca="1">IF(ModelOutput = Lookups!$I$5,S13*M13*N13*P13,Triang(O13,P13,Q13)*Triang(R13,S13,T13)*N13*IF(RAND()&lt;M13,1,0))</f>
        <v>2000</v>
      </c>
      <c r="V13" s="7"/>
      <c r="X13" s="57">
        <f t="shared" si="3"/>
        <v>1</v>
      </c>
      <c r="Z13" s="64"/>
      <c r="AA13" s="64"/>
      <c r="AB13" s="64"/>
      <c r="AC13" s="64"/>
      <c r="AD13" s="64"/>
      <c r="AE13" s="64"/>
      <c r="AF13" s="64"/>
      <c r="AG13" s="64"/>
      <c r="AH13" s="64"/>
      <c r="AI13" s="64"/>
      <c r="AJ13" s="64"/>
      <c r="AK13" s="64"/>
      <c r="AL13" s="64"/>
      <c r="AM13" s="64"/>
      <c r="AN13" s="64"/>
      <c r="AO13" s="64"/>
      <c r="AP13" s="64"/>
      <c r="AQ13" s="64"/>
      <c r="AR13" s="64"/>
      <c r="AS13" s="64"/>
      <c r="AT13" s="64">
        <v>1</v>
      </c>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M13" s="18">
        <f t="shared" si="0"/>
        <v>0</v>
      </c>
      <c r="DN13" s="18">
        <f t="shared" si="4"/>
        <v>0</v>
      </c>
      <c r="DO13" s="18">
        <f t="shared" si="1"/>
        <v>0</v>
      </c>
      <c r="DP13" s="18">
        <f t="shared" ca="1" si="2"/>
        <v>0</v>
      </c>
    </row>
    <row r="14" spans="1:120" x14ac:dyDescent="0.3">
      <c r="C14" s="7" t="s">
        <v>108</v>
      </c>
      <c r="D14" s="7">
        <v>5</v>
      </c>
      <c r="E14" s="7" t="s">
        <v>49</v>
      </c>
      <c r="F14" s="7" t="s">
        <v>167</v>
      </c>
      <c r="G14" s="7" t="s">
        <v>192</v>
      </c>
      <c r="H14" s="7" t="s">
        <v>6</v>
      </c>
      <c r="I14" s="7" t="s">
        <v>181</v>
      </c>
      <c r="J14" s="17">
        <f t="shared" si="5"/>
        <v>43556</v>
      </c>
      <c r="K14" s="17">
        <f t="shared" si="6"/>
        <v>43921</v>
      </c>
      <c r="L14" s="30" t="s">
        <v>113</v>
      </c>
      <c r="M14" s="50">
        <v>1</v>
      </c>
      <c r="N14" s="32">
        <v>100</v>
      </c>
      <c r="O14" s="76">
        <v>1</v>
      </c>
      <c r="P14" s="76">
        <v>1</v>
      </c>
      <c r="Q14" s="76">
        <v>1</v>
      </c>
      <c r="R14" s="71">
        <v>10</v>
      </c>
      <c r="S14" s="71">
        <v>20</v>
      </c>
      <c r="T14" s="71">
        <v>30</v>
      </c>
      <c r="U14" s="72">
        <f ca="1">_xll.CampagnaInputTriangular(O14,P14,Q14)*_xll.CampagnaInputTriangular(R14,S14,T14)*N14*_xll.CampagnaInputBernoulli(M14)</f>
        <v>1899.2876785216076</v>
      </c>
      <c r="V14" s="7"/>
      <c r="X14" s="57">
        <f t="shared" si="3"/>
        <v>1</v>
      </c>
      <c r="Z14" s="64"/>
      <c r="AA14" s="64"/>
      <c r="AB14" s="64"/>
      <c r="AC14" s="64"/>
      <c r="AD14" s="64"/>
      <c r="AE14" s="64"/>
      <c r="AF14" s="64"/>
      <c r="AG14" s="64"/>
      <c r="AH14" s="64"/>
      <c r="AI14" s="64"/>
      <c r="AJ14" s="64"/>
      <c r="AK14" s="64"/>
      <c r="AL14" s="64"/>
      <c r="AM14" s="64"/>
      <c r="AN14" s="64"/>
      <c r="AO14" s="64"/>
      <c r="AP14" s="64"/>
      <c r="AQ14" s="64"/>
      <c r="AR14" s="64"/>
      <c r="AS14" s="64"/>
      <c r="AT14" s="64"/>
      <c r="AU14" s="64">
        <v>1</v>
      </c>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M14" s="18">
        <f t="shared" si="0"/>
        <v>0</v>
      </c>
      <c r="DN14" s="18">
        <f t="shared" si="4"/>
        <v>0</v>
      </c>
      <c r="DO14" s="18">
        <f t="shared" si="1"/>
        <v>0</v>
      </c>
      <c r="DP14" s="18">
        <f t="shared" ca="1" si="2"/>
        <v>0</v>
      </c>
    </row>
    <row r="15" spans="1:120" x14ac:dyDescent="0.3">
      <c r="C15" s="7" t="s">
        <v>108</v>
      </c>
      <c r="D15" s="7">
        <v>5</v>
      </c>
      <c r="E15" s="7" t="s">
        <v>49</v>
      </c>
      <c r="F15" s="7" t="s">
        <v>167</v>
      </c>
      <c r="G15" s="7" t="s">
        <v>166</v>
      </c>
      <c r="H15" s="7" t="s">
        <v>2</v>
      </c>
      <c r="I15" s="7" t="s">
        <v>182</v>
      </c>
      <c r="J15" s="17">
        <f>J10</f>
        <v>42095</v>
      </c>
      <c r="K15" s="17">
        <f>K14</f>
        <v>43921</v>
      </c>
      <c r="L15" s="30" t="s">
        <v>113</v>
      </c>
      <c r="M15" s="50">
        <v>1</v>
      </c>
      <c r="N15" s="32">
        <v>100</v>
      </c>
      <c r="O15" s="76">
        <v>1</v>
      </c>
      <c r="P15" s="76">
        <v>1</v>
      </c>
      <c r="Q15" s="76">
        <v>1</v>
      </c>
      <c r="R15" s="71">
        <f>SUM(R10:R14)</f>
        <v>50</v>
      </c>
      <c r="S15" s="71">
        <f t="shared" ref="S15:T15" si="7">SUM(S10:S14)</f>
        <v>100</v>
      </c>
      <c r="T15" s="71">
        <f t="shared" si="7"/>
        <v>150</v>
      </c>
      <c r="U15" s="72">
        <f ca="1">_xll.CampagnaInputTriangular(O15,P15,Q15)*_xll.CampagnaInputTriangular(R15,S15,T15)*N15*_xll.CampagnaInputBernoulli(M15)</f>
        <v>11150.114204075808</v>
      </c>
      <c r="V15" s="7"/>
      <c r="X15" s="57">
        <f t="shared" si="3"/>
        <v>1</v>
      </c>
      <c r="Z15" s="64"/>
      <c r="AA15" s="64"/>
      <c r="AB15" s="64"/>
      <c r="AC15" s="64"/>
      <c r="AD15" s="64"/>
      <c r="AE15" s="64"/>
      <c r="AF15" s="64"/>
      <c r="AG15" s="64"/>
      <c r="AH15" s="64"/>
      <c r="AI15" s="64"/>
      <c r="AJ15" s="64"/>
      <c r="AK15" s="64"/>
      <c r="AL15" s="64"/>
      <c r="AM15" s="64"/>
      <c r="AN15" s="64"/>
      <c r="AO15" s="64"/>
      <c r="AP15" s="64"/>
      <c r="AQ15" s="64">
        <v>0.2</v>
      </c>
      <c r="AR15" s="64">
        <v>0.2</v>
      </c>
      <c r="AS15" s="64">
        <v>0.2</v>
      </c>
      <c r="AT15" s="64">
        <v>0.2</v>
      </c>
      <c r="AU15" s="64">
        <v>0.2</v>
      </c>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M15" s="18">
        <f t="shared" si="0"/>
        <v>0</v>
      </c>
      <c r="DN15" s="18">
        <f t="shared" si="4"/>
        <v>0</v>
      </c>
      <c r="DO15" s="18">
        <f t="shared" si="1"/>
        <v>0</v>
      </c>
      <c r="DP15" s="18">
        <f t="shared" ca="1" si="2"/>
        <v>0</v>
      </c>
    </row>
    <row r="16" spans="1:120" x14ac:dyDescent="0.3">
      <c r="C16" s="7" t="s">
        <v>194</v>
      </c>
      <c r="D16" s="7">
        <v>6</v>
      </c>
      <c r="E16" s="7" t="s">
        <v>49</v>
      </c>
      <c r="F16" s="7" t="s">
        <v>167</v>
      </c>
      <c r="G16" s="7" t="s">
        <v>166</v>
      </c>
      <c r="H16" s="7" t="s">
        <v>1</v>
      </c>
      <c r="I16" s="7" t="s">
        <v>183</v>
      </c>
      <c r="J16" s="17">
        <f t="shared" ref="J16:J18" si="8">J11</f>
        <v>42461</v>
      </c>
      <c r="K16" s="17">
        <f t="shared" ref="K16:K18" si="9">K15</f>
        <v>43921</v>
      </c>
      <c r="L16" s="30" t="s">
        <v>113</v>
      </c>
      <c r="M16" s="50">
        <v>1</v>
      </c>
      <c r="N16" s="32">
        <v>100</v>
      </c>
      <c r="O16" s="76">
        <v>1</v>
      </c>
      <c r="P16" s="76">
        <v>1</v>
      </c>
      <c r="Q16" s="76">
        <v>1</v>
      </c>
      <c r="R16" s="71">
        <f t="shared" ref="R16:R18" si="10">SUM(R11:R15)</f>
        <v>90</v>
      </c>
      <c r="S16" s="71">
        <f t="shared" ref="S16:T16" si="11">SUM(S11:S15)</f>
        <v>180</v>
      </c>
      <c r="T16" s="71">
        <f t="shared" si="11"/>
        <v>270</v>
      </c>
      <c r="U16" s="72">
        <f ca="1">_xll.CampagnaInputTriangular(O16,P16,Q16)*_xll.CampagnaInputTriangular(R16,S16,T16)*N16*_xll.CampagnaInputBernoulli(M16)</f>
        <v>10046.250861203498</v>
      </c>
      <c r="V16" s="7"/>
      <c r="X16" s="57">
        <f t="shared" ref="X16:X18" si="12">SUM(Z16:DK16)</f>
        <v>1</v>
      </c>
      <c r="Z16" s="64"/>
      <c r="AA16" s="64"/>
      <c r="AB16" s="64"/>
      <c r="AC16" s="64"/>
      <c r="AD16" s="64"/>
      <c r="AE16" s="64"/>
      <c r="AF16" s="64"/>
      <c r="AG16" s="64"/>
      <c r="AH16" s="64"/>
      <c r="AI16" s="64"/>
      <c r="AJ16" s="64"/>
      <c r="AK16" s="64"/>
      <c r="AL16" s="64"/>
      <c r="AM16" s="64"/>
      <c r="AN16" s="64"/>
      <c r="AO16" s="64"/>
      <c r="AP16" s="64"/>
      <c r="AQ16" s="64">
        <v>0.2</v>
      </c>
      <c r="AR16" s="64">
        <v>0.2</v>
      </c>
      <c r="AS16" s="64">
        <v>0.2</v>
      </c>
      <c r="AT16" s="64">
        <v>0.2</v>
      </c>
      <c r="AU16" s="64">
        <v>0.2</v>
      </c>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M16" s="18">
        <f t="shared" ref="DM16:DM18" si="13">IF(AND(C16&lt;&gt;"",COUNTIF(E16:T16,"")&gt;0),1,0)</f>
        <v>0</v>
      </c>
      <c r="DN16" s="18">
        <f t="shared" si="4"/>
        <v>0</v>
      </c>
      <c r="DO16" s="18">
        <f t="shared" ref="DO16:DO18" si="14">IF(AND(T16&gt;=S16,S16&gt;=R16),0,1)</f>
        <v>0</v>
      </c>
      <c r="DP16" s="18">
        <f t="shared" ref="DP16:DP18" ca="1" si="15">IF(ISERROR(SUM(U16:U16)),1,0)</f>
        <v>0</v>
      </c>
    </row>
    <row r="17" spans="3:120" x14ac:dyDescent="0.3">
      <c r="C17" s="7" t="s">
        <v>195</v>
      </c>
      <c r="D17" s="7">
        <v>7</v>
      </c>
      <c r="E17" s="7" t="s">
        <v>49</v>
      </c>
      <c r="F17" s="7" t="s">
        <v>167</v>
      </c>
      <c r="G17" s="7" t="s">
        <v>166</v>
      </c>
      <c r="H17" s="7" t="s">
        <v>2</v>
      </c>
      <c r="I17" s="7" t="s">
        <v>184</v>
      </c>
      <c r="J17" s="17">
        <f t="shared" si="8"/>
        <v>42826</v>
      </c>
      <c r="K17" s="17">
        <f t="shared" si="9"/>
        <v>43921</v>
      </c>
      <c r="L17" s="30" t="s">
        <v>113</v>
      </c>
      <c r="M17" s="50">
        <v>1</v>
      </c>
      <c r="N17" s="32">
        <v>100</v>
      </c>
      <c r="O17" s="76">
        <v>1</v>
      </c>
      <c r="P17" s="76">
        <v>1</v>
      </c>
      <c r="Q17" s="76">
        <v>1</v>
      </c>
      <c r="R17" s="71">
        <f t="shared" si="10"/>
        <v>170</v>
      </c>
      <c r="S17" s="71">
        <f t="shared" ref="S17:T17" si="16">SUM(S12:S16)</f>
        <v>340</v>
      </c>
      <c r="T17" s="71">
        <f t="shared" si="16"/>
        <v>510</v>
      </c>
      <c r="U17" s="72">
        <f ca="1">_xll.CampagnaInputTriangular(O17,P17,Q17)*_xll.CampagnaInputTriangular(R17,S17,T17)*N17*_xll.CampagnaInputBernoulli(M17)</f>
        <v>39149.128059250783</v>
      </c>
      <c r="V17" s="7"/>
      <c r="X17" s="57">
        <f t="shared" si="12"/>
        <v>1</v>
      </c>
      <c r="Z17" s="64"/>
      <c r="AA17" s="64"/>
      <c r="AB17" s="64"/>
      <c r="AC17" s="64"/>
      <c r="AD17" s="64"/>
      <c r="AE17" s="64"/>
      <c r="AF17" s="64"/>
      <c r="AG17" s="64"/>
      <c r="AH17" s="64"/>
      <c r="AI17" s="64"/>
      <c r="AJ17" s="64"/>
      <c r="AK17" s="64"/>
      <c r="AL17" s="64"/>
      <c r="AM17" s="64"/>
      <c r="AN17" s="64"/>
      <c r="AO17" s="64"/>
      <c r="AP17" s="64"/>
      <c r="AQ17" s="64">
        <v>0.2</v>
      </c>
      <c r="AR17" s="64">
        <v>0.2</v>
      </c>
      <c r="AS17" s="64">
        <v>0.2</v>
      </c>
      <c r="AT17" s="64">
        <v>0.2</v>
      </c>
      <c r="AU17" s="64">
        <v>0.2</v>
      </c>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M17" s="18">
        <f t="shared" si="13"/>
        <v>0</v>
      </c>
      <c r="DN17" s="18">
        <f t="shared" si="4"/>
        <v>0</v>
      </c>
      <c r="DO17" s="18">
        <f t="shared" si="14"/>
        <v>0</v>
      </c>
      <c r="DP17" s="18">
        <f t="shared" ca="1" si="15"/>
        <v>0</v>
      </c>
    </row>
    <row r="18" spans="3:120" x14ac:dyDescent="0.3">
      <c r="C18" s="7" t="s">
        <v>196</v>
      </c>
      <c r="D18" s="7">
        <v>8</v>
      </c>
      <c r="E18" s="7" t="s">
        <v>49</v>
      </c>
      <c r="F18" s="7" t="s">
        <v>167</v>
      </c>
      <c r="G18" s="7" t="s">
        <v>166</v>
      </c>
      <c r="H18" s="7" t="s">
        <v>3</v>
      </c>
      <c r="I18" s="7" t="s">
        <v>177</v>
      </c>
      <c r="J18" s="17">
        <f t="shared" si="8"/>
        <v>43191</v>
      </c>
      <c r="K18" s="17">
        <f t="shared" si="9"/>
        <v>43921</v>
      </c>
      <c r="L18" s="30" t="s">
        <v>113</v>
      </c>
      <c r="M18" s="50">
        <v>1</v>
      </c>
      <c r="N18" s="32">
        <v>100</v>
      </c>
      <c r="O18" s="76">
        <v>1</v>
      </c>
      <c r="P18" s="76">
        <v>1</v>
      </c>
      <c r="Q18" s="76">
        <v>1</v>
      </c>
      <c r="R18" s="71">
        <f t="shared" si="10"/>
        <v>330</v>
      </c>
      <c r="S18" s="71">
        <f t="shared" ref="S18:T18" si="17">SUM(S13:S17)</f>
        <v>660</v>
      </c>
      <c r="T18" s="71">
        <f t="shared" si="17"/>
        <v>990</v>
      </c>
      <c r="U18" s="72">
        <f ca="1">_xll.CampagnaInputTriangular(O18,P18,Q18)*_xll.CampagnaInputTriangular(R18,S18,T18)*N18*_xll.CampagnaInputBernoulli(M18)</f>
        <v>60763.647518764665</v>
      </c>
      <c r="V18" s="7"/>
      <c r="X18" s="57">
        <f t="shared" si="12"/>
        <v>1</v>
      </c>
      <c r="Z18" s="64"/>
      <c r="AA18" s="64"/>
      <c r="AB18" s="64"/>
      <c r="AC18" s="64"/>
      <c r="AD18" s="64"/>
      <c r="AE18" s="64"/>
      <c r="AF18" s="64"/>
      <c r="AG18" s="64"/>
      <c r="AH18" s="64"/>
      <c r="AI18" s="64"/>
      <c r="AJ18" s="64"/>
      <c r="AK18" s="64"/>
      <c r="AL18" s="64"/>
      <c r="AM18" s="64"/>
      <c r="AN18" s="64"/>
      <c r="AO18" s="64"/>
      <c r="AP18" s="64"/>
      <c r="AQ18" s="64">
        <v>0.2</v>
      </c>
      <c r="AR18" s="64">
        <v>0.2</v>
      </c>
      <c r="AS18" s="64">
        <v>0.2</v>
      </c>
      <c r="AT18" s="64">
        <v>0.2</v>
      </c>
      <c r="AU18" s="64">
        <v>0.2</v>
      </c>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M18" s="18">
        <f t="shared" si="13"/>
        <v>0</v>
      </c>
      <c r="DN18" s="18">
        <f t="shared" si="4"/>
        <v>0</v>
      </c>
      <c r="DO18" s="18">
        <f t="shared" si="14"/>
        <v>0</v>
      </c>
      <c r="DP18" s="18">
        <f t="shared" ca="1" si="15"/>
        <v>0</v>
      </c>
    </row>
    <row r="19" spans="3:120" x14ac:dyDescent="0.3">
      <c r="C19" s="7"/>
      <c r="D19" s="7"/>
      <c r="E19" s="7"/>
      <c r="F19" s="7"/>
      <c r="G19" s="7"/>
      <c r="H19" s="7"/>
      <c r="I19" s="7"/>
      <c r="J19" s="17"/>
      <c r="K19" s="17"/>
      <c r="L19" s="17"/>
      <c r="M19" s="24"/>
      <c r="N19" s="27"/>
      <c r="O19" s="27"/>
      <c r="P19" s="27"/>
      <c r="Q19" s="27"/>
      <c r="R19" s="70"/>
      <c r="S19" s="70"/>
      <c r="T19" s="70"/>
      <c r="U19" s="72">
        <f ca="1">_xll.CampagnaInputTriangular(O19,P19,Q19)*_xll.CampagnaInputTriangular(R19,S19,T19)*N19*_xll.CampagnaInputBernoulli(M19)</f>
        <v>0</v>
      </c>
      <c r="V19" s="7"/>
      <c r="X19" s="57">
        <f t="shared" si="3"/>
        <v>0</v>
      </c>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M19" s="18">
        <f t="shared" si="0"/>
        <v>0</v>
      </c>
      <c r="DN19" s="18">
        <f t="shared" si="4"/>
        <v>0</v>
      </c>
      <c r="DO19" s="18">
        <f t="shared" si="1"/>
        <v>0</v>
      </c>
      <c r="DP19" s="18">
        <f t="shared" ca="1" si="2"/>
        <v>0</v>
      </c>
    </row>
    <row r="20" spans="3:120" x14ac:dyDescent="0.3">
      <c r="C20" s="7"/>
      <c r="D20" s="7"/>
      <c r="E20" s="7"/>
      <c r="F20" s="7"/>
      <c r="G20" s="7"/>
      <c r="H20" s="7"/>
      <c r="I20" s="7"/>
      <c r="J20" s="17"/>
      <c r="K20" s="17"/>
      <c r="L20" s="17"/>
      <c r="M20" s="24"/>
      <c r="N20" s="27"/>
      <c r="O20" s="27"/>
      <c r="P20" s="27"/>
      <c r="Q20" s="27"/>
      <c r="R20" s="70"/>
      <c r="S20" s="70"/>
      <c r="T20" s="70"/>
      <c r="U20" s="72">
        <f ca="1">_xll.CampagnaInputTriangular(O20,P20,Q20)*_xll.CampagnaInputTriangular(R20,S20,T20)*N20*_xll.CampagnaInputBernoulli(M20)</f>
        <v>0</v>
      </c>
      <c r="V20" s="7"/>
      <c r="X20" s="57">
        <f t="shared" si="3"/>
        <v>0</v>
      </c>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M20" s="18">
        <f t="shared" si="0"/>
        <v>0</v>
      </c>
      <c r="DN20" s="18">
        <f t="shared" si="4"/>
        <v>0</v>
      </c>
      <c r="DO20" s="18">
        <f t="shared" si="1"/>
        <v>0</v>
      </c>
      <c r="DP20" s="18">
        <f t="shared" ca="1" si="2"/>
        <v>0</v>
      </c>
    </row>
    <row r="21" spans="3:120" x14ac:dyDescent="0.3">
      <c r="C21" s="7"/>
      <c r="D21" s="7"/>
      <c r="E21" s="7"/>
      <c r="F21" s="7"/>
      <c r="G21" s="7"/>
      <c r="H21" s="7"/>
      <c r="I21" s="7"/>
      <c r="J21" s="17"/>
      <c r="K21" s="17"/>
      <c r="L21" s="17"/>
      <c r="M21" s="24"/>
      <c r="N21" s="27"/>
      <c r="O21" s="27"/>
      <c r="P21" s="27"/>
      <c r="Q21" s="27"/>
      <c r="R21" s="70"/>
      <c r="S21" s="70"/>
      <c r="T21" s="70"/>
      <c r="U21" s="72">
        <f ca="1">_xll.CampagnaInputTriangular(O21,P21,Q21)*_xll.CampagnaInputTriangular(R21,S21,T21)*N21*_xll.CampagnaInputBernoulli(M21)</f>
        <v>0</v>
      </c>
      <c r="V21" s="7"/>
      <c r="X21" s="57">
        <f t="shared" si="3"/>
        <v>0</v>
      </c>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c r="DI21" s="64"/>
      <c r="DJ21" s="64"/>
      <c r="DK21" s="64"/>
      <c r="DM21" s="18">
        <f t="shared" si="0"/>
        <v>0</v>
      </c>
      <c r="DN21" s="18">
        <f t="shared" si="4"/>
        <v>0</v>
      </c>
      <c r="DO21" s="18">
        <f t="shared" si="1"/>
        <v>0</v>
      </c>
      <c r="DP21" s="18">
        <f t="shared" ca="1" si="2"/>
        <v>0</v>
      </c>
    </row>
    <row r="22" spans="3:120" x14ac:dyDescent="0.3">
      <c r="C22" s="7"/>
      <c r="D22" s="7"/>
      <c r="E22" s="7"/>
      <c r="F22" s="7"/>
      <c r="G22" s="7"/>
      <c r="H22" s="7"/>
      <c r="I22" s="7"/>
      <c r="J22" s="17"/>
      <c r="K22" s="17"/>
      <c r="L22" s="17"/>
      <c r="M22" s="24"/>
      <c r="N22" s="27"/>
      <c r="O22" s="27"/>
      <c r="P22" s="27"/>
      <c r="Q22" s="27"/>
      <c r="R22" s="70"/>
      <c r="S22" s="70"/>
      <c r="T22" s="70"/>
      <c r="U22" s="72">
        <f ca="1">_xll.CampagnaInputTriangular(O22,P22,Q22)*_xll.CampagnaInputTriangular(R22,S22,T22)*N22*_xll.CampagnaInputBernoulli(M22)</f>
        <v>0</v>
      </c>
      <c r="V22" s="7"/>
      <c r="X22" s="57">
        <f t="shared" si="3"/>
        <v>0</v>
      </c>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M22" s="18">
        <f t="shared" si="0"/>
        <v>0</v>
      </c>
      <c r="DN22" s="18">
        <f t="shared" si="4"/>
        <v>0</v>
      </c>
      <c r="DO22" s="18">
        <f t="shared" si="1"/>
        <v>0</v>
      </c>
      <c r="DP22" s="18">
        <f t="shared" ca="1" si="2"/>
        <v>0</v>
      </c>
    </row>
    <row r="23" spans="3:120" x14ac:dyDescent="0.3">
      <c r="C23" s="7"/>
      <c r="D23" s="7"/>
      <c r="E23" s="7"/>
      <c r="F23" s="7"/>
      <c r="G23" s="7"/>
      <c r="H23" s="7"/>
      <c r="I23" s="7"/>
      <c r="J23" s="17"/>
      <c r="K23" s="17"/>
      <c r="L23" s="17"/>
      <c r="M23" s="24"/>
      <c r="N23" s="27"/>
      <c r="O23" s="27"/>
      <c r="P23" s="27"/>
      <c r="Q23" s="27"/>
      <c r="R23" s="70"/>
      <c r="S23" s="70"/>
      <c r="T23" s="70"/>
      <c r="U23" s="72">
        <f ca="1">_xll.CampagnaInputTriangular(O23,P23,Q23)*_xll.CampagnaInputTriangular(R23,S23,T23)*N23*_xll.CampagnaInputBernoulli(M23)</f>
        <v>0</v>
      </c>
      <c r="V23" s="7"/>
      <c r="X23" s="57">
        <f t="shared" si="3"/>
        <v>0</v>
      </c>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c r="DI23" s="64"/>
      <c r="DJ23" s="64"/>
      <c r="DK23" s="64"/>
      <c r="DM23" s="18">
        <f t="shared" si="0"/>
        <v>0</v>
      </c>
      <c r="DN23" s="18">
        <f t="shared" si="4"/>
        <v>0</v>
      </c>
      <c r="DO23" s="18">
        <f t="shared" si="1"/>
        <v>0</v>
      </c>
      <c r="DP23" s="18">
        <f t="shared" ca="1" si="2"/>
        <v>0</v>
      </c>
    </row>
    <row r="24" spans="3:120" x14ac:dyDescent="0.3">
      <c r="C24" s="7"/>
      <c r="D24" s="7"/>
      <c r="E24" s="7"/>
      <c r="F24" s="7"/>
      <c r="G24" s="7"/>
      <c r="H24" s="7"/>
      <c r="I24" s="7"/>
      <c r="J24" s="17"/>
      <c r="K24" s="17"/>
      <c r="L24" s="17"/>
      <c r="M24" s="24"/>
      <c r="N24" s="27"/>
      <c r="O24" s="27"/>
      <c r="P24" s="27"/>
      <c r="Q24" s="27"/>
      <c r="R24" s="70"/>
      <c r="S24" s="70"/>
      <c r="T24" s="70"/>
      <c r="U24" s="72">
        <f ca="1">_xll.CampagnaInputTriangular(O24,P24,Q24)*_xll.CampagnaInputTriangular(R24,S24,T24)*N24*_xll.CampagnaInputBernoulli(M24)</f>
        <v>0</v>
      </c>
      <c r="V24" s="7"/>
      <c r="X24" s="57">
        <f t="shared" si="3"/>
        <v>0</v>
      </c>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M24" s="18">
        <f t="shared" si="0"/>
        <v>0</v>
      </c>
      <c r="DN24" s="18">
        <f t="shared" si="4"/>
        <v>0</v>
      </c>
      <c r="DO24" s="18">
        <f t="shared" si="1"/>
        <v>0</v>
      </c>
      <c r="DP24" s="18">
        <f t="shared" ca="1" si="2"/>
        <v>0</v>
      </c>
    </row>
    <row r="25" spans="3:120" x14ac:dyDescent="0.3">
      <c r="C25" s="7"/>
      <c r="D25" s="7"/>
      <c r="E25" s="7"/>
      <c r="F25" s="7"/>
      <c r="G25" s="7"/>
      <c r="H25" s="7"/>
      <c r="I25" s="7"/>
      <c r="J25" s="17"/>
      <c r="K25" s="17"/>
      <c r="L25" s="17"/>
      <c r="M25" s="24"/>
      <c r="N25" s="27"/>
      <c r="O25" s="27"/>
      <c r="P25" s="27"/>
      <c r="Q25" s="27"/>
      <c r="R25" s="70"/>
      <c r="S25" s="70"/>
      <c r="T25" s="70"/>
      <c r="U25" s="72">
        <f ca="1">_xll.CampagnaInputTriangular(O25,P25,Q25)*_xll.CampagnaInputTriangular(R25,S25,T25)*N25*_xll.CampagnaInputBernoulli(M25)</f>
        <v>0</v>
      </c>
      <c r="V25" s="7"/>
      <c r="X25" s="57">
        <f t="shared" si="3"/>
        <v>0</v>
      </c>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M25" s="18">
        <f t="shared" si="0"/>
        <v>0</v>
      </c>
      <c r="DN25" s="18">
        <f t="shared" si="4"/>
        <v>0</v>
      </c>
      <c r="DO25" s="18">
        <f t="shared" si="1"/>
        <v>0</v>
      </c>
      <c r="DP25" s="18">
        <f t="shared" ca="1" si="2"/>
        <v>0</v>
      </c>
    </row>
    <row r="26" spans="3:120" x14ac:dyDescent="0.3">
      <c r="C26" s="7"/>
      <c r="D26" s="7"/>
      <c r="E26" s="7"/>
      <c r="F26" s="7"/>
      <c r="G26" s="7"/>
      <c r="H26" s="7"/>
      <c r="I26" s="7"/>
      <c r="J26" s="17"/>
      <c r="K26" s="17"/>
      <c r="L26" s="17"/>
      <c r="M26" s="24"/>
      <c r="N26" s="27"/>
      <c r="O26" s="27"/>
      <c r="P26" s="27"/>
      <c r="Q26" s="27"/>
      <c r="R26" s="70"/>
      <c r="S26" s="70"/>
      <c r="T26" s="70"/>
      <c r="U26" s="72">
        <f ca="1">_xll.CampagnaInputTriangular(O26,P26,Q26)*_xll.CampagnaInputTriangular(R26,S26,T26)*N26*_xll.CampagnaInputBernoulli(M26)</f>
        <v>0</v>
      </c>
      <c r="V26" s="7"/>
      <c r="X26" s="57">
        <f t="shared" si="3"/>
        <v>0</v>
      </c>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M26" s="18">
        <f t="shared" si="0"/>
        <v>0</v>
      </c>
      <c r="DN26" s="18">
        <f t="shared" si="4"/>
        <v>0</v>
      </c>
      <c r="DO26" s="18">
        <f t="shared" si="1"/>
        <v>0</v>
      </c>
      <c r="DP26" s="18">
        <f t="shared" ca="1" si="2"/>
        <v>0</v>
      </c>
    </row>
    <row r="27" spans="3:120" x14ac:dyDescent="0.3">
      <c r="C27" s="7"/>
      <c r="D27" s="7"/>
      <c r="E27" s="7"/>
      <c r="F27" s="7"/>
      <c r="G27" s="7"/>
      <c r="H27" s="7"/>
      <c r="I27" s="7"/>
      <c r="J27" s="17"/>
      <c r="K27" s="17"/>
      <c r="L27" s="17"/>
      <c r="M27" s="24"/>
      <c r="N27" s="27"/>
      <c r="O27" s="27"/>
      <c r="P27" s="27"/>
      <c r="Q27" s="27"/>
      <c r="R27" s="70"/>
      <c r="S27" s="70"/>
      <c r="T27" s="70"/>
      <c r="U27" s="72">
        <f ca="1">_xll.CampagnaInputTriangular(O27,P27,Q27)*_xll.CampagnaInputTriangular(R27,S27,T27)*N27*_xll.CampagnaInputBernoulli(M27)</f>
        <v>0</v>
      </c>
      <c r="V27" s="7"/>
      <c r="X27" s="57">
        <f t="shared" si="3"/>
        <v>0</v>
      </c>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M27" s="18">
        <f t="shared" si="0"/>
        <v>0</v>
      </c>
      <c r="DN27" s="18">
        <f t="shared" si="4"/>
        <v>0</v>
      </c>
      <c r="DO27" s="18">
        <f t="shared" si="1"/>
        <v>0</v>
      </c>
      <c r="DP27" s="18">
        <f t="shared" ca="1" si="2"/>
        <v>0</v>
      </c>
    </row>
    <row r="28" spans="3:120" x14ac:dyDescent="0.3">
      <c r="C28" s="7"/>
      <c r="D28" s="7"/>
      <c r="E28" s="7"/>
      <c r="F28" s="7"/>
      <c r="G28" s="7"/>
      <c r="H28" s="7"/>
      <c r="I28" s="7"/>
      <c r="J28" s="17"/>
      <c r="K28" s="17"/>
      <c r="L28" s="17"/>
      <c r="M28" s="24"/>
      <c r="N28" s="27"/>
      <c r="O28" s="27"/>
      <c r="P28" s="27"/>
      <c r="Q28" s="27"/>
      <c r="R28" s="70"/>
      <c r="S28" s="70"/>
      <c r="T28" s="70"/>
      <c r="U28" s="72">
        <f ca="1">_xll.CampagnaInputTriangular(O28,P28,Q28)*_xll.CampagnaInputTriangular(R28,S28,T28)*N28*_xll.CampagnaInputBernoulli(M28)</f>
        <v>0</v>
      </c>
      <c r="V28" s="7"/>
      <c r="X28" s="57">
        <f t="shared" si="3"/>
        <v>0</v>
      </c>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M28" s="18">
        <f t="shared" si="0"/>
        <v>0</v>
      </c>
      <c r="DN28" s="18">
        <f t="shared" si="4"/>
        <v>0</v>
      </c>
      <c r="DO28" s="18">
        <f t="shared" si="1"/>
        <v>0</v>
      </c>
      <c r="DP28" s="18">
        <f t="shared" ca="1" si="2"/>
        <v>0</v>
      </c>
    </row>
    <row r="29" spans="3:120" x14ac:dyDescent="0.3">
      <c r="C29" s="7"/>
      <c r="D29" s="7"/>
      <c r="E29" s="7"/>
      <c r="F29" s="7"/>
      <c r="G29" s="7"/>
      <c r="H29" s="7"/>
      <c r="I29" s="7"/>
      <c r="J29" s="17"/>
      <c r="K29" s="17"/>
      <c r="L29" s="17"/>
      <c r="M29" s="24"/>
      <c r="N29" s="27"/>
      <c r="O29" s="27"/>
      <c r="P29" s="27"/>
      <c r="Q29" s="27"/>
      <c r="R29" s="70"/>
      <c r="S29" s="70"/>
      <c r="T29" s="70"/>
      <c r="U29" s="72">
        <f ca="1">_xll.CampagnaInputTriangular(O29,P29,Q29)*_xll.CampagnaInputTriangular(R29,S29,T29)*N29*_xll.CampagnaInputBernoulli(M29)</f>
        <v>0</v>
      </c>
      <c r="V29" s="7"/>
      <c r="X29" s="57">
        <f t="shared" si="3"/>
        <v>0</v>
      </c>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M29" s="18">
        <f t="shared" si="0"/>
        <v>0</v>
      </c>
      <c r="DN29" s="18">
        <f t="shared" si="4"/>
        <v>0</v>
      </c>
      <c r="DO29" s="18">
        <f t="shared" si="1"/>
        <v>0</v>
      </c>
      <c r="DP29" s="18">
        <f t="shared" ca="1" si="2"/>
        <v>0</v>
      </c>
    </row>
    <row r="30" spans="3:120" x14ac:dyDescent="0.3">
      <c r="C30" s="7"/>
      <c r="D30" s="7"/>
      <c r="E30" s="7"/>
      <c r="F30" s="7"/>
      <c r="G30" s="7"/>
      <c r="H30" s="7"/>
      <c r="I30" s="7"/>
      <c r="J30" s="17"/>
      <c r="K30" s="17"/>
      <c r="L30" s="17"/>
      <c r="M30" s="24"/>
      <c r="N30" s="27"/>
      <c r="O30" s="27"/>
      <c r="P30" s="27"/>
      <c r="Q30" s="27"/>
      <c r="R30" s="70"/>
      <c r="S30" s="70"/>
      <c r="T30" s="70"/>
      <c r="U30" s="72">
        <f ca="1">_xll.CampagnaInputTriangular(O30,P30,Q30)*_xll.CampagnaInputTriangular(R30,S30,T30)*N30*_xll.CampagnaInputBernoulli(M30)</f>
        <v>0</v>
      </c>
      <c r="V30" s="7"/>
      <c r="X30" s="57">
        <f t="shared" si="3"/>
        <v>0</v>
      </c>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c r="DI30" s="64"/>
      <c r="DJ30" s="64"/>
      <c r="DK30" s="64"/>
      <c r="DM30" s="18">
        <f t="shared" si="0"/>
        <v>0</v>
      </c>
      <c r="DN30" s="18">
        <f t="shared" si="4"/>
        <v>0</v>
      </c>
      <c r="DO30" s="18">
        <f t="shared" si="1"/>
        <v>0</v>
      </c>
      <c r="DP30" s="18">
        <f t="shared" ca="1" si="2"/>
        <v>0</v>
      </c>
    </row>
    <row r="31" spans="3:120" x14ac:dyDescent="0.3">
      <c r="C31" s="7"/>
      <c r="D31" s="7"/>
      <c r="E31" s="7"/>
      <c r="F31" s="7"/>
      <c r="G31" s="7"/>
      <c r="H31" s="7"/>
      <c r="I31" s="7"/>
      <c r="J31" s="17"/>
      <c r="K31" s="17"/>
      <c r="L31" s="17"/>
      <c r="M31" s="24"/>
      <c r="N31" s="27"/>
      <c r="O31" s="27"/>
      <c r="P31" s="27"/>
      <c r="Q31" s="27"/>
      <c r="R31" s="70"/>
      <c r="S31" s="70"/>
      <c r="T31" s="70"/>
      <c r="U31" s="72">
        <f ca="1">_xll.CampagnaInputTriangular(O31,P31,Q31)*_xll.CampagnaInputTriangular(R31,S31,T31)*N31*_xll.CampagnaInputBernoulli(M31)</f>
        <v>0</v>
      </c>
      <c r="V31" s="7"/>
      <c r="X31" s="57">
        <f t="shared" si="3"/>
        <v>0</v>
      </c>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c r="DI31" s="64"/>
      <c r="DJ31" s="64"/>
      <c r="DK31" s="64"/>
      <c r="DM31" s="18">
        <f t="shared" si="0"/>
        <v>0</v>
      </c>
      <c r="DN31" s="18">
        <f t="shared" si="4"/>
        <v>0</v>
      </c>
      <c r="DO31" s="18">
        <f t="shared" si="1"/>
        <v>0</v>
      </c>
      <c r="DP31" s="18">
        <f t="shared" ca="1" si="2"/>
        <v>0</v>
      </c>
    </row>
    <row r="32" spans="3:120" x14ac:dyDescent="0.3">
      <c r="C32" s="7"/>
      <c r="D32" s="7"/>
      <c r="E32" s="7"/>
      <c r="F32" s="7"/>
      <c r="G32" s="7"/>
      <c r="H32" s="7"/>
      <c r="I32" s="7"/>
      <c r="J32" s="17"/>
      <c r="K32" s="17"/>
      <c r="L32" s="17"/>
      <c r="M32" s="24"/>
      <c r="N32" s="27"/>
      <c r="O32" s="27"/>
      <c r="P32" s="27"/>
      <c r="Q32" s="27"/>
      <c r="R32" s="70"/>
      <c r="S32" s="70"/>
      <c r="T32" s="70"/>
      <c r="U32" s="72">
        <f ca="1">_xll.CampagnaInputTriangular(O32,P32,Q32)*_xll.CampagnaInputTriangular(R32,S32,T32)*N32*_xll.CampagnaInputBernoulli(M32)</f>
        <v>0</v>
      </c>
      <c r="V32" s="7"/>
      <c r="X32" s="57">
        <f t="shared" si="3"/>
        <v>0</v>
      </c>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c r="DI32" s="64"/>
      <c r="DJ32" s="64"/>
      <c r="DK32" s="64"/>
      <c r="DM32" s="18">
        <f t="shared" si="0"/>
        <v>0</v>
      </c>
      <c r="DN32" s="18">
        <f t="shared" si="4"/>
        <v>0</v>
      </c>
      <c r="DO32" s="18">
        <f t="shared" si="1"/>
        <v>0</v>
      </c>
      <c r="DP32" s="18">
        <f t="shared" ca="1" si="2"/>
        <v>0</v>
      </c>
    </row>
    <row r="33" spans="3:120" x14ac:dyDescent="0.3">
      <c r="C33" s="7"/>
      <c r="D33" s="7"/>
      <c r="E33" s="7"/>
      <c r="F33" s="7"/>
      <c r="G33" s="7"/>
      <c r="H33" s="7"/>
      <c r="I33" s="7"/>
      <c r="J33" s="17"/>
      <c r="K33" s="17"/>
      <c r="L33" s="17"/>
      <c r="M33" s="24"/>
      <c r="N33" s="27"/>
      <c r="O33" s="27"/>
      <c r="P33" s="27"/>
      <c r="Q33" s="27"/>
      <c r="R33" s="70"/>
      <c r="S33" s="70"/>
      <c r="T33" s="70"/>
      <c r="U33" s="72">
        <f ca="1">_xll.CampagnaInputTriangular(O33,P33,Q33)*_xll.CampagnaInputTriangular(R33,S33,T33)*N33*_xll.CampagnaInputBernoulli(M33)</f>
        <v>0</v>
      </c>
      <c r="V33" s="7"/>
      <c r="X33" s="57">
        <f t="shared" si="3"/>
        <v>0</v>
      </c>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c r="DI33" s="64"/>
      <c r="DJ33" s="64"/>
      <c r="DK33" s="64"/>
      <c r="DM33" s="18">
        <f t="shared" si="0"/>
        <v>0</v>
      </c>
      <c r="DN33" s="18">
        <f t="shared" si="4"/>
        <v>0</v>
      </c>
      <c r="DO33" s="18">
        <f t="shared" si="1"/>
        <v>0</v>
      </c>
      <c r="DP33" s="18">
        <f t="shared" ca="1" si="2"/>
        <v>0</v>
      </c>
    </row>
    <row r="34" spans="3:120" x14ac:dyDescent="0.3">
      <c r="C34" s="7"/>
      <c r="D34" s="7"/>
      <c r="E34" s="7"/>
      <c r="F34" s="7"/>
      <c r="G34" s="7"/>
      <c r="H34" s="7"/>
      <c r="I34" s="7"/>
      <c r="J34" s="17"/>
      <c r="K34" s="17"/>
      <c r="L34" s="17"/>
      <c r="M34" s="24"/>
      <c r="N34" s="27"/>
      <c r="O34" s="27"/>
      <c r="P34" s="27"/>
      <c r="Q34" s="27"/>
      <c r="R34" s="70"/>
      <c r="S34" s="70"/>
      <c r="T34" s="70"/>
      <c r="U34" s="72">
        <f ca="1">_xll.CampagnaInputTriangular(O34,P34,Q34)*_xll.CampagnaInputTriangular(R34,S34,T34)*N34*_xll.CampagnaInputBernoulli(M34)</f>
        <v>0</v>
      </c>
      <c r="V34" s="7"/>
      <c r="X34" s="57">
        <f t="shared" si="3"/>
        <v>0</v>
      </c>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M34" s="18">
        <f t="shared" si="0"/>
        <v>0</v>
      </c>
      <c r="DN34" s="18">
        <f t="shared" si="4"/>
        <v>0</v>
      </c>
      <c r="DO34" s="18">
        <f t="shared" si="1"/>
        <v>0</v>
      </c>
      <c r="DP34" s="18">
        <f t="shared" ca="1" si="2"/>
        <v>0</v>
      </c>
    </row>
    <row r="35" spans="3:120" x14ac:dyDescent="0.3">
      <c r="C35" s="7"/>
      <c r="D35" s="7"/>
      <c r="E35" s="7"/>
      <c r="F35" s="7"/>
      <c r="G35" s="7"/>
      <c r="H35" s="7"/>
      <c r="I35" s="7"/>
      <c r="J35" s="17"/>
      <c r="K35" s="17"/>
      <c r="L35" s="17"/>
      <c r="M35" s="24"/>
      <c r="N35" s="27"/>
      <c r="O35" s="27"/>
      <c r="P35" s="27"/>
      <c r="Q35" s="27"/>
      <c r="R35" s="70"/>
      <c r="S35" s="70"/>
      <c r="T35" s="70"/>
      <c r="U35" s="72">
        <f ca="1">_xll.CampagnaInputTriangular(O35,P35,Q35)*_xll.CampagnaInputTriangular(R35,S35,T35)*N35*_xll.CampagnaInputBernoulli(M35)</f>
        <v>0</v>
      </c>
      <c r="V35" s="7"/>
      <c r="X35" s="57">
        <f t="shared" si="3"/>
        <v>0</v>
      </c>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c r="DI35" s="64"/>
      <c r="DJ35" s="64"/>
      <c r="DK35" s="64"/>
      <c r="DM35" s="18">
        <f t="shared" si="0"/>
        <v>0</v>
      </c>
      <c r="DN35" s="18">
        <f t="shared" si="4"/>
        <v>0</v>
      </c>
      <c r="DO35" s="18">
        <f t="shared" si="1"/>
        <v>0</v>
      </c>
      <c r="DP35" s="18">
        <f t="shared" ca="1" si="2"/>
        <v>0</v>
      </c>
    </row>
    <row r="36" spans="3:120" x14ac:dyDescent="0.3">
      <c r="C36" s="7"/>
      <c r="D36" s="7"/>
      <c r="E36" s="7"/>
      <c r="F36" s="7"/>
      <c r="G36" s="7"/>
      <c r="H36" s="7"/>
      <c r="I36" s="7"/>
      <c r="J36" s="17"/>
      <c r="K36" s="17"/>
      <c r="L36" s="17"/>
      <c r="M36" s="24"/>
      <c r="N36" s="27"/>
      <c r="O36" s="27"/>
      <c r="P36" s="27"/>
      <c r="Q36" s="27"/>
      <c r="R36" s="70"/>
      <c r="S36" s="70"/>
      <c r="T36" s="70"/>
      <c r="U36" s="72">
        <f ca="1">_xll.CampagnaInputTriangular(O36,P36,Q36)*_xll.CampagnaInputTriangular(R36,S36,T36)*N36*_xll.CampagnaInputBernoulli(M36)</f>
        <v>0</v>
      </c>
      <c r="V36" s="7"/>
      <c r="X36" s="57">
        <f t="shared" si="3"/>
        <v>0</v>
      </c>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c r="DI36" s="64"/>
      <c r="DJ36" s="64"/>
      <c r="DK36" s="64"/>
      <c r="DM36" s="18">
        <f t="shared" si="0"/>
        <v>0</v>
      </c>
      <c r="DN36" s="18">
        <f t="shared" si="4"/>
        <v>0</v>
      </c>
      <c r="DO36" s="18">
        <f t="shared" si="1"/>
        <v>0</v>
      </c>
      <c r="DP36" s="18">
        <f t="shared" ca="1" si="2"/>
        <v>0</v>
      </c>
    </row>
    <row r="37" spans="3:120" x14ac:dyDescent="0.3">
      <c r="C37" s="7"/>
      <c r="D37" s="7"/>
      <c r="E37" s="7"/>
      <c r="F37" s="7"/>
      <c r="G37" s="7"/>
      <c r="H37" s="7"/>
      <c r="I37" s="7"/>
      <c r="J37" s="17"/>
      <c r="K37" s="17"/>
      <c r="L37" s="17"/>
      <c r="M37" s="24"/>
      <c r="N37" s="27"/>
      <c r="O37" s="27"/>
      <c r="P37" s="27"/>
      <c r="Q37" s="27"/>
      <c r="R37" s="70"/>
      <c r="S37" s="70"/>
      <c r="T37" s="70"/>
      <c r="U37" s="72">
        <f ca="1">_xll.CampagnaInputTriangular(O37,P37,Q37)*_xll.CampagnaInputTriangular(R37,S37,T37)*N37*_xll.CampagnaInputBernoulli(M37)</f>
        <v>0</v>
      </c>
      <c r="V37" s="7"/>
      <c r="X37" s="57">
        <f t="shared" si="3"/>
        <v>0</v>
      </c>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c r="DI37" s="64"/>
      <c r="DJ37" s="64"/>
      <c r="DK37" s="64"/>
      <c r="DM37" s="18">
        <f t="shared" si="0"/>
        <v>0</v>
      </c>
      <c r="DN37" s="18">
        <f t="shared" si="4"/>
        <v>0</v>
      </c>
      <c r="DO37" s="18">
        <f t="shared" si="1"/>
        <v>0</v>
      </c>
      <c r="DP37" s="18">
        <f t="shared" ca="1" si="2"/>
        <v>0</v>
      </c>
    </row>
    <row r="38" spans="3:120" x14ac:dyDescent="0.3">
      <c r="C38" s="7"/>
      <c r="D38" s="7"/>
      <c r="E38" s="7"/>
      <c r="F38" s="7"/>
      <c r="G38" s="7"/>
      <c r="H38" s="7"/>
      <c r="I38" s="7"/>
      <c r="J38" s="17"/>
      <c r="K38" s="17"/>
      <c r="L38" s="17"/>
      <c r="M38" s="24"/>
      <c r="N38" s="27"/>
      <c r="O38" s="27"/>
      <c r="P38" s="27"/>
      <c r="Q38" s="27"/>
      <c r="R38" s="70"/>
      <c r="S38" s="70"/>
      <c r="T38" s="70"/>
      <c r="U38" s="72">
        <f ca="1">_xll.CampagnaInputTriangular(O38,P38,Q38)*_xll.CampagnaInputTriangular(R38,S38,T38)*N38*_xll.CampagnaInputBernoulli(M38)</f>
        <v>0</v>
      </c>
      <c r="V38" s="7"/>
      <c r="X38" s="57">
        <f t="shared" si="3"/>
        <v>0</v>
      </c>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c r="DI38" s="64"/>
      <c r="DJ38" s="64"/>
      <c r="DK38" s="64"/>
      <c r="DM38" s="18">
        <f t="shared" si="0"/>
        <v>0</v>
      </c>
      <c r="DN38" s="18">
        <f t="shared" si="4"/>
        <v>0</v>
      </c>
      <c r="DO38" s="18">
        <f t="shared" si="1"/>
        <v>0</v>
      </c>
      <c r="DP38" s="18">
        <f t="shared" ca="1" si="2"/>
        <v>0</v>
      </c>
    </row>
    <row r="39" spans="3:120" x14ac:dyDescent="0.3">
      <c r="C39" s="7"/>
      <c r="D39" s="7"/>
      <c r="E39" s="7"/>
      <c r="F39" s="7"/>
      <c r="G39" s="7"/>
      <c r="H39" s="7"/>
      <c r="I39" s="7"/>
      <c r="J39" s="17"/>
      <c r="K39" s="17"/>
      <c r="L39" s="17"/>
      <c r="M39" s="24"/>
      <c r="N39" s="27"/>
      <c r="O39" s="27"/>
      <c r="P39" s="27"/>
      <c r="Q39" s="27"/>
      <c r="R39" s="70"/>
      <c r="S39" s="70"/>
      <c r="T39" s="70"/>
      <c r="U39" s="72">
        <f ca="1">_xll.CampagnaInputTriangular(O39,P39,Q39)*_xll.CampagnaInputTriangular(R39,S39,T39)*N39*_xll.CampagnaInputBernoulli(M39)</f>
        <v>0</v>
      </c>
      <c r="V39" s="7"/>
      <c r="X39" s="57">
        <f t="shared" si="3"/>
        <v>0</v>
      </c>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c r="DI39" s="64"/>
      <c r="DJ39" s="64"/>
      <c r="DK39" s="64"/>
      <c r="DM39" s="18">
        <f t="shared" si="0"/>
        <v>0</v>
      </c>
      <c r="DN39" s="18">
        <f t="shared" si="4"/>
        <v>0</v>
      </c>
      <c r="DO39" s="18">
        <f t="shared" si="1"/>
        <v>0</v>
      </c>
      <c r="DP39" s="18">
        <f t="shared" ca="1" si="2"/>
        <v>0</v>
      </c>
    </row>
  </sheetData>
  <conditionalFormatting sqref="A1">
    <cfRule type="cellIs" dxfId="29" priority="13" operator="greaterThanOrEqual">
      <formula>1</formula>
    </cfRule>
  </conditionalFormatting>
  <conditionalFormatting sqref="D1">
    <cfRule type="cellIs" dxfId="28" priority="10" operator="equal">
      <formula>"Error"</formula>
    </cfRule>
  </conditionalFormatting>
  <conditionalFormatting sqref="R10:T39">
    <cfRule type="expression" dxfId="27" priority="6">
      <formula>$DO10=1</formula>
    </cfRule>
  </conditionalFormatting>
  <conditionalFormatting sqref="U10:U39">
    <cfRule type="expression" dxfId="26" priority="2">
      <formula>$DO10=1</formula>
    </cfRule>
  </conditionalFormatting>
  <conditionalFormatting sqref="O10:Q39">
    <cfRule type="expression" dxfId="25" priority="1">
      <formula>$DN10=1</formula>
    </cfRule>
  </conditionalFormatting>
  <dataValidations count="7">
    <dataValidation type="list" allowBlank="1" showInputMessage="1" showErrorMessage="1" sqref="E10:E39">
      <formula1>VAT_List</formula1>
    </dataValidation>
    <dataValidation type="list" allowBlank="1" showInputMessage="1" showErrorMessage="1" sqref="F10:F39">
      <formula1>Inflation_List</formula1>
    </dataValidation>
    <dataValidation type="list" allowBlank="1" showInputMessage="1" showErrorMessage="1" sqref="G10:G39">
      <formula1>Currency_List</formula1>
    </dataValidation>
    <dataValidation type="list" allowBlank="1" showInputMessage="1" showErrorMessage="1" sqref="H10:H39">
      <formula1>Phase</formula1>
    </dataValidation>
    <dataValidation type="list" allowBlank="1" showInputMessage="1" showErrorMessage="1" sqref="L10:L39">
      <formula1>FY</formula1>
    </dataValidation>
    <dataValidation type="decimal" allowBlank="1" showInputMessage="1" showErrorMessage="1" sqref="M10:M39">
      <formula1>0</formula1>
      <formula2>1</formula2>
    </dataValidation>
    <dataValidation type="list" allowBlank="1" showInputMessage="1" showErrorMessage="1" sqref="I10:I39">
      <formula1>Cost_Group</formula1>
    </dataValidation>
  </dataValidations>
  <pageMargins left="0.7" right="0.7" top="0.75" bottom="0.75" header="0.3" footer="0.3"/>
  <pageSetup paperSize="9" orientation="portrait" verticalDpi="300" r:id="rId1"/>
  <extLst>
    <ext xmlns:x14="http://schemas.microsoft.com/office/spreadsheetml/2009/9/main" uri="{78C0D931-6437-407d-A8EE-F0AAD7539E65}">
      <x14:conditionalFormattings>
        <x14:conditionalFormatting xmlns:xm="http://schemas.microsoft.com/office/excel/2006/main">
          <x14:cfRule type="expression" priority="11" id="{971A9F53-1F28-48AE-83C8-4FF581F91994}">
            <xm:f>AND($J10&lt;=Timeline!F$16,$K10&gt;=Timeline!F$15)</xm:f>
            <x14:dxf>
              <fill>
                <patternFill patternType="solid">
                  <bgColor theme="7" tint="0.79995117038483843"/>
                </patternFill>
              </fill>
            </x14:dxf>
          </x14:cfRule>
          <xm:sqref>Z10:DK39</xm:sqref>
        </x14:conditionalFormatting>
        <x14:conditionalFormatting xmlns:xm="http://schemas.microsoft.com/office/excel/2006/main">
          <x14:cfRule type="expression" priority="7" id="{9317B57B-6E60-4CC4-8E80-805071BB4DDC}">
            <xm:f>$G10='Global Constants'!$C$39</xm:f>
            <x14:dxf>
              <numFmt numFmtId="171" formatCode="_-[$€-2]\ * #,##0_-;\-[$€-2]\ * #,##0_-;_-[$€-2]\ * &quot;-&quot;_-;_-@_-"/>
            </x14:dxf>
          </x14:cfRule>
          <x14:cfRule type="expression" priority="8" id="{9740CE6E-25B8-4739-9A57-B2F8460B9D2B}">
            <xm:f>$G10='Global Constants'!$C$40</xm:f>
            <x14:dxf>
              <numFmt numFmtId="170" formatCode="_-[$$-409]* #,##0_ ;_-[$$-409]* \-#,##0\ ;_-[$$-409]* &quot;-&quot;_ ;_-@_ "/>
            </x14:dxf>
          </x14:cfRule>
          <x14:cfRule type="expression" priority="9" id="{86446D4B-3CC1-40CB-847F-634B8D9D0E0D}">
            <xm:f>$G10='Global Constants'!$C$40</xm:f>
            <x14:dxf>
              <numFmt numFmtId="32" formatCode="_-&quot;£&quot;* #,##0_-;\-&quot;£&quot;* #,##0_-;_-&quot;£&quot;* &quot;-&quot;_-;_-@_-"/>
            </x14:dxf>
          </x14:cfRule>
          <xm:sqref>R10:T39</xm:sqref>
        </x14:conditionalFormatting>
        <x14:conditionalFormatting xmlns:xm="http://schemas.microsoft.com/office/excel/2006/main">
          <x14:cfRule type="expression" priority="3" id="{36C9A45C-7450-4842-BEDF-4BEA85364170}">
            <xm:f>$G10='Global Constants'!$C$39</xm:f>
            <x14:dxf>
              <numFmt numFmtId="171" formatCode="_-[$€-2]\ * #,##0_-;\-[$€-2]\ * #,##0_-;_-[$€-2]\ * &quot;-&quot;_-;_-@_-"/>
            </x14:dxf>
          </x14:cfRule>
          <x14:cfRule type="expression" priority="4" id="{E0EF53E3-F462-4A63-9400-33C36DB2BE2D}">
            <xm:f>$G10='Global Constants'!$C$40</xm:f>
            <x14:dxf>
              <numFmt numFmtId="170" formatCode="_-[$$-409]* #,##0_ ;_-[$$-409]* \-#,##0\ ;_-[$$-409]* &quot;-&quot;_ ;_-@_ "/>
            </x14:dxf>
          </x14:cfRule>
          <x14:cfRule type="expression" priority="5" id="{561EA522-C5FA-417D-BD2E-8691ABC53AC3}">
            <xm:f>$G10='Global Constants'!$C$40</xm:f>
            <x14:dxf>
              <numFmt numFmtId="32" formatCode="_-&quot;£&quot;* #,##0_-;\-&quot;£&quot;* #,##0_-;_-&quot;£&quot;* &quot;-&quot;_-;_-@_-"/>
            </x14:dxf>
          </x14:cfRule>
          <xm:sqref>U10:U39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79998168889431442"/>
  </sheetPr>
  <dimension ref="A1:DA38"/>
  <sheetViews>
    <sheetView showGridLines="0" workbookViewId="0">
      <pane xSplit="3" ySplit="8" topLeftCell="CL9" activePane="bottomRight" state="frozenSplit"/>
      <selection pane="topRight" activeCell="D1" sqref="D1"/>
      <selection pane="bottomLeft" activeCell="A9" sqref="A9"/>
      <selection pane="bottomRight"/>
    </sheetView>
  </sheetViews>
  <sheetFormatPr defaultRowHeight="14.4" x14ac:dyDescent="0.3"/>
  <cols>
    <col min="1" max="2" width="2.77734375" customWidth="1"/>
    <col min="3" max="3" width="30" customWidth="1"/>
    <col min="4" max="4" width="10.21875" bestFit="1" customWidth="1"/>
    <col min="5" max="6" width="10.5546875" bestFit="1" customWidth="1"/>
    <col min="7" max="7" width="18.33203125" bestFit="1" customWidth="1"/>
    <col min="8" max="8" width="2.77734375" customWidth="1"/>
    <col min="9" max="9" width="12.88671875" bestFit="1" customWidth="1"/>
    <col min="10" max="10" width="13.6640625" bestFit="1" customWidth="1"/>
    <col min="11" max="11" width="2.77734375" customWidth="1"/>
    <col min="12" max="12" width="2.77734375" hidden="1" customWidth="1"/>
    <col min="13" max="14" width="10.5546875" customWidth="1"/>
    <col min="15" max="16" width="10.5546875" bestFit="1" customWidth="1"/>
    <col min="17" max="17" width="10.5546875" customWidth="1"/>
    <col min="18" max="102" width="10.5546875" bestFit="1" customWidth="1"/>
    <col min="104" max="104" width="11.88671875" bestFit="1" customWidth="1"/>
    <col min="105" max="105" width="11.33203125" bestFit="1" customWidth="1"/>
  </cols>
  <sheetData>
    <row r="1" spans="1:105" x14ac:dyDescent="0.3">
      <c r="A1" s="33">
        <f ca="1">IF(ISERROR(SUM(C6:DA38)),1,0)</f>
        <v>0</v>
      </c>
      <c r="C1" t="s">
        <v>79</v>
      </c>
      <c r="D1" s="33" t="str">
        <f ca="1">Model_Health</f>
        <v>OK</v>
      </c>
    </row>
    <row r="3" spans="1:105" ht="21" x14ac:dyDescent="0.4">
      <c r="C3" s="3" t="s">
        <v>41</v>
      </c>
    </row>
    <row r="4" spans="1:105" x14ac:dyDescent="0.3">
      <c r="C4" s="65" t="s">
        <v>148</v>
      </c>
      <c r="Z4" s="6" t="s">
        <v>129</v>
      </c>
      <c r="AA4" s="6"/>
    </row>
    <row r="6" spans="1:105" x14ac:dyDescent="0.3">
      <c r="C6" t="s">
        <v>98</v>
      </c>
      <c r="M6" s="22" t="str">
        <f>Timeline!F14</f>
        <v>19/20</v>
      </c>
      <c r="N6" s="22" t="str">
        <f>Timeline!G14</f>
        <v>20/21</v>
      </c>
      <c r="O6" s="22" t="str">
        <f>Timeline!H14</f>
        <v>21/22</v>
      </c>
      <c r="P6" s="22" t="str">
        <f>Timeline!I14</f>
        <v>22/23</v>
      </c>
      <c r="Q6" s="22" t="str">
        <f>Timeline!J14</f>
        <v>23/24</v>
      </c>
      <c r="R6" s="22" t="str">
        <f>Timeline!K14</f>
        <v>24/25</v>
      </c>
      <c r="S6" s="22" t="str">
        <f>Timeline!L14</f>
        <v>25/26</v>
      </c>
      <c r="T6" s="22" t="str">
        <f>Timeline!M14</f>
        <v>26/27</v>
      </c>
      <c r="U6" s="22" t="str">
        <f>Timeline!N14</f>
        <v>27/28</v>
      </c>
      <c r="V6" s="22" t="str">
        <f>Timeline!O14</f>
        <v>28/29</v>
      </c>
      <c r="W6" s="22" t="str">
        <f>Timeline!P14</f>
        <v>29/30</v>
      </c>
      <c r="X6" s="22" t="str">
        <f>Timeline!Q14</f>
        <v>30/31</v>
      </c>
      <c r="Y6" s="22" t="str">
        <f>Timeline!R14</f>
        <v>31/32</v>
      </c>
      <c r="Z6" s="22" t="str">
        <f>Timeline!S14</f>
        <v>32/33</v>
      </c>
      <c r="AA6" s="22" t="str">
        <f>Timeline!T14</f>
        <v>33/34</v>
      </c>
      <c r="AB6" s="22" t="str">
        <f>Timeline!U14</f>
        <v>34/35</v>
      </c>
      <c r="AC6" s="22" t="str">
        <f>Timeline!V14</f>
        <v>35/36</v>
      </c>
      <c r="AD6" s="22" t="str">
        <f>Timeline!W14</f>
        <v>36/37</v>
      </c>
      <c r="AE6" s="22" t="str">
        <f>Timeline!X14</f>
        <v>37/38</v>
      </c>
      <c r="AF6" s="22" t="str">
        <f>Timeline!Y14</f>
        <v>38/39</v>
      </c>
      <c r="AG6" s="22" t="str">
        <f>Timeline!Z14</f>
        <v>39/40</v>
      </c>
      <c r="AH6" s="22" t="str">
        <f>Timeline!AA14</f>
        <v>40/41</v>
      </c>
      <c r="AI6" s="22" t="str">
        <f>Timeline!AB14</f>
        <v>41/42</v>
      </c>
      <c r="AJ6" s="22" t="str">
        <f>Timeline!AC14</f>
        <v>42/43</v>
      </c>
      <c r="AK6" s="22" t="str">
        <f>Timeline!AD14</f>
        <v>43/44</v>
      </c>
      <c r="AL6" s="22" t="str">
        <f>Timeline!AE14</f>
        <v>44/45</v>
      </c>
      <c r="AM6" s="22" t="str">
        <f>Timeline!AF14</f>
        <v>45/46</v>
      </c>
      <c r="AN6" s="22" t="str">
        <f>Timeline!AG14</f>
        <v>46/47</v>
      </c>
      <c r="AO6" s="22" t="str">
        <f>Timeline!AH14</f>
        <v>47/48</v>
      </c>
      <c r="AP6" s="22" t="str">
        <f>Timeline!AI14</f>
        <v>48/49</v>
      </c>
      <c r="AQ6" s="22" t="str">
        <f>Timeline!AJ14</f>
        <v>49/50</v>
      </c>
      <c r="AR6" s="22" t="str">
        <f>Timeline!AK14</f>
        <v>50/51</v>
      </c>
      <c r="AS6" s="22" t="str">
        <f>Timeline!AL14</f>
        <v>51/52</v>
      </c>
      <c r="AT6" s="22" t="str">
        <f>Timeline!AM14</f>
        <v>52/53</v>
      </c>
      <c r="AU6" s="22" t="str">
        <f>Timeline!AN14</f>
        <v>53/54</v>
      </c>
      <c r="AV6" s="22" t="str">
        <f>Timeline!AO14</f>
        <v>54/55</v>
      </c>
      <c r="AW6" s="22" t="str">
        <f>Timeline!AP14</f>
        <v>55/56</v>
      </c>
      <c r="AX6" s="22" t="str">
        <f>Timeline!AQ14</f>
        <v>56/57</v>
      </c>
      <c r="AY6" s="22" t="str">
        <f>Timeline!AR14</f>
        <v>57/58</v>
      </c>
      <c r="AZ6" s="22" t="str">
        <f>Timeline!AS14</f>
        <v>58/59</v>
      </c>
      <c r="BA6" s="22" t="str">
        <f>Timeline!AT14</f>
        <v>59/60</v>
      </c>
      <c r="BB6" s="22" t="str">
        <f>Timeline!AU14</f>
        <v>60/61</v>
      </c>
      <c r="BC6" s="22" t="str">
        <f>Timeline!AV14</f>
        <v>61/62</v>
      </c>
      <c r="BD6" s="22" t="str">
        <f>Timeline!AW14</f>
        <v>62/63</v>
      </c>
      <c r="BE6" s="22" t="str">
        <f>Timeline!AX14</f>
        <v>63/64</v>
      </c>
      <c r="BF6" s="22" t="str">
        <f>Timeline!AY14</f>
        <v>64/65</v>
      </c>
      <c r="BG6" s="22" t="str">
        <f>Timeline!AZ14</f>
        <v>65/66</v>
      </c>
      <c r="BH6" s="22" t="str">
        <f>Timeline!BA14</f>
        <v>66/67</v>
      </c>
      <c r="BI6" s="22" t="str">
        <f>Timeline!BB14</f>
        <v>67/68</v>
      </c>
      <c r="BJ6" s="22" t="str">
        <f>Timeline!BC14</f>
        <v>68/69</v>
      </c>
      <c r="BK6" s="22" t="str">
        <f>Timeline!BD14</f>
        <v>69/70</v>
      </c>
      <c r="BL6" s="22" t="str">
        <f>Timeline!BE14</f>
        <v>70/71</v>
      </c>
      <c r="BM6" s="22" t="str">
        <f>Timeline!BF14</f>
        <v>71/72</v>
      </c>
      <c r="BN6" s="22" t="str">
        <f>Timeline!BG14</f>
        <v>72/73</v>
      </c>
      <c r="BO6" s="22" t="str">
        <f>Timeline!BH14</f>
        <v>73/74</v>
      </c>
      <c r="BP6" s="22" t="str">
        <f>Timeline!BI14</f>
        <v>74/75</v>
      </c>
      <c r="BQ6" s="22" t="str">
        <f>Timeline!BJ14</f>
        <v>75/76</v>
      </c>
      <c r="BR6" s="22" t="str">
        <f>Timeline!BK14</f>
        <v>76/77</v>
      </c>
      <c r="BS6" s="22" t="str">
        <f>Timeline!BL14</f>
        <v>77/78</v>
      </c>
      <c r="BT6" s="22" t="str">
        <f>Timeline!BM14</f>
        <v>78/79</v>
      </c>
      <c r="BU6" s="22" t="str">
        <f>Timeline!BN14</f>
        <v>79/80</v>
      </c>
      <c r="BV6" s="22" t="str">
        <f>Timeline!BO14</f>
        <v>80/81</v>
      </c>
      <c r="BW6" s="22" t="str">
        <f>Timeline!BP14</f>
        <v>81/82</v>
      </c>
      <c r="BX6" s="22" t="str">
        <f>Timeline!BQ14</f>
        <v>82/83</v>
      </c>
      <c r="BY6" s="22" t="str">
        <f>Timeline!BR14</f>
        <v>83/84</v>
      </c>
      <c r="BZ6" s="22" t="str">
        <f>Timeline!BS14</f>
        <v>84/85</v>
      </c>
      <c r="CA6" s="22" t="str">
        <f>Timeline!BT14</f>
        <v>85/86</v>
      </c>
      <c r="CB6" s="22" t="str">
        <f>Timeline!BU14</f>
        <v>86/87</v>
      </c>
      <c r="CC6" s="22" t="str">
        <f>Timeline!BV14</f>
        <v>87/88</v>
      </c>
      <c r="CD6" s="22" t="str">
        <f>Timeline!BW14</f>
        <v>88/89</v>
      </c>
      <c r="CE6" s="22" t="str">
        <f>Timeline!BX14</f>
        <v>89/90</v>
      </c>
      <c r="CF6" s="22" t="str">
        <f>Timeline!BY14</f>
        <v>90/91</v>
      </c>
      <c r="CG6" s="22" t="str">
        <f>Timeline!BZ14</f>
        <v>91/92</v>
      </c>
      <c r="CH6" s="22" t="str">
        <f>Timeline!CA14</f>
        <v>92/93</v>
      </c>
      <c r="CI6" s="22" t="str">
        <f>Timeline!CB14</f>
        <v>93/94</v>
      </c>
      <c r="CJ6" s="22" t="str">
        <f>Timeline!CC14</f>
        <v>94/95</v>
      </c>
      <c r="CK6" s="22" t="str">
        <f>Timeline!CD14</f>
        <v>95/96</v>
      </c>
      <c r="CL6" s="22" t="str">
        <f>Timeline!CE14</f>
        <v>96/97</v>
      </c>
      <c r="CM6" s="22" t="str">
        <f>Timeline!CF14</f>
        <v>97/98</v>
      </c>
      <c r="CN6" s="22" t="str">
        <f>Timeline!CG14</f>
        <v>98/99</v>
      </c>
      <c r="CO6" s="22" t="str">
        <f>Timeline!CH14</f>
        <v>99/00</v>
      </c>
      <c r="CP6" s="22" t="str">
        <f>Timeline!CI14</f>
        <v>00/01</v>
      </c>
      <c r="CQ6" s="22" t="str">
        <f>Timeline!CJ14</f>
        <v>01/02</v>
      </c>
      <c r="CR6" s="22" t="str">
        <f>Timeline!CK14</f>
        <v>02/03</v>
      </c>
      <c r="CS6" s="22" t="str">
        <f>Timeline!CL14</f>
        <v>03/04</v>
      </c>
      <c r="CT6" s="22" t="str">
        <f>Timeline!CM14</f>
        <v>04/05</v>
      </c>
      <c r="CU6" s="22" t="str">
        <f>Timeline!CN14</f>
        <v>05/06</v>
      </c>
      <c r="CV6" s="22" t="str">
        <f>Timeline!CO14</f>
        <v>06/07</v>
      </c>
      <c r="CW6" s="22" t="str">
        <f>Timeline!CP14</f>
        <v>07/08</v>
      </c>
      <c r="CX6" s="22" t="str">
        <f>Timeline!CQ14</f>
        <v>08/09</v>
      </c>
    </row>
    <row r="7" spans="1:105" x14ac:dyDescent="0.3">
      <c r="M7" s="21">
        <f>Timeline!F15</f>
        <v>43556</v>
      </c>
      <c r="N7" s="21">
        <f>Timeline!G15</f>
        <v>43922</v>
      </c>
      <c r="O7" s="21">
        <f>Timeline!H15</f>
        <v>44287</v>
      </c>
      <c r="P7" s="21">
        <f>Timeline!I15</f>
        <v>44652</v>
      </c>
      <c r="Q7" s="21">
        <f>Timeline!J15</f>
        <v>45017</v>
      </c>
      <c r="R7" s="21">
        <f>Timeline!K15</f>
        <v>45383</v>
      </c>
      <c r="S7" s="21">
        <f>Timeline!L15</f>
        <v>45748</v>
      </c>
      <c r="T7" s="21">
        <f>Timeline!M15</f>
        <v>46113</v>
      </c>
      <c r="U7" s="21">
        <f>Timeline!N15</f>
        <v>46478</v>
      </c>
      <c r="V7" s="21">
        <f>Timeline!O15</f>
        <v>46844</v>
      </c>
      <c r="W7" s="21">
        <f>Timeline!P15</f>
        <v>47209</v>
      </c>
      <c r="X7" s="21">
        <f>Timeline!Q15</f>
        <v>47574</v>
      </c>
      <c r="Y7" s="21">
        <f>Timeline!R15</f>
        <v>47939</v>
      </c>
      <c r="Z7" s="21">
        <f>Timeline!S15</f>
        <v>48305</v>
      </c>
      <c r="AA7" s="21">
        <f>Timeline!T15</f>
        <v>48670</v>
      </c>
      <c r="AB7" s="21">
        <f>Timeline!U15</f>
        <v>49035</v>
      </c>
      <c r="AC7" s="21">
        <f>Timeline!V15</f>
        <v>49400</v>
      </c>
      <c r="AD7" s="21">
        <f>Timeline!W15</f>
        <v>49766</v>
      </c>
      <c r="AE7" s="21">
        <f>Timeline!X15</f>
        <v>50131</v>
      </c>
      <c r="AF7" s="21">
        <f>Timeline!Y15</f>
        <v>50496</v>
      </c>
      <c r="AG7" s="21">
        <f>Timeline!Z15</f>
        <v>50861</v>
      </c>
      <c r="AH7" s="21">
        <f>Timeline!AA15</f>
        <v>51227</v>
      </c>
      <c r="AI7" s="21">
        <f>Timeline!AB15</f>
        <v>51592</v>
      </c>
      <c r="AJ7" s="21">
        <f>Timeline!AC15</f>
        <v>51957</v>
      </c>
      <c r="AK7" s="21">
        <f>Timeline!AD15</f>
        <v>52322</v>
      </c>
      <c r="AL7" s="21">
        <f>Timeline!AE15</f>
        <v>52688</v>
      </c>
      <c r="AM7" s="21">
        <f>Timeline!AF15</f>
        <v>53053</v>
      </c>
      <c r="AN7" s="21">
        <f>Timeline!AG15</f>
        <v>53418</v>
      </c>
      <c r="AO7" s="21">
        <f>Timeline!AH15</f>
        <v>53783</v>
      </c>
      <c r="AP7" s="21">
        <f>Timeline!AI15</f>
        <v>54149</v>
      </c>
      <c r="AQ7" s="21">
        <f>Timeline!AJ15</f>
        <v>54514</v>
      </c>
      <c r="AR7" s="21">
        <f>Timeline!AK15</f>
        <v>54879</v>
      </c>
      <c r="AS7" s="21">
        <f>Timeline!AL15</f>
        <v>55244</v>
      </c>
      <c r="AT7" s="21">
        <f>Timeline!AM15</f>
        <v>55610</v>
      </c>
      <c r="AU7" s="21">
        <f>Timeline!AN15</f>
        <v>55975</v>
      </c>
      <c r="AV7" s="21">
        <f>Timeline!AO15</f>
        <v>56340</v>
      </c>
      <c r="AW7" s="21">
        <f>Timeline!AP15</f>
        <v>56705</v>
      </c>
      <c r="AX7" s="21">
        <f>Timeline!AQ15</f>
        <v>57071</v>
      </c>
      <c r="AY7" s="21">
        <f>Timeline!AR15</f>
        <v>57436</v>
      </c>
      <c r="AZ7" s="21">
        <f>Timeline!AS15</f>
        <v>57801</v>
      </c>
      <c r="BA7" s="21">
        <f>Timeline!AT15</f>
        <v>58166</v>
      </c>
      <c r="BB7" s="21">
        <f>Timeline!AU15</f>
        <v>58532</v>
      </c>
      <c r="BC7" s="21">
        <f>Timeline!AV15</f>
        <v>58897</v>
      </c>
      <c r="BD7" s="21">
        <f>Timeline!AW15</f>
        <v>59262</v>
      </c>
      <c r="BE7" s="21">
        <f>Timeline!AX15</f>
        <v>59627</v>
      </c>
      <c r="BF7" s="21">
        <f>Timeline!AY15</f>
        <v>59993</v>
      </c>
      <c r="BG7" s="21">
        <f>Timeline!AZ15</f>
        <v>60358</v>
      </c>
      <c r="BH7" s="21">
        <f>Timeline!BA15</f>
        <v>60723</v>
      </c>
      <c r="BI7" s="21">
        <f>Timeline!BB15</f>
        <v>61088</v>
      </c>
      <c r="BJ7" s="21">
        <f>Timeline!BC15</f>
        <v>61454</v>
      </c>
      <c r="BK7" s="21">
        <f>Timeline!BD15</f>
        <v>61819</v>
      </c>
      <c r="BL7" s="21">
        <f>Timeline!BE15</f>
        <v>62184</v>
      </c>
      <c r="BM7" s="21">
        <f>Timeline!BF15</f>
        <v>62549</v>
      </c>
      <c r="BN7" s="21">
        <f>Timeline!BG15</f>
        <v>62915</v>
      </c>
      <c r="BO7" s="21">
        <f>Timeline!BH15</f>
        <v>63280</v>
      </c>
      <c r="BP7" s="21">
        <f>Timeline!BI15</f>
        <v>63645</v>
      </c>
      <c r="BQ7" s="21">
        <f>Timeline!BJ15</f>
        <v>64010</v>
      </c>
      <c r="BR7" s="21">
        <f>Timeline!BK15</f>
        <v>64376</v>
      </c>
      <c r="BS7" s="21">
        <f>Timeline!BL15</f>
        <v>64741</v>
      </c>
      <c r="BT7" s="21">
        <f>Timeline!BM15</f>
        <v>65106</v>
      </c>
      <c r="BU7" s="21">
        <f>Timeline!BN15</f>
        <v>65471</v>
      </c>
      <c r="BV7" s="21">
        <f>Timeline!BO15</f>
        <v>65837</v>
      </c>
      <c r="BW7" s="21">
        <f>Timeline!BP15</f>
        <v>66202</v>
      </c>
      <c r="BX7" s="21">
        <f>Timeline!BQ15</f>
        <v>66567</v>
      </c>
      <c r="BY7" s="21">
        <f>Timeline!BR15</f>
        <v>66932</v>
      </c>
      <c r="BZ7" s="21">
        <f>Timeline!BS15</f>
        <v>67298</v>
      </c>
      <c r="CA7" s="21">
        <f>Timeline!BT15</f>
        <v>67663</v>
      </c>
      <c r="CB7" s="21">
        <f>Timeline!BU15</f>
        <v>68028</v>
      </c>
      <c r="CC7" s="21">
        <f>Timeline!BV15</f>
        <v>68393</v>
      </c>
      <c r="CD7" s="21">
        <f>Timeline!BW15</f>
        <v>68759</v>
      </c>
      <c r="CE7" s="21">
        <f>Timeline!BX15</f>
        <v>69124</v>
      </c>
      <c r="CF7" s="21">
        <f>Timeline!BY15</f>
        <v>69489</v>
      </c>
      <c r="CG7" s="21">
        <f>Timeline!BZ15</f>
        <v>69854</v>
      </c>
      <c r="CH7" s="21">
        <f>Timeline!CA15</f>
        <v>70220</v>
      </c>
      <c r="CI7" s="21">
        <f>Timeline!CB15</f>
        <v>70585</v>
      </c>
      <c r="CJ7" s="21">
        <f>Timeline!CC15</f>
        <v>70950</v>
      </c>
      <c r="CK7" s="21">
        <f>Timeline!CD15</f>
        <v>71315</v>
      </c>
      <c r="CL7" s="21">
        <f>Timeline!CE15</f>
        <v>71681</v>
      </c>
      <c r="CM7" s="21">
        <f>Timeline!CF15</f>
        <v>72046</v>
      </c>
      <c r="CN7" s="21">
        <f>Timeline!CG15</f>
        <v>72411</v>
      </c>
      <c r="CO7" s="21">
        <f>Timeline!CH15</f>
        <v>72776</v>
      </c>
      <c r="CP7" s="21">
        <f>Timeline!CI15</f>
        <v>73141</v>
      </c>
      <c r="CQ7" s="21">
        <f>Timeline!CJ15</f>
        <v>73506</v>
      </c>
      <c r="CR7" s="21">
        <f>Timeline!CK15</f>
        <v>73871</v>
      </c>
      <c r="CS7" s="21">
        <f>Timeline!CL15</f>
        <v>74236</v>
      </c>
      <c r="CT7" s="21">
        <f>Timeline!CM15</f>
        <v>74602</v>
      </c>
      <c r="CU7" s="21">
        <f>Timeline!CN15</f>
        <v>74967</v>
      </c>
      <c r="CV7" s="21">
        <f>Timeline!CO15</f>
        <v>75332</v>
      </c>
      <c r="CW7" s="21">
        <f>Timeline!CP15</f>
        <v>75697</v>
      </c>
      <c r="CX7" s="21">
        <f>Timeline!CQ15</f>
        <v>76063</v>
      </c>
    </row>
    <row r="8" spans="1:105" x14ac:dyDescent="0.3">
      <c r="C8" s="11" t="s">
        <v>22</v>
      </c>
      <c r="D8" s="11" t="s">
        <v>13</v>
      </c>
      <c r="E8" s="11" t="s">
        <v>42</v>
      </c>
      <c r="F8" s="11" t="s">
        <v>43</v>
      </c>
      <c r="G8" s="11" t="s">
        <v>46</v>
      </c>
      <c r="I8" s="12" t="s">
        <v>44</v>
      </c>
      <c r="J8" s="12" t="s">
        <v>45</v>
      </c>
      <c r="M8" s="21">
        <f>Timeline!F16</f>
        <v>43921</v>
      </c>
      <c r="N8" s="21">
        <f>Timeline!G16</f>
        <v>44286</v>
      </c>
      <c r="O8" s="21">
        <f>Timeline!H16</f>
        <v>44651</v>
      </c>
      <c r="P8" s="21">
        <f>Timeline!I16</f>
        <v>45016</v>
      </c>
      <c r="Q8" s="21">
        <f>Timeline!J16</f>
        <v>45382</v>
      </c>
      <c r="R8" s="21">
        <f>Timeline!K16</f>
        <v>45747</v>
      </c>
      <c r="S8" s="21">
        <f>Timeline!L16</f>
        <v>46112</v>
      </c>
      <c r="T8" s="21">
        <f>Timeline!M16</f>
        <v>46477</v>
      </c>
      <c r="U8" s="21">
        <f>Timeline!N16</f>
        <v>46843</v>
      </c>
      <c r="V8" s="21">
        <f>Timeline!O16</f>
        <v>47208</v>
      </c>
      <c r="W8" s="21">
        <f>Timeline!P16</f>
        <v>47573</v>
      </c>
      <c r="X8" s="21">
        <f>Timeline!Q16</f>
        <v>47938</v>
      </c>
      <c r="Y8" s="21">
        <f>Timeline!R16</f>
        <v>48304</v>
      </c>
      <c r="Z8" s="21">
        <f>Timeline!S16</f>
        <v>48669</v>
      </c>
      <c r="AA8" s="21">
        <f>Timeline!T16</f>
        <v>49034</v>
      </c>
      <c r="AB8" s="21">
        <f>Timeline!U16</f>
        <v>49399</v>
      </c>
      <c r="AC8" s="21">
        <f>Timeline!V16</f>
        <v>49765</v>
      </c>
      <c r="AD8" s="21">
        <f>Timeline!W16</f>
        <v>50130</v>
      </c>
      <c r="AE8" s="21">
        <f>Timeline!X16</f>
        <v>50495</v>
      </c>
      <c r="AF8" s="21">
        <f>Timeline!Y16</f>
        <v>50860</v>
      </c>
      <c r="AG8" s="21">
        <f>Timeline!Z16</f>
        <v>51226</v>
      </c>
      <c r="AH8" s="21">
        <f>Timeline!AA16</f>
        <v>51591</v>
      </c>
      <c r="AI8" s="21">
        <f>Timeline!AB16</f>
        <v>51956</v>
      </c>
      <c r="AJ8" s="21">
        <f>Timeline!AC16</f>
        <v>52321</v>
      </c>
      <c r="AK8" s="21">
        <f>Timeline!AD16</f>
        <v>52687</v>
      </c>
      <c r="AL8" s="21">
        <f>Timeline!AE16</f>
        <v>53052</v>
      </c>
      <c r="AM8" s="21">
        <f>Timeline!AF16</f>
        <v>53417</v>
      </c>
      <c r="AN8" s="21">
        <f>Timeline!AG16</f>
        <v>53782</v>
      </c>
      <c r="AO8" s="21">
        <f>Timeline!AH16</f>
        <v>54148</v>
      </c>
      <c r="AP8" s="21">
        <f>Timeline!AI16</f>
        <v>54513</v>
      </c>
      <c r="AQ8" s="21">
        <f>Timeline!AJ16</f>
        <v>54878</v>
      </c>
      <c r="AR8" s="21">
        <f>Timeline!AK16</f>
        <v>55243</v>
      </c>
      <c r="AS8" s="21">
        <f>Timeline!AL16</f>
        <v>55609</v>
      </c>
      <c r="AT8" s="21">
        <f>Timeline!AM16</f>
        <v>55974</v>
      </c>
      <c r="AU8" s="21">
        <f>Timeline!AN16</f>
        <v>56339</v>
      </c>
      <c r="AV8" s="21">
        <f>Timeline!AO16</f>
        <v>56704</v>
      </c>
      <c r="AW8" s="21">
        <f>Timeline!AP16</f>
        <v>57070</v>
      </c>
      <c r="AX8" s="21">
        <f>Timeline!AQ16</f>
        <v>57435</v>
      </c>
      <c r="AY8" s="21">
        <f>Timeline!AR16</f>
        <v>57800</v>
      </c>
      <c r="AZ8" s="21">
        <f>Timeline!AS16</f>
        <v>58165</v>
      </c>
      <c r="BA8" s="21">
        <f>Timeline!AT16</f>
        <v>58531</v>
      </c>
      <c r="BB8" s="21">
        <f>Timeline!AU16</f>
        <v>58896</v>
      </c>
      <c r="BC8" s="21">
        <f>Timeline!AV16</f>
        <v>59261</v>
      </c>
      <c r="BD8" s="21">
        <f>Timeline!AW16</f>
        <v>59626</v>
      </c>
      <c r="BE8" s="21">
        <f>Timeline!AX16</f>
        <v>59992</v>
      </c>
      <c r="BF8" s="21">
        <f>Timeline!AY16</f>
        <v>60357</v>
      </c>
      <c r="BG8" s="21">
        <f>Timeline!AZ16</f>
        <v>60722</v>
      </c>
      <c r="BH8" s="21">
        <f>Timeline!BA16</f>
        <v>61087</v>
      </c>
      <c r="BI8" s="21">
        <f>Timeline!BB16</f>
        <v>61453</v>
      </c>
      <c r="BJ8" s="21">
        <f>Timeline!BC16</f>
        <v>61818</v>
      </c>
      <c r="BK8" s="21">
        <f>Timeline!BD16</f>
        <v>62183</v>
      </c>
      <c r="BL8" s="21">
        <f>Timeline!BE16</f>
        <v>62548</v>
      </c>
      <c r="BM8" s="21">
        <f>Timeline!BF16</f>
        <v>62914</v>
      </c>
      <c r="BN8" s="21">
        <f>Timeline!BG16</f>
        <v>63279</v>
      </c>
      <c r="BO8" s="21">
        <f>Timeline!BH16</f>
        <v>63644</v>
      </c>
      <c r="BP8" s="21">
        <f>Timeline!BI16</f>
        <v>64009</v>
      </c>
      <c r="BQ8" s="21">
        <f>Timeline!BJ16</f>
        <v>64375</v>
      </c>
      <c r="BR8" s="21">
        <f>Timeline!BK16</f>
        <v>64740</v>
      </c>
      <c r="BS8" s="21">
        <f>Timeline!BL16</f>
        <v>65105</v>
      </c>
      <c r="BT8" s="21">
        <f>Timeline!BM16</f>
        <v>65470</v>
      </c>
      <c r="BU8" s="21">
        <f>Timeline!BN16</f>
        <v>65836</v>
      </c>
      <c r="BV8" s="21">
        <f>Timeline!BO16</f>
        <v>66201</v>
      </c>
      <c r="BW8" s="21">
        <f>Timeline!BP16</f>
        <v>66566</v>
      </c>
      <c r="BX8" s="21">
        <f>Timeline!BQ16</f>
        <v>66931</v>
      </c>
      <c r="BY8" s="21">
        <f>Timeline!BR16</f>
        <v>67297</v>
      </c>
      <c r="BZ8" s="21">
        <f>Timeline!BS16</f>
        <v>67662</v>
      </c>
      <c r="CA8" s="21">
        <f>Timeline!BT16</f>
        <v>68027</v>
      </c>
      <c r="CB8" s="21">
        <f>Timeline!BU16</f>
        <v>68392</v>
      </c>
      <c r="CC8" s="21">
        <f>Timeline!BV16</f>
        <v>68758</v>
      </c>
      <c r="CD8" s="21">
        <f>Timeline!BW16</f>
        <v>69123</v>
      </c>
      <c r="CE8" s="21">
        <f>Timeline!BX16</f>
        <v>69488</v>
      </c>
      <c r="CF8" s="21">
        <f>Timeline!BY16</f>
        <v>69853</v>
      </c>
      <c r="CG8" s="21">
        <f>Timeline!BZ16</f>
        <v>70219</v>
      </c>
      <c r="CH8" s="21">
        <f>Timeline!CA16</f>
        <v>70584</v>
      </c>
      <c r="CI8" s="21">
        <f>Timeline!CB16</f>
        <v>70949</v>
      </c>
      <c r="CJ8" s="21">
        <f>Timeline!CC16</f>
        <v>71314</v>
      </c>
      <c r="CK8" s="21">
        <f>Timeline!CD16</f>
        <v>71680</v>
      </c>
      <c r="CL8" s="21">
        <f>Timeline!CE16</f>
        <v>72045</v>
      </c>
      <c r="CM8" s="21">
        <f>Timeline!CF16</f>
        <v>72410</v>
      </c>
      <c r="CN8" s="21">
        <f>Timeline!CG16</f>
        <v>72775</v>
      </c>
      <c r="CO8" s="21">
        <f>Timeline!CH16</f>
        <v>73140</v>
      </c>
      <c r="CP8" s="21">
        <f>Timeline!CI16</f>
        <v>73505</v>
      </c>
      <c r="CQ8" s="21">
        <f>Timeline!CJ16</f>
        <v>73870</v>
      </c>
      <c r="CR8" s="21">
        <f>Timeline!CK16</f>
        <v>74235</v>
      </c>
      <c r="CS8" s="21">
        <f>Timeline!CL16</f>
        <v>74601</v>
      </c>
      <c r="CT8" s="21">
        <f>Timeline!CM16</f>
        <v>74966</v>
      </c>
      <c r="CU8" s="21">
        <f>Timeline!CN16</f>
        <v>75331</v>
      </c>
      <c r="CV8" s="21">
        <f>Timeline!CO16</f>
        <v>75696</v>
      </c>
      <c r="CW8" s="21">
        <f>Timeline!CP16</f>
        <v>76062</v>
      </c>
      <c r="CX8" s="21">
        <f>Timeline!CQ16</f>
        <v>76427</v>
      </c>
      <c r="CZ8" s="6" t="s">
        <v>64</v>
      </c>
      <c r="DA8" s="6" t="s">
        <v>65</v>
      </c>
    </row>
    <row r="9" spans="1:105" x14ac:dyDescent="0.3">
      <c r="C9" s="4" t="str">
        <f>IF('Cost &amp; Risk Inputs'!C10="","",'Cost &amp; Risk Inputs'!C10)</f>
        <v>Test 1</v>
      </c>
      <c r="D9" s="4" t="str">
        <f>IF(C9="","",'Cost &amp; Risk Inputs'!F10)</f>
        <v>No Inflation</v>
      </c>
      <c r="E9" s="19">
        <f>IF(C9="","",'Cost &amp; Risk Inputs'!J10)</f>
        <v>42095</v>
      </c>
      <c r="F9" s="19">
        <f>IF(C9="","",'Cost &amp; Risk Inputs'!K10)</f>
        <v>42460</v>
      </c>
      <c r="G9" s="19" t="str">
        <f>IF(C9="","",'Cost &amp; Risk Inputs'!L10)</f>
        <v>19/20</v>
      </c>
      <c r="I9" s="18">
        <f t="shared" ref="I9:I38" si="0">IF(C9="","",F9-E9+1)</f>
        <v>366</v>
      </c>
      <c r="J9" s="23">
        <f ca="1">IF(C9="","",'Cost &amp; Risk Inputs'!U10/INDEX('Global Constants'!$F$24:$CQ$33,MATCH(D9,Inflation_List,0),MATCH(G9,FY,0)))</f>
        <v>2000</v>
      </c>
      <c r="M9" s="18">
        <f ca="1">IF($C9="","",$J9*'Cost &amp; Risk Inputs'!Z10)</f>
        <v>0</v>
      </c>
      <c r="N9" s="18">
        <f ca="1">IF($C9="","",$J9*'Cost &amp; Risk Inputs'!AA10)</f>
        <v>0</v>
      </c>
      <c r="O9" s="18">
        <f ca="1">IF($C9="","",$J9*'Cost &amp; Risk Inputs'!AB10)</f>
        <v>0</v>
      </c>
      <c r="P9" s="18">
        <f ca="1">IF($C9="","",$J9*'Cost &amp; Risk Inputs'!AC10)</f>
        <v>0</v>
      </c>
      <c r="Q9" s="18">
        <f ca="1">IF($C9="","",$J9*'Cost &amp; Risk Inputs'!AD10)</f>
        <v>0</v>
      </c>
      <c r="R9" s="18">
        <f ca="1">IF($C9="","",$J9*'Cost &amp; Risk Inputs'!AE10)</f>
        <v>0</v>
      </c>
      <c r="S9" s="18">
        <f ca="1">IF($C9="","",$J9*'Cost &amp; Risk Inputs'!AF10)</f>
        <v>0</v>
      </c>
      <c r="T9" s="18">
        <f ca="1">IF($C9="","",$J9*'Cost &amp; Risk Inputs'!AG10)</f>
        <v>0</v>
      </c>
      <c r="U9" s="18">
        <f ca="1">IF($C9="","",$J9*'Cost &amp; Risk Inputs'!AH10)</f>
        <v>0</v>
      </c>
      <c r="V9" s="18">
        <f ca="1">IF($C9="","",$J9*'Cost &amp; Risk Inputs'!AI10)</f>
        <v>0</v>
      </c>
      <c r="W9" s="18">
        <f ca="1">IF($C9="","",$J9*'Cost &amp; Risk Inputs'!AJ10)</f>
        <v>0</v>
      </c>
      <c r="X9" s="18">
        <f ca="1">IF($C9="","",$J9*'Cost &amp; Risk Inputs'!AK10)</f>
        <v>0</v>
      </c>
      <c r="Y9" s="18">
        <f ca="1">IF($C9="","",$J9*'Cost &amp; Risk Inputs'!AL10)</f>
        <v>0</v>
      </c>
      <c r="Z9" s="18">
        <f ca="1">IF($C9="","",$J9*'Cost &amp; Risk Inputs'!AM10)</f>
        <v>0</v>
      </c>
      <c r="AA9" s="18">
        <f ca="1">IF($C9="","",$J9*'Cost &amp; Risk Inputs'!AN10)</f>
        <v>0</v>
      </c>
      <c r="AB9" s="18">
        <f ca="1">IF($C9="","",$J9*'Cost &amp; Risk Inputs'!AO10)</f>
        <v>0</v>
      </c>
      <c r="AC9" s="18">
        <f ca="1">IF($C9="","",$J9*'Cost &amp; Risk Inputs'!AP10)</f>
        <v>0</v>
      </c>
      <c r="AD9" s="18">
        <f ca="1">IF($C9="","",$J9*'Cost &amp; Risk Inputs'!AQ10)</f>
        <v>2000</v>
      </c>
      <c r="AE9" s="18">
        <f ca="1">IF($C9="","",$J9*'Cost &amp; Risk Inputs'!AR10)</f>
        <v>0</v>
      </c>
      <c r="AF9" s="18">
        <f ca="1">IF($C9="","",$J9*'Cost &amp; Risk Inputs'!AS10)</f>
        <v>0</v>
      </c>
      <c r="AG9" s="18">
        <f ca="1">IF($C9="","",$J9*'Cost &amp; Risk Inputs'!AT10)</f>
        <v>0</v>
      </c>
      <c r="AH9" s="18">
        <f ca="1">IF($C9="","",$J9*'Cost &amp; Risk Inputs'!AU10)</f>
        <v>0</v>
      </c>
      <c r="AI9" s="18">
        <f ca="1">IF($C9="","",$J9*'Cost &amp; Risk Inputs'!AV10)</f>
        <v>0</v>
      </c>
      <c r="AJ9" s="18">
        <f ca="1">IF($C9="","",$J9*'Cost &amp; Risk Inputs'!AW10)</f>
        <v>0</v>
      </c>
      <c r="AK9" s="18">
        <f ca="1">IF($C9="","",$J9*'Cost &amp; Risk Inputs'!AX10)</f>
        <v>0</v>
      </c>
      <c r="AL9" s="18">
        <f ca="1">IF($C9="","",$J9*'Cost &amp; Risk Inputs'!AY10)</f>
        <v>0</v>
      </c>
      <c r="AM9" s="18">
        <f ca="1">IF($C9="","",$J9*'Cost &amp; Risk Inputs'!AZ10)</f>
        <v>0</v>
      </c>
      <c r="AN9" s="18">
        <f ca="1">IF($C9="","",$J9*'Cost &amp; Risk Inputs'!BA10)</f>
        <v>0</v>
      </c>
      <c r="AO9" s="18">
        <f ca="1">IF($C9="","",$J9*'Cost &amp; Risk Inputs'!BB10)</f>
        <v>0</v>
      </c>
      <c r="AP9" s="18">
        <f ca="1">IF($C9="","",$J9*'Cost &amp; Risk Inputs'!BC10)</f>
        <v>0</v>
      </c>
      <c r="AQ9" s="18">
        <f ca="1">IF($C9="","",$J9*'Cost &amp; Risk Inputs'!BD10)</f>
        <v>0</v>
      </c>
      <c r="AR9" s="18">
        <f ca="1">IF($C9="","",$J9*'Cost &amp; Risk Inputs'!BE10)</f>
        <v>0</v>
      </c>
      <c r="AS9" s="18">
        <f ca="1">IF($C9="","",$J9*'Cost &amp; Risk Inputs'!BF10)</f>
        <v>0</v>
      </c>
      <c r="AT9" s="18">
        <f ca="1">IF($C9="","",$J9*'Cost &amp; Risk Inputs'!BG10)</f>
        <v>0</v>
      </c>
      <c r="AU9" s="18">
        <f ca="1">IF($C9="","",$J9*'Cost &amp; Risk Inputs'!BH10)</f>
        <v>0</v>
      </c>
      <c r="AV9" s="18">
        <f ca="1">IF($C9="","",$J9*'Cost &amp; Risk Inputs'!BI10)</f>
        <v>0</v>
      </c>
      <c r="AW9" s="18">
        <f ca="1">IF($C9="","",$J9*'Cost &amp; Risk Inputs'!BJ10)</f>
        <v>0</v>
      </c>
      <c r="AX9" s="18">
        <f ca="1">IF($C9="","",$J9*'Cost &amp; Risk Inputs'!BK10)</f>
        <v>0</v>
      </c>
      <c r="AY9" s="18">
        <f ca="1">IF($C9="","",$J9*'Cost &amp; Risk Inputs'!BL10)</f>
        <v>0</v>
      </c>
      <c r="AZ9" s="18">
        <f ca="1">IF($C9="","",$J9*'Cost &amp; Risk Inputs'!BM10)</f>
        <v>0</v>
      </c>
      <c r="BA9" s="18">
        <f ca="1">IF($C9="","",$J9*'Cost &amp; Risk Inputs'!BN10)</f>
        <v>0</v>
      </c>
      <c r="BB9" s="18">
        <f ca="1">IF($C9="","",$J9*'Cost &amp; Risk Inputs'!BO10)</f>
        <v>0</v>
      </c>
      <c r="BC9" s="18">
        <f ca="1">IF($C9="","",$J9*'Cost &amp; Risk Inputs'!BP10)</f>
        <v>0</v>
      </c>
      <c r="BD9" s="18">
        <f ca="1">IF($C9="","",$J9*'Cost &amp; Risk Inputs'!BQ10)</f>
        <v>0</v>
      </c>
      <c r="BE9" s="18">
        <f ca="1">IF($C9="","",$J9*'Cost &amp; Risk Inputs'!BR10)</f>
        <v>0</v>
      </c>
      <c r="BF9" s="18">
        <f ca="1">IF($C9="","",$J9*'Cost &amp; Risk Inputs'!BS10)</f>
        <v>0</v>
      </c>
      <c r="BG9" s="18">
        <f ca="1">IF($C9="","",$J9*'Cost &amp; Risk Inputs'!BT10)</f>
        <v>0</v>
      </c>
      <c r="BH9" s="18">
        <f ca="1">IF($C9="","",$J9*'Cost &amp; Risk Inputs'!BU10)</f>
        <v>0</v>
      </c>
      <c r="BI9" s="18">
        <f ca="1">IF($C9="","",$J9*'Cost &amp; Risk Inputs'!BV10)</f>
        <v>0</v>
      </c>
      <c r="BJ9" s="18">
        <f ca="1">IF($C9="","",$J9*'Cost &amp; Risk Inputs'!BW10)</f>
        <v>0</v>
      </c>
      <c r="BK9" s="18">
        <f ca="1">IF($C9="","",$J9*'Cost &amp; Risk Inputs'!BX10)</f>
        <v>0</v>
      </c>
      <c r="BL9" s="18">
        <f ca="1">IF($C9="","",$J9*'Cost &amp; Risk Inputs'!BY10)</f>
        <v>0</v>
      </c>
      <c r="BM9" s="18">
        <f ca="1">IF($C9="","",$J9*'Cost &amp; Risk Inputs'!BZ10)</f>
        <v>0</v>
      </c>
      <c r="BN9" s="18">
        <f ca="1">IF($C9="","",$J9*'Cost &amp; Risk Inputs'!CA10)</f>
        <v>0</v>
      </c>
      <c r="BO9" s="18">
        <f ca="1">IF($C9="","",$J9*'Cost &amp; Risk Inputs'!CB10)</f>
        <v>0</v>
      </c>
      <c r="BP9" s="18">
        <f ca="1">IF($C9="","",$J9*'Cost &amp; Risk Inputs'!CC10)</f>
        <v>0</v>
      </c>
      <c r="BQ9" s="18">
        <f ca="1">IF($C9="","",$J9*'Cost &amp; Risk Inputs'!CD10)</f>
        <v>0</v>
      </c>
      <c r="BR9" s="18">
        <f ca="1">IF($C9="","",$J9*'Cost &amp; Risk Inputs'!CE10)</f>
        <v>0</v>
      </c>
      <c r="BS9" s="18">
        <f ca="1">IF($C9="","",$J9*'Cost &amp; Risk Inputs'!CF10)</f>
        <v>0</v>
      </c>
      <c r="BT9" s="18">
        <f ca="1">IF($C9="","",$J9*'Cost &amp; Risk Inputs'!CG10)</f>
        <v>0</v>
      </c>
      <c r="BU9" s="18">
        <f ca="1">IF($C9="","",$J9*'Cost &amp; Risk Inputs'!CH10)</f>
        <v>0</v>
      </c>
      <c r="BV9" s="18">
        <f ca="1">IF($C9="","",$J9*'Cost &amp; Risk Inputs'!CI10)</f>
        <v>0</v>
      </c>
      <c r="BW9" s="18">
        <f ca="1">IF($C9="","",$J9*'Cost &amp; Risk Inputs'!CJ10)</f>
        <v>0</v>
      </c>
      <c r="BX9" s="18">
        <f ca="1">IF($C9="","",$J9*'Cost &amp; Risk Inputs'!CK10)</f>
        <v>0</v>
      </c>
      <c r="BY9" s="18">
        <f ca="1">IF($C9="","",$J9*'Cost &amp; Risk Inputs'!CL10)</f>
        <v>0</v>
      </c>
      <c r="BZ9" s="18">
        <f ca="1">IF($C9="","",$J9*'Cost &amp; Risk Inputs'!CM10)</f>
        <v>0</v>
      </c>
      <c r="CA9" s="18">
        <f ca="1">IF($C9="","",$J9*'Cost &amp; Risk Inputs'!CN10)</f>
        <v>0</v>
      </c>
      <c r="CB9" s="18">
        <f ca="1">IF($C9="","",$J9*'Cost &amp; Risk Inputs'!CO10)</f>
        <v>0</v>
      </c>
      <c r="CC9" s="18">
        <f ca="1">IF($C9="","",$J9*'Cost &amp; Risk Inputs'!CP10)</f>
        <v>0</v>
      </c>
      <c r="CD9" s="18">
        <f ca="1">IF($C9="","",$J9*'Cost &amp; Risk Inputs'!CQ10)</f>
        <v>0</v>
      </c>
      <c r="CE9" s="18">
        <f ca="1">IF($C9="","",$J9*'Cost &amp; Risk Inputs'!CR10)</f>
        <v>0</v>
      </c>
      <c r="CF9" s="18">
        <f ca="1">IF($C9="","",$J9*'Cost &amp; Risk Inputs'!CS10)</f>
        <v>0</v>
      </c>
      <c r="CG9" s="18">
        <f ca="1">IF($C9="","",$J9*'Cost &amp; Risk Inputs'!CT10)</f>
        <v>0</v>
      </c>
      <c r="CH9" s="18">
        <f ca="1">IF($C9="","",$J9*'Cost &amp; Risk Inputs'!CU10)</f>
        <v>0</v>
      </c>
      <c r="CI9" s="18">
        <f ca="1">IF($C9="","",$J9*'Cost &amp; Risk Inputs'!CV10)</f>
        <v>0</v>
      </c>
      <c r="CJ9" s="18">
        <f ca="1">IF($C9="","",$J9*'Cost &amp; Risk Inputs'!CW10)</f>
        <v>0</v>
      </c>
      <c r="CK9" s="18">
        <f ca="1">IF($C9="","",$J9*'Cost &amp; Risk Inputs'!CX10)</f>
        <v>0</v>
      </c>
      <c r="CL9" s="18">
        <f ca="1">IF($C9="","",$J9*'Cost &amp; Risk Inputs'!CY10)</f>
        <v>0</v>
      </c>
      <c r="CM9" s="18">
        <f ca="1">IF($C9="","",$J9*'Cost &amp; Risk Inputs'!CZ10)</f>
        <v>0</v>
      </c>
      <c r="CN9" s="18">
        <f ca="1">IF($C9="","",$J9*'Cost &amp; Risk Inputs'!DA10)</f>
        <v>0</v>
      </c>
      <c r="CO9" s="18">
        <f ca="1">IF($C9="","",$J9*'Cost &amp; Risk Inputs'!DB10)</f>
        <v>0</v>
      </c>
      <c r="CP9" s="18">
        <f ca="1">IF($C9="","",$J9*'Cost &amp; Risk Inputs'!DC10)</f>
        <v>0</v>
      </c>
      <c r="CQ9" s="18">
        <f ca="1">IF($C9="","",$J9*'Cost &amp; Risk Inputs'!DD10)</f>
        <v>0</v>
      </c>
      <c r="CR9" s="18">
        <f ca="1">IF($C9="","",$J9*'Cost &amp; Risk Inputs'!DE10)</f>
        <v>0</v>
      </c>
      <c r="CS9" s="18">
        <f ca="1">IF($C9="","",$J9*'Cost &amp; Risk Inputs'!DF10)</f>
        <v>0</v>
      </c>
      <c r="CT9" s="18">
        <f ca="1">IF($C9="","",$J9*'Cost &amp; Risk Inputs'!DG10)</f>
        <v>0</v>
      </c>
      <c r="CU9" s="18">
        <f ca="1">IF($C9="","",$J9*'Cost &amp; Risk Inputs'!DH10)</f>
        <v>0</v>
      </c>
      <c r="CV9" s="18">
        <f ca="1">IF($C9="","",$J9*'Cost &amp; Risk Inputs'!DI10)</f>
        <v>0</v>
      </c>
      <c r="CW9" s="18">
        <f ca="1">IF($C9="","",$J9*'Cost &amp; Risk Inputs'!DJ10)</f>
        <v>0</v>
      </c>
      <c r="CX9" s="18">
        <f ca="1">IF($C9="","",$J9*'Cost &amp; Risk Inputs'!DK10)</f>
        <v>0</v>
      </c>
      <c r="CZ9" s="18">
        <f t="shared" ref="CZ9:CZ38" ca="1" si="1">SUM(OFFSET(M9,0,MATCH(Model_Base,$M$6:$CX$6,0),1,10))</f>
        <v>0</v>
      </c>
      <c r="DA9" s="18">
        <f ca="1">SUM(M9:CX9)</f>
        <v>2000</v>
      </c>
    </row>
    <row r="10" spans="1:105" x14ac:dyDescent="0.3">
      <c r="C10" s="4" t="str">
        <f>IF('Cost &amp; Risk Inputs'!C11="","",'Cost &amp; Risk Inputs'!C11)</f>
        <v>Test 2</v>
      </c>
      <c r="D10" s="4" t="str">
        <f>IF(C10="","",'Cost &amp; Risk Inputs'!F11)</f>
        <v>No Inflation</v>
      </c>
      <c r="E10" s="19">
        <f>IF(C10="","",'Cost &amp; Risk Inputs'!J11)</f>
        <v>42461</v>
      </c>
      <c r="F10" s="19">
        <f>IF(C10="","",'Cost &amp; Risk Inputs'!K11)</f>
        <v>42825</v>
      </c>
      <c r="G10" s="19" t="str">
        <f>IF(C10="","",'Cost &amp; Risk Inputs'!L11)</f>
        <v>19/20</v>
      </c>
      <c r="I10" s="18">
        <f t="shared" si="0"/>
        <v>365</v>
      </c>
      <c r="J10" s="23">
        <f ca="1">IF(C10="","",'Cost &amp; Risk Inputs'!U11/INDEX('Global Constants'!$F$24:$CQ$33,MATCH(D10,Inflation_List,0),MATCH(G10,FY,0)))</f>
        <v>2000</v>
      </c>
      <c r="M10" s="18">
        <f ca="1">IF($C10="","",$J10*'Cost &amp; Risk Inputs'!Z11)</f>
        <v>0</v>
      </c>
      <c r="N10" s="18">
        <f ca="1">IF($C10="","",$J10*'Cost &amp; Risk Inputs'!AA11)</f>
        <v>0</v>
      </c>
      <c r="O10" s="18">
        <f ca="1">IF($C10="","",$J10*'Cost &amp; Risk Inputs'!AB11)</f>
        <v>0</v>
      </c>
      <c r="P10" s="18">
        <f ca="1">IF($C10="","",$J10*'Cost &amp; Risk Inputs'!AC11)</f>
        <v>0</v>
      </c>
      <c r="Q10" s="18">
        <f ca="1">IF($C10="","",$J10*'Cost &amp; Risk Inputs'!AD11)</f>
        <v>0</v>
      </c>
      <c r="R10" s="18">
        <f ca="1">IF($C10="","",$J10*'Cost &amp; Risk Inputs'!AE11)</f>
        <v>0</v>
      </c>
      <c r="S10" s="18">
        <f ca="1">IF($C10="","",$J10*'Cost &amp; Risk Inputs'!AF11)</f>
        <v>0</v>
      </c>
      <c r="T10" s="18">
        <f ca="1">IF($C10="","",$J10*'Cost &amp; Risk Inputs'!AG11)</f>
        <v>0</v>
      </c>
      <c r="U10" s="18">
        <f ca="1">IF($C10="","",$J10*'Cost &amp; Risk Inputs'!AH11)</f>
        <v>0</v>
      </c>
      <c r="V10" s="18">
        <f ca="1">IF($C10="","",$J10*'Cost &amp; Risk Inputs'!AI11)</f>
        <v>0</v>
      </c>
      <c r="W10" s="18">
        <f ca="1">IF($C10="","",$J10*'Cost &amp; Risk Inputs'!AJ11)</f>
        <v>0</v>
      </c>
      <c r="X10" s="18">
        <f ca="1">IF($C10="","",$J10*'Cost &amp; Risk Inputs'!AK11)</f>
        <v>0</v>
      </c>
      <c r="Y10" s="18">
        <f ca="1">IF($C10="","",$J10*'Cost &amp; Risk Inputs'!AL11)</f>
        <v>0</v>
      </c>
      <c r="Z10" s="18">
        <f ca="1">IF($C10="","",$J10*'Cost &amp; Risk Inputs'!AM11)</f>
        <v>0</v>
      </c>
      <c r="AA10" s="18">
        <f ca="1">IF($C10="","",$J10*'Cost &amp; Risk Inputs'!AN11)</f>
        <v>0</v>
      </c>
      <c r="AB10" s="18">
        <f ca="1">IF($C10="","",$J10*'Cost &amp; Risk Inputs'!AO11)</f>
        <v>0</v>
      </c>
      <c r="AC10" s="18">
        <f ca="1">IF($C10="","",$J10*'Cost &amp; Risk Inputs'!AP11)</f>
        <v>0</v>
      </c>
      <c r="AD10" s="18">
        <f ca="1">IF($C10="","",$J10*'Cost &amp; Risk Inputs'!AQ11)</f>
        <v>0</v>
      </c>
      <c r="AE10" s="18">
        <f ca="1">IF($C10="","",$J10*'Cost &amp; Risk Inputs'!AR11)</f>
        <v>2000</v>
      </c>
      <c r="AF10" s="18">
        <f ca="1">IF($C10="","",$J10*'Cost &amp; Risk Inputs'!AS11)</f>
        <v>0</v>
      </c>
      <c r="AG10" s="18">
        <f ca="1">IF($C10="","",$J10*'Cost &amp; Risk Inputs'!AT11)</f>
        <v>0</v>
      </c>
      <c r="AH10" s="18">
        <f ca="1">IF($C10="","",$J10*'Cost &amp; Risk Inputs'!AU11)</f>
        <v>0</v>
      </c>
      <c r="AI10" s="18">
        <f ca="1">IF($C10="","",$J10*'Cost &amp; Risk Inputs'!AV11)</f>
        <v>0</v>
      </c>
      <c r="AJ10" s="18">
        <f ca="1">IF($C10="","",$J10*'Cost &amp; Risk Inputs'!AW11)</f>
        <v>0</v>
      </c>
      <c r="AK10" s="18">
        <f ca="1">IF($C10="","",$J10*'Cost &amp; Risk Inputs'!AX11)</f>
        <v>0</v>
      </c>
      <c r="AL10" s="18">
        <f ca="1">IF($C10="","",$J10*'Cost &amp; Risk Inputs'!AY11)</f>
        <v>0</v>
      </c>
      <c r="AM10" s="18">
        <f ca="1">IF($C10="","",$J10*'Cost &amp; Risk Inputs'!AZ11)</f>
        <v>0</v>
      </c>
      <c r="AN10" s="18">
        <f ca="1">IF($C10="","",$J10*'Cost &amp; Risk Inputs'!BA11)</f>
        <v>0</v>
      </c>
      <c r="AO10" s="18">
        <f ca="1">IF($C10="","",$J10*'Cost &amp; Risk Inputs'!BB11)</f>
        <v>0</v>
      </c>
      <c r="AP10" s="18">
        <f ca="1">IF($C10="","",$J10*'Cost &amp; Risk Inputs'!BC11)</f>
        <v>0</v>
      </c>
      <c r="AQ10" s="18">
        <f ca="1">IF($C10="","",$J10*'Cost &amp; Risk Inputs'!BD11)</f>
        <v>0</v>
      </c>
      <c r="AR10" s="18">
        <f ca="1">IF($C10="","",$J10*'Cost &amp; Risk Inputs'!BE11)</f>
        <v>0</v>
      </c>
      <c r="AS10" s="18">
        <f ca="1">IF($C10="","",$J10*'Cost &amp; Risk Inputs'!BF11)</f>
        <v>0</v>
      </c>
      <c r="AT10" s="18">
        <f ca="1">IF($C10="","",$J10*'Cost &amp; Risk Inputs'!BG11)</f>
        <v>0</v>
      </c>
      <c r="AU10" s="18">
        <f ca="1">IF($C10="","",$J10*'Cost &amp; Risk Inputs'!BH11)</f>
        <v>0</v>
      </c>
      <c r="AV10" s="18">
        <f ca="1">IF($C10="","",$J10*'Cost &amp; Risk Inputs'!BI11)</f>
        <v>0</v>
      </c>
      <c r="AW10" s="18">
        <f ca="1">IF($C10="","",$J10*'Cost &amp; Risk Inputs'!BJ11)</f>
        <v>0</v>
      </c>
      <c r="AX10" s="18">
        <f ca="1">IF($C10="","",$J10*'Cost &amp; Risk Inputs'!BK11)</f>
        <v>0</v>
      </c>
      <c r="AY10" s="18">
        <f ca="1">IF($C10="","",$J10*'Cost &amp; Risk Inputs'!BL11)</f>
        <v>0</v>
      </c>
      <c r="AZ10" s="18">
        <f ca="1">IF($C10="","",$J10*'Cost &amp; Risk Inputs'!BM11)</f>
        <v>0</v>
      </c>
      <c r="BA10" s="18">
        <f ca="1">IF($C10="","",$J10*'Cost &amp; Risk Inputs'!BN11)</f>
        <v>0</v>
      </c>
      <c r="BB10" s="18">
        <f ca="1">IF($C10="","",$J10*'Cost &amp; Risk Inputs'!BO11)</f>
        <v>0</v>
      </c>
      <c r="BC10" s="18">
        <f ca="1">IF($C10="","",$J10*'Cost &amp; Risk Inputs'!BP11)</f>
        <v>0</v>
      </c>
      <c r="BD10" s="18">
        <f ca="1">IF($C10="","",$J10*'Cost &amp; Risk Inputs'!BQ11)</f>
        <v>0</v>
      </c>
      <c r="BE10" s="18">
        <f ca="1">IF($C10="","",$J10*'Cost &amp; Risk Inputs'!BR11)</f>
        <v>0</v>
      </c>
      <c r="BF10" s="18">
        <f ca="1">IF($C10="","",$J10*'Cost &amp; Risk Inputs'!BS11)</f>
        <v>0</v>
      </c>
      <c r="BG10" s="18">
        <f ca="1">IF($C10="","",$J10*'Cost &amp; Risk Inputs'!BT11)</f>
        <v>0</v>
      </c>
      <c r="BH10" s="18">
        <f ca="1">IF($C10="","",$J10*'Cost &amp; Risk Inputs'!BU11)</f>
        <v>0</v>
      </c>
      <c r="BI10" s="18">
        <f ca="1">IF($C10="","",$J10*'Cost &amp; Risk Inputs'!BV11)</f>
        <v>0</v>
      </c>
      <c r="BJ10" s="18">
        <f ca="1">IF($C10="","",$J10*'Cost &amp; Risk Inputs'!BW11)</f>
        <v>0</v>
      </c>
      <c r="BK10" s="18">
        <f ca="1">IF($C10="","",$J10*'Cost &amp; Risk Inputs'!BX11)</f>
        <v>0</v>
      </c>
      <c r="BL10" s="18">
        <f ca="1">IF($C10="","",$J10*'Cost &amp; Risk Inputs'!BY11)</f>
        <v>0</v>
      </c>
      <c r="BM10" s="18">
        <f ca="1">IF($C10="","",$J10*'Cost &amp; Risk Inputs'!BZ11)</f>
        <v>0</v>
      </c>
      <c r="BN10" s="18">
        <f ca="1">IF($C10="","",$J10*'Cost &amp; Risk Inputs'!CA11)</f>
        <v>0</v>
      </c>
      <c r="BO10" s="18">
        <f ca="1">IF($C10="","",$J10*'Cost &amp; Risk Inputs'!CB11)</f>
        <v>0</v>
      </c>
      <c r="BP10" s="18">
        <f ca="1">IF($C10="","",$J10*'Cost &amp; Risk Inputs'!CC11)</f>
        <v>0</v>
      </c>
      <c r="BQ10" s="18">
        <f ca="1">IF($C10="","",$J10*'Cost &amp; Risk Inputs'!CD11)</f>
        <v>0</v>
      </c>
      <c r="BR10" s="18">
        <f ca="1">IF($C10="","",$J10*'Cost &amp; Risk Inputs'!CE11)</f>
        <v>0</v>
      </c>
      <c r="BS10" s="18">
        <f ca="1">IF($C10="","",$J10*'Cost &amp; Risk Inputs'!CF11)</f>
        <v>0</v>
      </c>
      <c r="BT10" s="18">
        <f ca="1">IF($C10="","",$J10*'Cost &amp; Risk Inputs'!CG11)</f>
        <v>0</v>
      </c>
      <c r="BU10" s="18">
        <f ca="1">IF($C10="","",$J10*'Cost &amp; Risk Inputs'!CH11)</f>
        <v>0</v>
      </c>
      <c r="BV10" s="18">
        <f ca="1">IF($C10="","",$J10*'Cost &amp; Risk Inputs'!CI11)</f>
        <v>0</v>
      </c>
      <c r="BW10" s="18">
        <f ca="1">IF($C10="","",$J10*'Cost &amp; Risk Inputs'!CJ11)</f>
        <v>0</v>
      </c>
      <c r="BX10" s="18">
        <f ca="1">IF($C10="","",$J10*'Cost &amp; Risk Inputs'!CK11)</f>
        <v>0</v>
      </c>
      <c r="BY10" s="18">
        <f ca="1">IF($C10="","",$J10*'Cost &amp; Risk Inputs'!CL11)</f>
        <v>0</v>
      </c>
      <c r="BZ10" s="18">
        <f ca="1">IF($C10="","",$J10*'Cost &amp; Risk Inputs'!CM11)</f>
        <v>0</v>
      </c>
      <c r="CA10" s="18">
        <f ca="1">IF($C10="","",$J10*'Cost &amp; Risk Inputs'!CN11)</f>
        <v>0</v>
      </c>
      <c r="CB10" s="18">
        <f ca="1">IF($C10="","",$J10*'Cost &amp; Risk Inputs'!CO11)</f>
        <v>0</v>
      </c>
      <c r="CC10" s="18">
        <f ca="1">IF($C10="","",$J10*'Cost &amp; Risk Inputs'!CP11)</f>
        <v>0</v>
      </c>
      <c r="CD10" s="18">
        <f ca="1">IF($C10="","",$J10*'Cost &amp; Risk Inputs'!CQ11)</f>
        <v>0</v>
      </c>
      <c r="CE10" s="18">
        <f ca="1">IF($C10="","",$J10*'Cost &amp; Risk Inputs'!CR11)</f>
        <v>0</v>
      </c>
      <c r="CF10" s="18">
        <f ca="1">IF($C10="","",$J10*'Cost &amp; Risk Inputs'!CS11)</f>
        <v>0</v>
      </c>
      <c r="CG10" s="18">
        <f ca="1">IF($C10="","",$J10*'Cost &amp; Risk Inputs'!CT11)</f>
        <v>0</v>
      </c>
      <c r="CH10" s="18">
        <f ca="1">IF($C10="","",$J10*'Cost &amp; Risk Inputs'!CU11)</f>
        <v>0</v>
      </c>
      <c r="CI10" s="18">
        <f ca="1">IF($C10="","",$J10*'Cost &amp; Risk Inputs'!CV11)</f>
        <v>0</v>
      </c>
      <c r="CJ10" s="18">
        <f ca="1">IF($C10="","",$J10*'Cost &amp; Risk Inputs'!CW11)</f>
        <v>0</v>
      </c>
      <c r="CK10" s="18">
        <f ca="1">IF($C10="","",$J10*'Cost &amp; Risk Inputs'!CX11)</f>
        <v>0</v>
      </c>
      <c r="CL10" s="18">
        <f ca="1">IF($C10="","",$J10*'Cost &amp; Risk Inputs'!CY11)</f>
        <v>0</v>
      </c>
      <c r="CM10" s="18">
        <f ca="1">IF($C10="","",$J10*'Cost &amp; Risk Inputs'!CZ11)</f>
        <v>0</v>
      </c>
      <c r="CN10" s="18">
        <f ca="1">IF($C10="","",$J10*'Cost &amp; Risk Inputs'!DA11)</f>
        <v>0</v>
      </c>
      <c r="CO10" s="18">
        <f ca="1">IF($C10="","",$J10*'Cost &amp; Risk Inputs'!DB11)</f>
        <v>0</v>
      </c>
      <c r="CP10" s="18">
        <f ca="1">IF($C10="","",$J10*'Cost &amp; Risk Inputs'!DC11)</f>
        <v>0</v>
      </c>
      <c r="CQ10" s="18">
        <f ca="1">IF($C10="","",$J10*'Cost &amp; Risk Inputs'!DD11)</f>
        <v>0</v>
      </c>
      <c r="CR10" s="18">
        <f ca="1">IF($C10="","",$J10*'Cost &amp; Risk Inputs'!DE11)</f>
        <v>0</v>
      </c>
      <c r="CS10" s="18">
        <f ca="1">IF($C10="","",$J10*'Cost &amp; Risk Inputs'!DF11)</f>
        <v>0</v>
      </c>
      <c r="CT10" s="18">
        <f ca="1">IF($C10="","",$J10*'Cost &amp; Risk Inputs'!DG11)</f>
        <v>0</v>
      </c>
      <c r="CU10" s="18">
        <f ca="1">IF($C10="","",$J10*'Cost &amp; Risk Inputs'!DH11)</f>
        <v>0</v>
      </c>
      <c r="CV10" s="18">
        <f ca="1">IF($C10="","",$J10*'Cost &amp; Risk Inputs'!DI11)</f>
        <v>0</v>
      </c>
      <c r="CW10" s="18">
        <f ca="1">IF($C10="","",$J10*'Cost &amp; Risk Inputs'!DJ11)</f>
        <v>0</v>
      </c>
      <c r="CX10" s="18">
        <f ca="1">IF($C10="","",$J10*'Cost &amp; Risk Inputs'!DK11)</f>
        <v>0</v>
      </c>
      <c r="CZ10" s="18">
        <f t="shared" ca="1" si="1"/>
        <v>0</v>
      </c>
      <c r="DA10" s="18">
        <f ca="1">SUM(M10:CX10)</f>
        <v>2000</v>
      </c>
    </row>
    <row r="11" spans="1:105" x14ac:dyDescent="0.3">
      <c r="C11" s="4" t="str">
        <f>IF('Cost &amp; Risk Inputs'!C12="","",'Cost &amp; Risk Inputs'!C12)</f>
        <v>Test 3</v>
      </c>
      <c r="D11" s="4" t="str">
        <f>IF(C11="","",'Cost &amp; Risk Inputs'!F12)</f>
        <v>No Inflation</v>
      </c>
      <c r="E11" s="19">
        <f>IF(C11="","",'Cost &amp; Risk Inputs'!J12)</f>
        <v>42826</v>
      </c>
      <c r="F11" s="19">
        <f>IF(C11="","",'Cost &amp; Risk Inputs'!K12)</f>
        <v>43190</v>
      </c>
      <c r="G11" s="19" t="str">
        <f>IF(C11="","",'Cost &amp; Risk Inputs'!L12)</f>
        <v>19/20</v>
      </c>
      <c r="I11" s="18">
        <f t="shared" si="0"/>
        <v>365</v>
      </c>
      <c r="J11" s="23">
        <f ca="1">IF(C11="","",'Cost &amp; Risk Inputs'!U12/INDEX('Global Constants'!$F$24:$CQ$33,MATCH(D11,Inflation_List,0),MATCH(G11,FY,0)))</f>
        <v>2000</v>
      </c>
      <c r="M11" s="18">
        <f ca="1">IF($C11="","",$J11*'Cost &amp; Risk Inputs'!Z12)</f>
        <v>0</v>
      </c>
      <c r="N11" s="18">
        <f ca="1">IF($C11="","",$J11*'Cost &amp; Risk Inputs'!AA12)</f>
        <v>0</v>
      </c>
      <c r="O11" s="18">
        <f ca="1">IF($C11="","",$J11*'Cost &amp; Risk Inputs'!AB12)</f>
        <v>0</v>
      </c>
      <c r="P11" s="18">
        <f ca="1">IF($C11="","",$J11*'Cost &amp; Risk Inputs'!AC12)</f>
        <v>0</v>
      </c>
      <c r="Q11" s="18">
        <f ca="1">IF($C11="","",$J11*'Cost &amp; Risk Inputs'!AD12)</f>
        <v>0</v>
      </c>
      <c r="R11" s="18">
        <f ca="1">IF($C11="","",$J11*'Cost &amp; Risk Inputs'!AE12)</f>
        <v>0</v>
      </c>
      <c r="S11" s="18">
        <f ca="1">IF($C11="","",$J11*'Cost &amp; Risk Inputs'!AF12)</f>
        <v>0</v>
      </c>
      <c r="T11" s="18">
        <f ca="1">IF($C11="","",$J11*'Cost &amp; Risk Inputs'!AG12)</f>
        <v>0</v>
      </c>
      <c r="U11" s="18">
        <f ca="1">IF($C11="","",$J11*'Cost &amp; Risk Inputs'!AH12)</f>
        <v>0</v>
      </c>
      <c r="V11" s="18">
        <f ca="1">IF($C11="","",$J11*'Cost &amp; Risk Inputs'!AI12)</f>
        <v>0</v>
      </c>
      <c r="W11" s="18">
        <f ca="1">IF($C11="","",$J11*'Cost &amp; Risk Inputs'!AJ12)</f>
        <v>0</v>
      </c>
      <c r="X11" s="18">
        <f ca="1">IF($C11="","",$J11*'Cost &amp; Risk Inputs'!AK12)</f>
        <v>0</v>
      </c>
      <c r="Y11" s="18">
        <f ca="1">IF($C11="","",$J11*'Cost &amp; Risk Inputs'!AL12)</f>
        <v>0</v>
      </c>
      <c r="Z11" s="18">
        <f ca="1">IF($C11="","",$J11*'Cost &amp; Risk Inputs'!AM12)</f>
        <v>0</v>
      </c>
      <c r="AA11" s="18">
        <f ca="1">IF($C11="","",$J11*'Cost &amp; Risk Inputs'!AN12)</f>
        <v>0</v>
      </c>
      <c r="AB11" s="18">
        <f ca="1">IF($C11="","",$J11*'Cost &amp; Risk Inputs'!AO12)</f>
        <v>0</v>
      </c>
      <c r="AC11" s="18">
        <f ca="1">IF($C11="","",$J11*'Cost &amp; Risk Inputs'!AP12)</f>
        <v>0</v>
      </c>
      <c r="AD11" s="18">
        <f ca="1">IF($C11="","",$J11*'Cost &amp; Risk Inputs'!AQ12)</f>
        <v>0</v>
      </c>
      <c r="AE11" s="18">
        <f ca="1">IF($C11="","",$J11*'Cost &amp; Risk Inputs'!AR12)</f>
        <v>0</v>
      </c>
      <c r="AF11" s="18">
        <f ca="1">IF($C11="","",$J11*'Cost &amp; Risk Inputs'!AS12)</f>
        <v>2000</v>
      </c>
      <c r="AG11" s="18">
        <f ca="1">IF($C11="","",$J11*'Cost &amp; Risk Inputs'!AT12)</f>
        <v>0</v>
      </c>
      <c r="AH11" s="18">
        <f ca="1">IF($C11="","",$J11*'Cost &amp; Risk Inputs'!AU12)</f>
        <v>0</v>
      </c>
      <c r="AI11" s="18">
        <f ca="1">IF($C11="","",$J11*'Cost &amp; Risk Inputs'!AV12)</f>
        <v>0</v>
      </c>
      <c r="AJ11" s="18">
        <f ca="1">IF($C11="","",$J11*'Cost &amp; Risk Inputs'!AW12)</f>
        <v>0</v>
      </c>
      <c r="AK11" s="18">
        <f ca="1">IF($C11="","",$J11*'Cost &amp; Risk Inputs'!AX12)</f>
        <v>0</v>
      </c>
      <c r="AL11" s="18">
        <f ca="1">IF($C11="","",$J11*'Cost &amp; Risk Inputs'!AY12)</f>
        <v>0</v>
      </c>
      <c r="AM11" s="18">
        <f ca="1">IF($C11="","",$J11*'Cost &amp; Risk Inputs'!AZ12)</f>
        <v>0</v>
      </c>
      <c r="AN11" s="18">
        <f ca="1">IF($C11="","",$J11*'Cost &amp; Risk Inputs'!BA12)</f>
        <v>0</v>
      </c>
      <c r="AO11" s="18">
        <f ca="1">IF($C11="","",$J11*'Cost &amp; Risk Inputs'!BB12)</f>
        <v>0</v>
      </c>
      <c r="AP11" s="18">
        <f ca="1">IF($C11="","",$J11*'Cost &amp; Risk Inputs'!BC12)</f>
        <v>0</v>
      </c>
      <c r="AQ11" s="18">
        <f ca="1">IF($C11="","",$J11*'Cost &amp; Risk Inputs'!BD12)</f>
        <v>0</v>
      </c>
      <c r="AR11" s="18">
        <f ca="1">IF($C11="","",$J11*'Cost &amp; Risk Inputs'!BE12)</f>
        <v>0</v>
      </c>
      <c r="AS11" s="18">
        <f ca="1">IF($C11="","",$J11*'Cost &amp; Risk Inputs'!BF12)</f>
        <v>0</v>
      </c>
      <c r="AT11" s="18">
        <f ca="1">IF($C11="","",$J11*'Cost &amp; Risk Inputs'!BG12)</f>
        <v>0</v>
      </c>
      <c r="AU11" s="18">
        <f ca="1">IF($C11="","",$J11*'Cost &amp; Risk Inputs'!BH12)</f>
        <v>0</v>
      </c>
      <c r="AV11" s="18">
        <f ca="1">IF($C11="","",$J11*'Cost &amp; Risk Inputs'!BI12)</f>
        <v>0</v>
      </c>
      <c r="AW11" s="18">
        <f ca="1">IF($C11="","",$J11*'Cost &amp; Risk Inputs'!BJ12)</f>
        <v>0</v>
      </c>
      <c r="AX11" s="18">
        <f ca="1">IF($C11="","",$J11*'Cost &amp; Risk Inputs'!BK12)</f>
        <v>0</v>
      </c>
      <c r="AY11" s="18">
        <f ca="1">IF($C11="","",$J11*'Cost &amp; Risk Inputs'!BL12)</f>
        <v>0</v>
      </c>
      <c r="AZ11" s="18">
        <f ca="1">IF($C11="","",$J11*'Cost &amp; Risk Inputs'!BM12)</f>
        <v>0</v>
      </c>
      <c r="BA11" s="18">
        <f ca="1">IF($C11="","",$J11*'Cost &amp; Risk Inputs'!BN12)</f>
        <v>0</v>
      </c>
      <c r="BB11" s="18">
        <f ca="1">IF($C11="","",$J11*'Cost &amp; Risk Inputs'!BO12)</f>
        <v>0</v>
      </c>
      <c r="BC11" s="18">
        <f ca="1">IF($C11="","",$J11*'Cost &amp; Risk Inputs'!BP12)</f>
        <v>0</v>
      </c>
      <c r="BD11" s="18">
        <f ca="1">IF($C11="","",$J11*'Cost &amp; Risk Inputs'!BQ12)</f>
        <v>0</v>
      </c>
      <c r="BE11" s="18">
        <f ca="1">IF($C11="","",$J11*'Cost &amp; Risk Inputs'!BR12)</f>
        <v>0</v>
      </c>
      <c r="BF11" s="18">
        <f ca="1">IF($C11="","",$J11*'Cost &amp; Risk Inputs'!BS12)</f>
        <v>0</v>
      </c>
      <c r="BG11" s="18">
        <f ca="1">IF($C11="","",$J11*'Cost &amp; Risk Inputs'!BT12)</f>
        <v>0</v>
      </c>
      <c r="BH11" s="18">
        <f ca="1">IF($C11="","",$J11*'Cost &amp; Risk Inputs'!BU12)</f>
        <v>0</v>
      </c>
      <c r="BI11" s="18">
        <f ca="1">IF($C11="","",$J11*'Cost &amp; Risk Inputs'!BV12)</f>
        <v>0</v>
      </c>
      <c r="BJ11" s="18">
        <f ca="1">IF($C11="","",$J11*'Cost &amp; Risk Inputs'!BW12)</f>
        <v>0</v>
      </c>
      <c r="BK11" s="18">
        <f ca="1">IF($C11="","",$J11*'Cost &amp; Risk Inputs'!BX12)</f>
        <v>0</v>
      </c>
      <c r="BL11" s="18">
        <f ca="1">IF($C11="","",$J11*'Cost &amp; Risk Inputs'!BY12)</f>
        <v>0</v>
      </c>
      <c r="BM11" s="18">
        <f ca="1">IF($C11="","",$J11*'Cost &amp; Risk Inputs'!BZ12)</f>
        <v>0</v>
      </c>
      <c r="BN11" s="18">
        <f ca="1">IF($C11="","",$J11*'Cost &amp; Risk Inputs'!CA12)</f>
        <v>0</v>
      </c>
      <c r="BO11" s="18">
        <f ca="1">IF($C11="","",$J11*'Cost &amp; Risk Inputs'!CB12)</f>
        <v>0</v>
      </c>
      <c r="BP11" s="18">
        <f ca="1">IF($C11="","",$J11*'Cost &amp; Risk Inputs'!CC12)</f>
        <v>0</v>
      </c>
      <c r="BQ11" s="18">
        <f ca="1">IF($C11="","",$J11*'Cost &amp; Risk Inputs'!CD12)</f>
        <v>0</v>
      </c>
      <c r="BR11" s="18">
        <f ca="1">IF($C11="","",$J11*'Cost &amp; Risk Inputs'!CE12)</f>
        <v>0</v>
      </c>
      <c r="BS11" s="18">
        <f ca="1">IF($C11="","",$J11*'Cost &amp; Risk Inputs'!CF12)</f>
        <v>0</v>
      </c>
      <c r="BT11" s="18">
        <f ca="1">IF($C11="","",$J11*'Cost &amp; Risk Inputs'!CG12)</f>
        <v>0</v>
      </c>
      <c r="BU11" s="18">
        <f ca="1">IF($C11="","",$J11*'Cost &amp; Risk Inputs'!CH12)</f>
        <v>0</v>
      </c>
      <c r="BV11" s="18">
        <f ca="1">IF($C11="","",$J11*'Cost &amp; Risk Inputs'!CI12)</f>
        <v>0</v>
      </c>
      <c r="BW11" s="18">
        <f ca="1">IF($C11="","",$J11*'Cost &amp; Risk Inputs'!CJ12)</f>
        <v>0</v>
      </c>
      <c r="BX11" s="18">
        <f ca="1">IF($C11="","",$J11*'Cost &amp; Risk Inputs'!CK12)</f>
        <v>0</v>
      </c>
      <c r="BY11" s="18">
        <f ca="1">IF($C11="","",$J11*'Cost &amp; Risk Inputs'!CL12)</f>
        <v>0</v>
      </c>
      <c r="BZ11" s="18">
        <f ca="1">IF($C11="","",$J11*'Cost &amp; Risk Inputs'!CM12)</f>
        <v>0</v>
      </c>
      <c r="CA11" s="18">
        <f ca="1">IF($C11="","",$J11*'Cost &amp; Risk Inputs'!CN12)</f>
        <v>0</v>
      </c>
      <c r="CB11" s="18">
        <f ca="1">IF($C11="","",$J11*'Cost &amp; Risk Inputs'!CO12)</f>
        <v>0</v>
      </c>
      <c r="CC11" s="18">
        <f ca="1">IF($C11="","",$J11*'Cost &amp; Risk Inputs'!CP12)</f>
        <v>0</v>
      </c>
      <c r="CD11" s="18">
        <f ca="1">IF($C11="","",$J11*'Cost &amp; Risk Inputs'!CQ12)</f>
        <v>0</v>
      </c>
      <c r="CE11" s="18">
        <f ca="1">IF($C11="","",$J11*'Cost &amp; Risk Inputs'!CR12)</f>
        <v>0</v>
      </c>
      <c r="CF11" s="18">
        <f ca="1">IF($C11="","",$J11*'Cost &amp; Risk Inputs'!CS12)</f>
        <v>0</v>
      </c>
      <c r="CG11" s="18">
        <f ca="1">IF($C11="","",$J11*'Cost &amp; Risk Inputs'!CT12)</f>
        <v>0</v>
      </c>
      <c r="CH11" s="18">
        <f ca="1">IF($C11="","",$J11*'Cost &amp; Risk Inputs'!CU12)</f>
        <v>0</v>
      </c>
      <c r="CI11" s="18">
        <f ca="1">IF($C11="","",$J11*'Cost &amp; Risk Inputs'!CV12)</f>
        <v>0</v>
      </c>
      <c r="CJ11" s="18">
        <f ca="1">IF($C11="","",$J11*'Cost &amp; Risk Inputs'!CW12)</f>
        <v>0</v>
      </c>
      <c r="CK11" s="18">
        <f ca="1">IF($C11="","",$J11*'Cost &amp; Risk Inputs'!CX12)</f>
        <v>0</v>
      </c>
      <c r="CL11" s="18">
        <f ca="1">IF($C11="","",$J11*'Cost &amp; Risk Inputs'!CY12)</f>
        <v>0</v>
      </c>
      <c r="CM11" s="18">
        <f ca="1">IF($C11="","",$J11*'Cost &amp; Risk Inputs'!CZ12)</f>
        <v>0</v>
      </c>
      <c r="CN11" s="18">
        <f ca="1">IF($C11="","",$J11*'Cost &amp; Risk Inputs'!DA12)</f>
        <v>0</v>
      </c>
      <c r="CO11" s="18">
        <f ca="1">IF($C11="","",$J11*'Cost &amp; Risk Inputs'!DB12)</f>
        <v>0</v>
      </c>
      <c r="CP11" s="18">
        <f ca="1">IF($C11="","",$J11*'Cost &amp; Risk Inputs'!DC12)</f>
        <v>0</v>
      </c>
      <c r="CQ11" s="18">
        <f ca="1">IF($C11="","",$J11*'Cost &amp; Risk Inputs'!DD12)</f>
        <v>0</v>
      </c>
      <c r="CR11" s="18">
        <f ca="1">IF($C11="","",$J11*'Cost &amp; Risk Inputs'!DE12)</f>
        <v>0</v>
      </c>
      <c r="CS11" s="18">
        <f ca="1">IF($C11="","",$J11*'Cost &amp; Risk Inputs'!DF12)</f>
        <v>0</v>
      </c>
      <c r="CT11" s="18">
        <f ca="1">IF($C11="","",$J11*'Cost &amp; Risk Inputs'!DG12)</f>
        <v>0</v>
      </c>
      <c r="CU11" s="18">
        <f ca="1">IF($C11="","",$J11*'Cost &amp; Risk Inputs'!DH12)</f>
        <v>0</v>
      </c>
      <c r="CV11" s="18">
        <f ca="1">IF($C11="","",$J11*'Cost &amp; Risk Inputs'!DI12)</f>
        <v>0</v>
      </c>
      <c r="CW11" s="18">
        <f ca="1">IF($C11="","",$J11*'Cost &amp; Risk Inputs'!DJ12)</f>
        <v>0</v>
      </c>
      <c r="CX11" s="18">
        <f ca="1">IF($C11="","",$J11*'Cost &amp; Risk Inputs'!DK12)</f>
        <v>0</v>
      </c>
      <c r="CZ11" s="18">
        <f t="shared" ca="1" si="1"/>
        <v>0</v>
      </c>
      <c r="DA11" s="18">
        <f t="shared" ref="DA11:DA38" ca="1" si="2">SUM(M11:CX11)</f>
        <v>2000</v>
      </c>
    </row>
    <row r="12" spans="1:105" x14ac:dyDescent="0.3">
      <c r="C12" s="4" t="str">
        <f>IF('Cost &amp; Risk Inputs'!C13="","",'Cost &amp; Risk Inputs'!C13)</f>
        <v>Test 4</v>
      </c>
      <c r="D12" s="4" t="str">
        <f>IF(C12="","",'Cost &amp; Risk Inputs'!F13)</f>
        <v>No Inflation</v>
      </c>
      <c r="E12" s="19">
        <f>IF(C12="","",'Cost &amp; Risk Inputs'!J13)</f>
        <v>43191</v>
      </c>
      <c r="F12" s="19">
        <f>IF(C12="","",'Cost &amp; Risk Inputs'!K13)</f>
        <v>43555</v>
      </c>
      <c r="G12" s="19" t="str">
        <f>IF(C12="","",'Cost &amp; Risk Inputs'!L13)</f>
        <v>19/20</v>
      </c>
      <c r="I12" s="18">
        <f t="shared" si="0"/>
        <v>365</v>
      </c>
      <c r="J12" s="23">
        <f ca="1">IF(C12="","",'Cost &amp; Risk Inputs'!U13/INDEX('Global Constants'!$F$24:$CQ$33,MATCH(D12,Inflation_List,0),MATCH(G12,FY,0)))</f>
        <v>2000</v>
      </c>
      <c r="M12" s="18">
        <f ca="1">IF($C12="","",$J12*'Cost &amp; Risk Inputs'!Z13)</f>
        <v>0</v>
      </c>
      <c r="N12" s="18">
        <f ca="1">IF($C12="","",$J12*'Cost &amp; Risk Inputs'!AA13)</f>
        <v>0</v>
      </c>
      <c r="O12" s="18">
        <f ca="1">IF($C12="","",$J12*'Cost &amp; Risk Inputs'!AB13)</f>
        <v>0</v>
      </c>
      <c r="P12" s="18">
        <f ca="1">IF($C12="","",$J12*'Cost &amp; Risk Inputs'!AC13)</f>
        <v>0</v>
      </c>
      <c r="Q12" s="18">
        <f ca="1">IF($C12="","",$J12*'Cost &amp; Risk Inputs'!AD13)</f>
        <v>0</v>
      </c>
      <c r="R12" s="18">
        <f ca="1">IF($C12="","",$J12*'Cost &amp; Risk Inputs'!AE13)</f>
        <v>0</v>
      </c>
      <c r="S12" s="18">
        <f ca="1">IF($C12="","",$J12*'Cost &amp; Risk Inputs'!AF13)</f>
        <v>0</v>
      </c>
      <c r="T12" s="18">
        <f ca="1">IF($C12="","",$J12*'Cost &amp; Risk Inputs'!AG13)</f>
        <v>0</v>
      </c>
      <c r="U12" s="18">
        <f ca="1">IF($C12="","",$J12*'Cost &amp; Risk Inputs'!AH13)</f>
        <v>0</v>
      </c>
      <c r="V12" s="18">
        <f ca="1">IF($C12="","",$J12*'Cost &amp; Risk Inputs'!AI13)</f>
        <v>0</v>
      </c>
      <c r="W12" s="18">
        <f ca="1">IF($C12="","",$J12*'Cost &amp; Risk Inputs'!AJ13)</f>
        <v>0</v>
      </c>
      <c r="X12" s="18">
        <f ca="1">IF($C12="","",$J12*'Cost &amp; Risk Inputs'!AK13)</f>
        <v>0</v>
      </c>
      <c r="Y12" s="18">
        <f ca="1">IF($C12="","",$J12*'Cost &amp; Risk Inputs'!AL13)</f>
        <v>0</v>
      </c>
      <c r="Z12" s="18">
        <f ca="1">IF($C12="","",$J12*'Cost &amp; Risk Inputs'!AM13)</f>
        <v>0</v>
      </c>
      <c r="AA12" s="18">
        <f ca="1">IF($C12="","",$J12*'Cost &amp; Risk Inputs'!AN13)</f>
        <v>0</v>
      </c>
      <c r="AB12" s="18">
        <f ca="1">IF($C12="","",$J12*'Cost &amp; Risk Inputs'!AO13)</f>
        <v>0</v>
      </c>
      <c r="AC12" s="18">
        <f ca="1">IF($C12="","",$J12*'Cost &amp; Risk Inputs'!AP13)</f>
        <v>0</v>
      </c>
      <c r="AD12" s="18">
        <f ca="1">IF($C12="","",$J12*'Cost &amp; Risk Inputs'!AQ13)</f>
        <v>0</v>
      </c>
      <c r="AE12" s="18">
        <f ca="1">IF($C12="","",$J12*'Cost &amp; Risk Inputs'!AR13)</f>
        <v>0</v>
      </c>
      <c r="AF12" s="18">
        <f ca="1">IF($C12="","",$J12*'Cost &amp; Risk Inputs'!AS13)</f>
        <v>0</v>
      </c>
      <c r="AG12" s="18">
        <f ca="1">IF($C12="","",$J12*'Cost &amp; Risk Inputs'!AT13)</f>
        <v>2000</v>
      </c>
      <c r="AH12" s="18">
        <f ca="1">IF($C12="","",$J12*'Cost &amp; Risk Inputs'!AU13)</f>
        <v>0</v>
      </c>
      <c r="AI12" s="18">
        <f ca="1">IF($C12="","",$J12*'Cost &amp; Risk Inputs'!AV13)</f>
        <v>0</v>
      </c>
      <c r="AJ12" s="18">
        <f ca="1">IF($C12="","",$J12*'Cost &amp; Risk Inputs'!AW13)</f>
        <v>0</v>
      </c>
      <c r="AK12" s="18">
        <f ca="1">IF($C12="","",$J12*'Cost &amp; Risk Inputs'!AX13)</f>
        <v>0</v>
      </c>
      <c r="AL12" s="18">
        <f ca="1">IF($C12="","",$J12*'Cost &amp; Risk Inputs'!AY13)</f>
        <v>0</v>
      </c>
      <c r="AM12" s="18">
        <f ca="1">IF($C12="","",$J12*'Cost &amp; Risk Inputs'!AZ13)</f>
        <v>0</v>
      </c>
      <c r="AN12" s="18">
        <f ca="1">IF($C12="","",$J12*'Cost &amp; Risk Inputs'!BA13)</f>
        <v>0</v>
      </c>
      <c r="AO12" s="18">
        <f ca="1">IF($C12="","",$J12*'Cost &amp; Risk Inputs'!BB13)</f>
        <v>0</v>
      </c>
      <c r="AP12" s="18">
        <f ca="1">IF($C12="","",$J12*'Cost &amp; Risk Inputs'!BC13)</f>
        <v>0</v>
      </c>
      <c r="AQ12" s="18">
        <f ca="1">IF($C12="","",$J12*'Cost &amp; Risk Inputs'!BD13)</f>
        <v>0</v>
      </c>
      <c r="AR12" s="18">
        <f ca="1">IF($C12="","",$J12*'Cost &amp; Risk Inputs'!BE13)</f>
        <v>0</v>
      </c>
      <c r="AS12" s="18">
        <f ca="1">IF($C12="","",$J12*'Cost &amp; Risk Inputs'!BF13)</f>
        <v>0</v>
      </c>
      <c r="AT12" s="18">
        <f ca="1">IF($C12="","",$J12*'Cost &amp; Risk Inputs'!BG13)</f>
        <v>0</v>
      </c>
      <c r="AU12" s="18">
        <f ca="1">IF($C12="","",$J12*'Cost &amp; Risk Inputs'!BH13)</f>
        <v>0</v>
      </c>
      <c r="AV12" s="18">
        <f ca="1">IF($C12="","",$J12*'Cost &amp; Risk Inputs'!BI13)</f>
        <v>0</v>
      </c>
      <c r="AW12" s="18">
        <f ca="1">IF($C12="","",$J12*'Cost &amp; Risk Inputs'!BJ13)</f>
        <v>0</v>
      </c>
      <c r="AX12" s="18">
        <f ca="1">IF($C12="","",$J12*'Cost &amp; Risk Inputs'!BK13)</f>
        <v>0</v>
      </c>
      <c r="AY12" s="18">
        <f ca="1">IF($C12="","",$J12*'Cost &amp; Risk Inputs'!BL13)</f>
        <v>0</v>
      </c>
      <c r="AZ12" s="18">
        <f ca="1">IF($C12="","",$J12*'Cost &amp; Risk Inputs'!BM13)</f>
        <v>0</v>
      </c>
      <c r="BA12" s="18">
        <f ca="1">IF($C12="","",$J12*'Cost &amp; Risk Inputs'!BN13)</f>
        <v>0</v>
      </c>
      <c r="BB12" s="18">
        <f ca="1">IF($C12="","",$J12*'Cost &amp; Risk Inputs'!BO13)</f>
        <v>0</v>
      </c>
      <c r="BC12" s="18">
        <f ca="1">IF($C12="","",$J12*'Cost &amp; Risk Inputs'!BP13)</f>
        <v>0</v>
      </c>
      <c r="BD12" s="18">
        <f ca="1">IF($C12="","",$J12*'Cost &amp; Risk Inputs'!BQ13)</f>
        <v>0</v>
      </c>
      <c r="BE12" s="18">
        <f ca="1">IF($C12="","",$J12*'Cost &amp; Risk Inputs'!BR13)</f>
        <v>0</v>
      </c>
      <c r="BF12" s="18">
        <f ca="1">IF($C12="","",$J12*'Cost &amp; Risk Inputs'!BS13)</f>
        <v>0</v>
      </c>
      <c r="BG12" s="18">
        <f ca="1">IF($C12="","",$J12*'Cost &amp; Risk Inputs'!BT13)</f>
        <v>0</v>
      </c>
      <c r="BH12" s="18">
        <f ca="1">IF($C12="","",$J12*'Cost &amp; Risk Inputs'!BU13)</f>
        <v>0</v>
      </c>
      <c r="BI12" s="18">
        <f ca="1">IF($C12="","",$J12*'Cost &amp; Risk Inputs'!BV13)</f>
        <v>0</v>
      </c>
      <c r="BJ12" s="18">
        <f ca="1">IF($C12="","",$J12*'Cost &amp; Risk Inputs'!BW13)</f>
        <v>0</v>
      </c>
      <c r="BK12" s="18">
        <f ca="1">IF($C12="","",$J12*'Cost &amp; Risk Inputs'!BX13)</f>
        <v>0</v>
      </c>
      <c r="BL12" s="18">
        <f ca="1">IF($C12="","",$J12*'Cost &amp; Risk Inputs'!BY13)</f>
        <v>0</v>
      </c>
      <c r="BM12" s="18">
        <f ca="1">IF($C12="","",$J12*'Cost &amp; Risk Inputs'!BZ13)</f>
        <v>0</v>
      </c>
      <c r="BN12" s="18">
        <f ca="1">IF($C12="","",$J12*'Cost &amp; Risk Inputs'!CA13)</f>
        <v>0</v>
      </c>
      <c r="BO12" s="18">
        <f ca="1">IF($C12="","",$J12*'Cost &amp; Risk Inputs'!CB13)</f>
        <v>0</v>
      </c>
      <c r="BP12" s="18">
        <f ca="1">IF($C12="","",$J12*'Cost &amp; Risk Inputs'!CC13)</f>
        <v>0</v>
      </c>
      <c r="BQ12" s="18">
        <f ca="1">IF($C12="","",$J12*'Cost &amp; Risk Inputs'!CD13)</f>
        <v>0</v>
      </c>
      <c r="BR12" s="18">
        <f ca="1">IF($C12="","",$J12*'Cost &amp; Risk Inputs'!CE13)</f>
        <v>0</v>
      </c>
      <c r="BS12" s="18">
        <f ca="1">IF($C12="","",$J12*'Cost &amp; Risk Inputs'!CF13)</f>
        <v>0</v>
      </c>
      <c r="BT12" s="18">
        <f ca="1">IF($C12="","",$J12*'Cost &amp; Risk Inputs'!CG13)</f>
        <v>0</v>
      </c>
      <c r="BU12" s="18">
        <f ca="1">IF($C12="","",$J12*'Cost &amp; Risk Inputs'!CH13)</f>
        <v>0</v>
      </c>
      <c r="BV12" s="18">
        <f ca="1">IF($C12="","",$J12*'Cost &amp; Risk Inputs'!CI13)</f>
        <v>0</v>
      </c>
      <c r="BW12" s="18">
        <f ca="1">IF($C12="","",$J12*'Cost &amp; Risk Inputs'!CJ13)</f>
        <v>0</v>
      </c>
      <c r="BX12" s="18">
        <f ca="1">IF($C12="","",$J12*'Cost &amp; Risk Inputs'!CK13)</f>
        <v>0</v>
      </c>
      <c r="BY12" s="18">
        <f ca="1">IF($C12="","",$J12*'Cost &amp; Risk Inputs'!CL13)</f>
        <v>0</v>
      </c>
      <c r="BZ12" s="18">
        <f ca="1">IF($C12="","",$J12*'Cost &amp; Risk Inputs'!CM13)</f>
        <v>0</v>
      </c>
      <c r="CA12" s="18">
        <f ca="1">IF($C12="","",$J12*'Cost &amp; Risk Inputs'!CN13)</f>
        <v>0</v>
      </c>
      <c r="CB12" s="18">
        <f ca="1">IF($C12="","",$J12*'Cost &amp; Risk Inputs'!CO13)</f>
        <v>0</v>
      </c>
      <c r="CC12" s="18">
        <f ca="1">IF($C12="","",$J12*'Cost &amp; Risk Inputs'!CP13)</f>
        <v>0</v>
      </c>
      <c r="CD12" s="18">
        <f ca="1">IF($C12="","",$J12*'Cost &amp; Risk Inputs'!CQ13)</f>
        <v>0</v>
      </c>
      <c r="CE12" s="18">
        <f ca="1">IF($C12="","",$J12*'Cost &amp; Risk Inputs'!CR13)</f>
        <v>0</v>
      </c>
      <c r="CF12" s="18">
        <f ca="1">IF($C12="","",$J12*'Cost &amp; Risk Inputs'!CS13)</f>
        <v>0</v>
      </c>
      <c r="CG12" s="18">
        <f ca="1">IF($C12="","",$J12*'Cost &amp; Risk Inputs'!CT13)</f>
        <v>0</v>
      </c>
      <c r="CH12" s="18">
        <f ca="1">IF($C12="","",$J12*'Cost &amp; Risk Inputs'!CU13)</f>
        <v>0</v>
      </c>
      <c r="CI12" s="18">
        <f ca="1">IF($C12="","",$J12*'Cost &amp; Risk Inputs'!CV13)</f>
        <v>0</v>
      </c>
      <c r="CJ12" s="18">
        <f ca="1">IF($C12="","",$J12*'Cost &amp; Risk Inputs'!CW13)</f>
        <v>0</v>
      </c>
      <c r="CK12" s="18">
        <f ca="1">IF($C12="","",$J12*'Cost &amp; Risk Inputs'!CX13)</f>
        <v>0</v>
      </c>
      <c r="CL12" s="18">
        <f ca="1">IF($C12="","",$J12*'Cost &amp; Risk Inputs'!CY13)</f>
        <v>0</v>
      </c>
      <c r="CM12" s="18">
        <f ca="1">IF($C12="","",$J12*'Cost &amp; Risk Inputs'!CZ13)</f>
        <v>0</v>
      </c>
      <c r="CN12" s="18">
        <f ca="1">IF($C12="","",$J12*'Cost &amp; Risk Inputs'!DA13)</f>
        <v>0</v>
      </c>
      <c r="CO12" s="18">
        <f ca="1">IF($C12="","",$J12*'Cost &amp; Risk Inputs'!DB13)</f>
        <v>0</v>
      </c>
      <c r="CP12" s="18">
        <f ca="1">IF($C12="","",$J12*'Cost &amp; Risk Inputs'!DC13)</f>
        <v>0</v>
      </c>
      <c r="CQ12" s="18">
        <f ca="1">IF($C12="","",$J12*'Cost &amp; Risk Inputs'!DD13)</f>
        <v>0</v>
      </c>
      <c r="CR12" s="18">
        <f ca="1">IF($C12="","",$J12*'Cost &amp; Risk Inputs'!DE13)</f>
        <v>0</v>
      </c>
      <c r="CS12" s="18">
        <f ca="1">IF($C12="","",$J12*'Cost &amp; Risk Inputs'!DF13)</f>
        <v>0</v>
      </c>
      <c r="CT12" s="18">
        <f ca="1">IF($C12="","",$J12*'Cost &amp; Risk Inputs'!DG13)</f>
        <v>0</v>
      </c>
      <c r="CU12" s="18">
        <f ca="1">IF($C12="","",$J12*'Cost &amp; Risk Inputs'!DH13)</f>
        <v>0</v>
      </c>
      <c r="CV12" s="18">
        <f ca="1">IF($C12="","",$J12*'Cost &amp; Risk Inputs'!DI13)</f>
        <v>0</v>
      </c>
      <c r="CW12" s="18">
        <f ca="1">IF($C12="","",$J12*'Cost &amp; Risk Inputs'!DJ13)</f>
        <v>0</v>
      </c>
      <c r="CX12" s="18">
        <f ca="1">IF($C12="","",$J12*'Cost &amp; Risk Inputs'!DK13)</f>
        <v>0</v>
      </c>
      <c r="CZ12" s="18">
        <f t="shared" ca="1" si="1"/>
        <v>0</v>
      </c>
      <c r="DA12" s="18">
        <f t="shared" ca="1" si="2"/>
        <v>2000</v>
      </c>
    </row>
    <row r="13" spans="1:105" x14ac:dyDescent="0.3">
      <c r="C13" s="4" t="str">
        <f>IF('Cost &amp; Risk Inputs'!C14="","",'Cost &amp; Risk Inputs'!C14)</f>
        <v>Test 5</v>
      </c>
      <c r="D13" s="4" t="str">
        <f>IF(C13="","",'Cost &amp; Risk Inputs'!F14)</f>
        <v>No Inflation</v>
      </c>
      <c r="E13" s="19">
        <f>IF(C13="","",'Cost &amp; Risk Inputs'!J14)</f>
        <v>43556</v>
      </c>
      <c r="F13" s="19">
        <f>IF(C13="","",'Cost &amp; Risk Inputs'!K14)</f>
        <v>43921</v>
      </c>
      <c r="G13" s="19" t="str">
        <f>IF(C13="","",'Cost &amp; Risk Inputs'!L14)</f>
        <v>19/20</v>
      </c>
      <c r="I13" s="18">
        <f t="shared" si="0"/>
        <v>366</v>
      </c>
      <c r="J13" s="23">
        <f ca="1">IF(C13="","",'Cost &amp; Risk Inputs'!U14/INDEX('Global Constants'!$F$24:$CQ$33,MATCH(D13,Inflation_List,0),MATCH(G13,FY,0)))</f>
        <v>1899.2876785216076</v>
      </c>
      <c r="M13" s="18">
        <f ca="1">IF($C13="","",$J13*'Cost &amp; Risk Inputs'!Z14)</f>
        <v>0</v>
      </c>
      <c r="N13" s="18">
        <f ca="1">IF($C13="","",$J13*'Cost &amp; Risk Inputs'!AA14)</f>
        <v>0</v>
      </c>
      <c r="O13" s="18">
        <f ca="1">IF($C13="","",$J13*'Cost &amp; Risk Inputs'!AB14)</f>
        <v>0</v>
      </c>
      <c r="P13" s="18">
        <f ca="1">IF($C13="","",$J13*'Cost &amp; Risk Inputs'!AC14)</f>
        <v>0</v>
      </c>
      <c r="Q13" s="18">
        <f ca="1">IF($C13="","",$J13*'Cost &amp; Risk Inputs'!AD14)</f>
        <v>0</v>
      </c>
      <c r="R13" s="18">
        <f ca="1">IF($C13="","",$J13*'Cost &amp; Risk Inputs'!AE14)</f>
        <v>0</v>
      </c>
      <c r="S13" s="18">
        <f ca="1">IF($C13="","",$J13*'Cost &amp; Risk Inputs'!AF14)</f>
        <v>0</v>
      </c>
      <c r="T13" s="18">
        <f ca="1">IF($C13="","",$J13*'Cost &amp; Risk Inputs'!AG14)</f>
        <v>0</v>
      </c>
      <c r="U13" s="18">
        <f ca="1">IF($C13="","",$J13*'Cost &amp; Risk Inputs'!AH14)</f>
        <v>0</v>
      </c>
      <c r="V13" s="18">
        <f ca="1">IF($C13="","",$J13*'Cost &amp; Risk Inputs'!AI14)</f>
        <v>0</v>
      </c>
      <c r="W13" s="18">
        <f ca="1">IF($C13="","",$J13*'Cost &amp; Risk Inputs'!AJ14)</f>
        <v>0</v>
      </c>
      <c r="X13" s="18">
        <f ca="1">IF($C13="","",$J13*'Cost &amp; Risk Inputs'!AK14)</f>
        <v>0</v>
      </c>
      <c r="Y13" s="18">
        <f ca="1">IF($C13="","",$J13*'Cost &amp; Risk Inputs'!AL14)</f>
        <v>0</v>
      </c>
      <c r="Z13" s="18">
        <f ca="1">IF($C13="","",$J13*'Cost &amp; Risk Inputs'!AM14)</f>
        <v>0</v>
      </c>
      <c r="AA13" s="18">
        <f ca="1">IF($C13="","",$J13*'Cost &amp; Risk Inputs'!AN14)</f>
        <v>0</v>
      </c>
      <c r="AB13" s="18">
        <f ca="1">IF($C13="","",$J13*'Cost &amp; Risk Inputs'!AO14)</f>
        <v>0</v>
      </c>
      <c r="AC13" s="18">
        <f ca="1">IF($C13="","",$J13*'Cost &amp; Risk Inputs'!AP14)</f>
        <v>0</v>
      </c>
      <c r="AD13" s="18">
        <f ca="1">IF($C13="","",$J13*'Cost &amp; Risk Inputs'!AQ14)</f>
        <v>0</v>
      </c>
      <c r="AE13" s="18">
        <f ca="1">IF($C13="","",$J13*'Cost &amp; Risk Inputs'!AR14)</f>
        <v>0</v>
      </c>
      <c r="AF13" s="18">
        <f ca="1">IF($C13="","",$J13*'Cost &amp; Risk Inputs'!AS14)</f>
        <v>0</v>
      </c>
      <c r="AG13" s="18">
        <f ca="1">IF($C13="","",$J13*'Cost &amp; Risk Inputs'!AT14)</f>
        <v>0</v>
      </c>
      <c r="AH13" s="18">
        <f ca="1">IF($C13="","",$J13*'Cost &amp; Risk Inputs'!AU14)</f>
        <v>1899.2876785216076</v>
      </c>
      <c r="AI13" s="18">
        <f ca="1">IF($C13="","",$J13*'Cost &amp; Risk Inputs'!AV14)</f>
        <v>0</v>
      </c>
      <c r="AJ13" s="18">
        <f ca="1">IF($C13="","",$J13*'Cost &amp; Risk Inputs'!AW14)</f>
        <v>0</v>
      </c>
      <c r="AK13" s="18">
        <f ca="1">IF($C13="","",$J13*'Cost &amp; Risk Inputs'!AX14)</f>
        <v>0</v>
      </c>
      <c r="AL13" s="18">
        <f ca="1">IF($C13="","",$J13*'Cost &amp; Risk Inputs'!AY14)</f>
        <v>0</v>
      </c>
      <c r="AM13" s="18">
        <f ca="1">IF($C13="","",$J13*'Cost &amp; Risk Inputs'!AZ14)</f>
        <v>0</v>
      </c>
      <c r="AN13" s="18">
        <f ca="1">IF($C13="","",$J13*'Cost &amp; Risk Inputs'!BA14)</f>
        <v>0</v>
      </c>
      <c r="AO13" s="18">
        <f ca="1">IF($C13="","",$J13*'Cost &amp; Risk Inputs'!BB14)</f>
        <v>0</v>
      </c>
      <c r="AP13" s="18">
        <f ca="1">IF($C13="","",$J13*'Cost &amp; Risk Inputs'!BC14)</f>
        <v>0</v>
      </c>
      <c r="AQ13" s="18">
        <f ca="1">IF($C13="","",$J13*'Cost &amp; Risk Inputs'!BD14)</f>
        <v>0</v>
      </c>
      <c r="AR13" s="18">
        <f ca="1">IF($C13="","",$J13*'Cost &amp; Risk Inputs'!BE14)</f>
        <v>0</v>
      </c>
      <c r="AS13" s="18">
        <f ca="1">IF($C13="","",$J13*'Cost &amp; Risk Inputs'!BF14)</f>
        <v>0</v>
      </c>
      <c r="AT13" s="18">
        <f ca="1">IF($C13="","",$J13*'Cost &amp; Risk Inputs'!BG14)</f>
        <v>0</v>
      </c>
      <c r="AU13" s="18">
        <f ca="1">IF($C13="","",$J13*'Cost &amp; Risk Inputs'!BH14)</f>
        <v>0</v>
      </c>
      <c r="AV13" s="18">
        <f ca="1">IF($C13="","",$J13*'Cost &amp; Risk Inputs'!BI14)</f>
        <v>0</v>
      </c>
      <c r="AW13" s="18">
        <f ca="1">IF($C13="","",$J13*'Cost &amp; Risk Inputs'!BJ14)</f>
        <v>0</v>
      </c>
      <c r="AX13" s="18">
        <f ca="1">IF($C13="","",$J13*'Cost &amp; Risk Inputs'!BK14)</f>
        <v>0</v>
      </c>
      <c r="AY13" s="18">
        <f ca="1">IF($C13="","",$J13*'Cost &amp; Risk Inputs'!BL14)</f>
        <v>0</v>
      </c>
      <c r="AZ13" s="18">
        <f ca="1">IF($C13="","",$J13*'Cost &amp; Risk Inputs'!BM14)</f>
        <v>0</v>
      </c>
      <c r="BA13" s="18">
        <f ca="1">IF($C13="","",$J13*'Cost &amp; Risk Inputs'!BN14)</f>
        <v>0</v>
      </c>
      <c r="BB13" s="18">
        <f ca="1">IF($C13="","",$J13*'Cost &amp; Risk Inputs'!BO14)</f>
        <v>0</v>
      </c>
      <c r="BC13" s="18">
        <f ca="1">IF($C13="","",$J13*'Cost &amp; Risk Inputs'!BP14)</f>
        <v>0</v>
      </c>
      <c r="BD13" s="18">
        <f ca="1">IF($C13="","",$J13*'Cost &amp; Risk Inputs'!BQ14)</f>
        <v>0</v>
      </c>
      <c r="BE13" s="18">
        <f ca="1">IF($C13="","",$J13*'Cost &amp; Risk Inputs'!BR14)</f>
        <v>0</v>
      </c>
      <c r="BF13" s="18">
        <f ca="1">IF($C13="","",$J13*'Cost &amp; Risk Inputs'!BS14)</f>
        <v>0</v>
      </c>
      <c r="BG13" s="18">
        <f ca="1">IF($C13="","",$J13*'Cost &amp; Risk Inputs'!BT14)</f>
        <v>0</v>
      </c>
      <c r="BH13" s="18">
        <f ca="1">IF($C13="","",$J13*'Cost &amp; Risk Inputs'!BU14)</f>
        <v>0</v>
      </c>
      <c r="BI13" s="18">
        <f ca="1">IF($C13="","",$J13*'Cost &amp; Risk Inputs'!BV14)</f>
        <v>0</v>
      </c>
      <c r="BJ13" s="18">
        <f ca="1">IF($C13="","",$J13*'Cost &amp; Risk Inputs'!BW14)</f>
        <v>0</v>
      </c>
      <c r="BK13" s="18">
        <f ca="1">IF($C13="","",$J13*'Cost &amp; Risk Inputs'!BX14)</f>
        <v>0</v>
      </c>
      <c r="BL13" s="18">
        <f ca="1">IF($C13="","",$J13*'Cost &amp; Risk Inputs'!BY14)</f>
        <v>0</v>
      </c>
      <c r="BM13" s="18">
        <f ca="1">IF($C13="","",$J13*'Cost &amp; Risk Inputs'!BZ14)</f>
        <v>0</v>
      </c>
      <c r="BN13" s="18">
        <f ca="1">IF($C13="","",$J13*'Cost &amp; Risk Inputs'!CA14)</f>
        <v>0</v>
      </c>
      <c r="BO13" s="18">
        <f ca="1">IF($C13="","",$J13*'Cost &amp; Risk Inputs'!CB14)</f>
        <v>0</v>
      </c>
      <c r="BP13" s="18">
        <f ca="1">IF($C13="","",$J13*'Cost &amp; Risk Inputs'!CC14)</f>
        <v>0</v>
      </c>
      <c r="BQ13" s="18">
        <f ca="1">IF($C13="","",$J13*'Cost &amp; Risk Inputs'!CD14)</f>
        <v>0</v>
      </c>
      <c r="BR13" s="18">
        <f ca="1">IF($C13="","",$J13*'Cost &amp; Risk Inputs'!CE14)</f>
        <v>0</v>
      </c>
      <c r="BS13" s="18">
        <f ca="1">IF($C13="","",$J13*'Cost &amp; Risk Inputs'!CF14)</f>
        <v>0</v>
      </c>
      <c r="BT13" s="18">
        <f ca="1">IF($C13="","",$J13*'Cost &amp; Risk Inputs'!CG14)</f>
        <v>0</v>
      </c>
      <c r="BU13" s="18">
        <f ca="1">IF($C13="","",$J13*'Cost &amp; Risk Inputs'!CH14)</f>
        <v>0</v>
      </c>
      <c r="BV13" s="18">
        <f ca="1">IF($C13="","",$J13*'Cost &amp; Risk Inputs'!CI14)</f>
        <v>0</v>
      </c>
      <c r="BW13" s="18">
        <f ca="1">IF($C13="","",$J13*'Cost &amp; Risk Inputs'!CJ14)</f>
        <v>0</v>
      </c>
      <c r="BX13" s="18">
        <f ca="1">IF($C13="","",$J13*'Cost &amp; Risk Inputs'!CK14)</f>
        <v>0</v>
      </c>
      <c r="BY13" s="18">
        <f ca="1">IF($C13="","",$J13*'Cost &amp; Risk Inputs'!CL14)</f>
        <v>0</v>
      </c>
      <c r="BZ13" s="18">
        <f ca="1">IF($C13="","",$J13*'Cost &amp; Risk Inputs'!CM14)</f>
        <v>0</v>
      </c>
      <c r="CA13" s="18">
        <f ca="1">IF($C13="","",$J13*'Cost &amp; Risk Inputs'!CN14)</f>
        <v>0</v>
      </c>
      <c r="CB13" s="18">
        <f ca="1">IF($C13="","",$J13*'Cost &amp; Risk Inputs'!CO14)</f>
        <v>0</v>
      </c>
      <c r="CC13" s="18">
        <f ca="1">IF($C13="","",$J13*'Cost &amp; Risk Inputs'!CP14)</f>
        <v>0</v>
      </c>
      <c r="CD13" s="18">
        <f ca="1">IF($C13="","",$J13*'Cost &amp; Risk Inputs'!CQ14)</f>
        <v>0</v>
      </c>
      <c r="CE13" s="18">
        <f ca="1">IF($C13="","",$J13*'Cost &amp; Risk Inputs'!CR14)</f>
        <v>0</v>
      </c>
      <c r="CF13" s="18">
        <f ca="1">IF($C13="","",$J13*'Cost &amp; Risk Inputs'!CS14)</f>
        <v>0</v>
      </c>
      <c r="CG13" s="18">
        <f ca="1">IF($C13="","",$J13*'Cost &amp; Risk Inputs'!CT14)</f>
        <v>0</v>
      </c>
      <c r="CH13" s="18">
        <f ca="1">IF($C13="","",$J13*'Cost &amp; Risk Inputs'!CU14)</f>
        <v>0</v>
      </c>
      <c r="CI13" s="18">
        <f ca="1">IF($C13="","",$J13*'Cost &amp; Risk Inputs'!CV14)</f>
        <v>0</v>
      </c>
      <c r="CJ13" s="18">
        <f ca="1">IF($C13="","",$J13*'Cost &amp; Risk Inputs'!CW14)</f>
        <v>0</v>
      </c>
      <c r="CK13" s="18">
        <f ca="1">IF($C13="","",$J13*'Cost &amp; Risk Inputs'!CX14)</f>
        <v>0</v>
      </c>
      <c r="CL13" s="18">
        <f ca="1">IF($C13="","",$J13*'Cost &amp; Risk Inputs'!CY14)</f>
        <v>0</v>
      </c>
      <c r="CM13" s="18">
        <f ca="1">IF($C13="","",$J13*'Cost &amp; Risk Inputs'!CZ14)</f>
        <v>0</v>
      </c>
      <c r="CN13" s="18">
        <f ca="1">IF($C13="","",$J13*'Cost &amp; Risk Inputs'!DA14)</f>
        <v>0</v>
      </c>
      <c r="CO13" s="18">
        <f ca="1">IF($C13="","",$J13*'Cost &amp; Risk Inputs'!DB14)</f>
        <v>0</v>
      </c>
      <c r="CP13" s="18">
        <f ca="1">IF($C13="","",$J13*'Cost &amp; Risk Inputs'!DC14)</f>
        <v>0</v>
      </c>
      <c r="CQ13" s="18">
        <f ca="1">IF($C13="","",$J13*'Cost &amp; Risk Inputs'!DD14)</f>
        <v>0</v>
      </c>
      <c r="CR13" s="18">
        <f ca="1">IF($C13="","",$J13*'Cost &amp; Risk Inputs'!DE14)</f>
        <v>0</v>
      </c>
      <c r="CS13" s="18">
        <f ca="1">IF($C13="","",$J13*'Cost &amp; Risk Inputs'!DF14)</f>
        <v>0</v>
      </c>
      <c r="CT13" s="18">
        <f ca="1">IF($C13="","",$J13*'Cost &amp; Risk Inputs'!DG14)</f>
        <v>0</v>
      </c>
      <c r="CU13" s="18">
        <f ca="1">IF($C13="","",$J13*'Cost &amp; Risk Inputs'!DH14)</f>
        <v>0</v>
      </c>
      <c r="CV13" s="18">
        <f ca="1">IF($C13="","",$J13*'Cost &amp; Risk Inputs'!DI14)</f>
        <v>0</v>
      </c>
      <c r="CW13" s="18">
        <f ca="1">IF($C13="","",$J13*'Cost &amp; Risk Inputs'!DJ14)</f>
        <v>0</v>
      </c>
      <c r="CX13" s="18">
        <f ca="1">IF($C13="","",$J13*'Cost &amp; Risk Inputs'!DK14)</f>
        <v>0</v>
      </c>
      <c r="CZ13" s="18">
        <f t="shared" ca="1" si="1"/>
        <v>0</v>
      </c>
      <c r="DA13" s="18">
        <f t="shared" ca="1" si="2"/>
        <v>1899.2876785216076</v>
      </c>
    </row>
    <row r="14" spans="1:105" x14ac:dyDescent="0.3">
      <c r="C14" s="4" t="str">
        <f>IF('Cost &amp; Risk Inputs'!C15="","",'Cost &amp; Risk Inputs'!C15)</f>
        <v>Test 5</v>
      </c>
      <c r="D14" s="4" t="str">
        <f>IF(C14="","",'Cost &amp; Risk Inputs'!F15)</f>
        <v>No Inflation</v>
      </c>
      <c r="E14" s="19">
        <f>IF(C14="","",'Cost &amp; Risk Inputs'!J15)</f>
        <v>42095</v>
      </c>
      <c r="F14" s="19">
        <f>IF(C14="","",'Cost &amp; Risk Inputs'!K15)</f>
        <v>43921</v>
      </c>
      <c r="G14" s="19" t="str">
        <f>IF(C14="","",'Cost &amp; Risk Inputs'!L15)</f>
        <v>19/20</v>
      </c>
      <c r="I14" s="18">
        <f t="shared" si="0"/>
        <v>1827</v>
      </c>
      <c r="J14" s="23">
        <f ca="1">IF(C14="","",'Cost &amp; Risk Inputs'!U15/INDEX('Global Constants'!$F$24:$CQ$33,MATCH(D14,Inflation_List,0),MATCH(G14,FY,0)))</f>
        <v>11150.114204075808</v>
      </c>
      <c r="M14" s="18">
        <f ca="1">IF($C14="","",$J14*'Cost &amp; Risk Inputs'!Z15)</f>
        <v>0</v>
      </c>
      <c r="N14" s="18">
        <f ca="1">IF($C14="","",$J14*'Cost &amp; Risk Inputs'!AA15)</f>
        <v>0</v>
      </c>
      <c r="O14" s="18">
        <f ca="1">IF($C14="","",$J14*'Cost &amp; Risk Inputs'!AB15)</f>
        <v>0</v>
      </c>
      <c r="P14" s="18">
        <f ca="1">IF($C14="","",$J14*'Cost &amp; Risk Inputs'!AC15)</f>
        <v>0</v>
      </c>
      <c r="Q14" s="18">
        <f ca="1">IF($C14="","",$J14*'Cost &amp; Risk Inputs'!AD15)</f>
        <v>0</v>
      </c>
      <c r="R14" s="18">
        <f ca="1">IF($C14="","",$J14*'Cost &amp; Risk Inputs'!AE15)</f>
        <v>0</v>
      </c>
      <c r="S14" s="18">
        <f ca="1">IF($C14="","",$J14*'Cost &amp; Risk Inputs'!AF15)</f>
        <v>0</v>
      </c>
      <c r="T14" s="18">
        <f ca="1">IF($C14="","",$J14*'Cost &amp; Risk Inputs'!AG15)</f>
        <v>0</v>
      </c>
      <c r="U14" s="18">
        <f ca="1">IF($C14="","",$J14*'Cost &amp; Risk Inputs'!AH15)</f>
        <v>0</v>
      </c>
      <c r="V14" s="18">
        <f ca="1">IF($C14="","",$J14*'Cost &amp; Risk Inputs'!AI15)</f>
        <v>0</v>
      </c>
      <c r="W14" s="18">
        <f ca="1">IF($C14="","",$J14*'Cost &amp; Risk Inputs'!AJ15)</f>
        <v>0</v>
      </c>
      <c r="X14" s="18">
        <f ca="1">IF($C14="","",$J14*'Cost &amp; Risk Inputs'!AK15)</f>
        <v>0</v>
      </c>
      <c r="Y14" s="18">
        <f ca="1">IF($C14="","",$J14*'Cost &amp; Risk Inputs'!AL15)</f>
        <v>0</v>
      </c>
      <c r="Z14" s="18">
        <f ca="1">IF($C14="","",$J14*'Cost &amp; Risk Inputs'!AM15)</f>
        <v>0</v>
      </c>
      <c r="AA14" s="18">
        <f ca="1">IF($C14="","",$J14*'Cost &amp; Risk Inputs'!AN15)</f>
        <v>0</v>
      </c>
      <c r="AB14" s="18">
        <f ca="1">IF($C14="","",$J14*'Cost &amp; Risk Inputs'!AO15)</f>
        <v>0</v>
      </c>
      <c r="AC14" s="18">
        <f ca="1">IF($C14="","",$J14*'Cost &amp; Risk Inputs'!AP15)</f>
        <v>0</v>
      </c>
      <c r="AD14" s="18">
        <f ca="1">IF($C14="","",$J14*'Cost &amp; Risk Inputs'!AQ15)</f>
        <v>2230.0228408151615</v>
      </c>
      <c r="AE14" s="18">
        <f ca="1">IF($C14="","",$J14*'Cost &amp; Risk Inputs'!AR15)</f>
        <v>2230.0228408151615</v>
      </c>
      <c r="AF14" s="18">
        <f ca="1">IF($C14="","",$J14*'Cost &amp; Risk Inputs'!AS15)</f>
        <v>2230.0228408151615</v>
      </c>
      <c r="AG14" s="18">
        <f ca="1">IF($C14="","",$J14*'Cost &amp; Risk Inputs'!AT15)</f>
        <v>2230.0228408151615</v>
      </c>
      <c r="AH14" s="18">
        <f ca="1">IF($C14="","",$J14*'Cost &amp; Risk Inputs'!AU15)</f>
        <v>2230.0228408151615</v>
      </c>
      <c r="AI14" s="18">
        <f ca="1">IF($C14="","",$J14*'Cost &amp; Risk Inputs'!AV15)</f>
        <v>0</v>
      </c>
      <c r="AJ14" s="18">
        <f ca="1">IF($C14="","",$J14*'Cost &amp; Risk Inputs'!AW15)</f>
        <v>0</v>
      </c>
      <c r="AK14" s="18">
        <f ca="1">IF($C14="","",$J14*'Cost &amp; Risk Inputs'!AX15)</f>
        <v>0</v>
      </c>
      <c r="AL14" s="18">
        <f ca="1">IF($C14="","",$J14*'Cost &amp; Risk Inputs'!AY15)</f>
        <v>0</v>
      </c>
      <c r="AM14" s="18">
        <f ca="1">IF($C14="","",$J14*'Cost &amp; Risk Inputs'!AZ15)</f>
        <v>0</v>
      </c>
      <c r="AN14" s="18">
        <f ca="1">IF($C14="","",$J14*'Cost &amp; Risk Inputs'!BA15)</f>
        <v>0</v>
      </c>
      <c r="AO14" s="18">
        <f ca="1">IF($C14="","",$J14*'Cost &amp; Risk Inputs'!BB15)</f>
        <v>0</v>
      </c>
      <c r="AP14" s="18">
        <f ca="1">IF($C14="","",$J14*'Cost &amp; Risk Inputs'!BC15)</f>
        <v>0</v>
      </c>
      <c r="AQ14" s="18">
        <f ca="1">IF($C14="","",$J14*'Cost &amp; Risk Inputs'!BD15)</f>
        <v>0</v>
      </c>
      <c r="AR14" s="18">
        <f ca="1">IF($C14="","",$J14*'Cost &amp; Risk Inputs'!BE15)</f>
        <v>0</v>
      </c>
      <c r="AS14" s="18">
        <f ca="1">IF($C14="","",$J14*'Cost &amp; Risk Inputs'!BF15)</f>
        <v>0</v>
      </c>
      <c r="AT14" s="18">
        <f ca="1">IF($C14="","",$J14*'Cost &amp; Risk Inputs'!BG15)</f>
        <v>0</v>
      </c>
      <c r="AU14" s="18">
        <f ca="1">IF($C14="","",$J14*'Cost &amp; Risk Inputs'!BH15)</f>
        <v>0</v>
      </c>
      <c r="AV14" s="18">
        <f ca="1">IF($C14="","",$J14*'Cost &amp; Risk Inputs'!BI15)</f>
        <v>0</v>
      </c>
      <c r="AW14" s="18">
        <f ca="1">IF($C14="","",$J14*'Cost &amp; Risk Inputs'!BJ15)</f>
        <v>0</v>
      </c>
      <c r="AX14" s="18">
        <f ca="1">IF($C14="","",$J14*'Cost &amp; Risk Inputs'!BK15)</f>
        <v>0</v>
      </c>
      <c r="AY14" s="18">
        <f ca="1">IF($C14="","",$J14*'Cost &amp; Risk Inputs'!BL15)</f>
        <v>0</v>
      </c>
      <c r="AZ14" s="18">
        <f ca="1">IF($C14="","",$J14*'Cost &amp; Risk Inputs'!BM15)</f>
        <v>0</v>
      </c>
      <c r="BA14" s="18">
        <f ca="1">IF($C14="","",$J14*'Cost &amp; Risk Inputs'!BN15)</f>
        <v>0</v>
      </c>
      <c r="BB14" s="18">
        <f ca="1">IF($C14="","",$J14*'Cost &amp; Risk Inputs'!BO15)</f>
        <v>0</v>
      </c>
      <c r="BC14" s="18">
        <f ca="1">IF($C14="","",$J14*'Cost &amp; Risk Inputs'!BP15)</f>
        <v>0</v>
      </c>
      <c r="BD14" s="18">
        <f ca="1">IF($C14="","",$J14*'Cost &amp; Risk Inputs'!BQ15)</f>
        <v>0</v>
      </c>
      <c r="BE14" s="18">
        <f ca="1">IF($C14="","",$J14*'Cost &amp; Risk Inputs'!BR15)</f>
        <v>0</v>
      </c>
      <c r="BF14" s="18">
        <f ca="1">IF($C14="","",$J14*'Cost &amp; Risk Inputs'!BS15)</f>
        <v>0</v>
      </c>
      <c r="BG14" s="18">
        <f ca="1">IF($C14="","",$J14*'Cost &amp; Risk Inputs'!BT15)</f>
        <v>0</v>
      </c>
      <c r="BH14" s="18">
        <f ca="1">IF($C14="","",$J14*'Cost &amp; Risk Inputs'!BU15)</f>
        <v>0</v>
      </c>
      <c r="BI14" s="18">
        <f ca="1">IF($C14="","",$J14*'Cost &amp; Risk Inputs'!BV15)</f>
        <v>0</v>
      </c>
      <c r="BJ14" s="18">
        <f ca="1">IF($C14="","",$J14*'Cost &amp; Risk Inputs'!BW15)</f>
        <v>0</v>
      </c>
      <c r="BK14" s="18">
        <f ca="1">IF($C14="","",$J14*'Cost &amp; Risk Inputs'!BX15)</f>
        <v>0</v>
      </c>
      <c r="BL14" s="18">
        <f ca="1">IF($C14="","",$J14*'Cost &amp; Risk Inputs'!BY15)</f>
        <v>0</v>
      </c>
      <c r="BM14" s="18">
        <f ca="1">IF($C14="","",$J14*'Cost &amp; Risk Inputs'!BZ15)</f>
        <v>0</v>
      </c>
      <c r="BN14" s="18">
        <f ca="1">IF($C14="","",$J14*'Cost &amp; Risk Inputs'!CA15)</f>
        <v>0</v>
      </c>
      <c r="BO14" s="18">
        <f ca="1">IF($C14="","",$J14*'Cost &amp; Risk Inputs'!CB15)</f>
        <v>0</v>
      </c>
      <c r="BP14" s="18">
        <f ca="1">IF($C14="","",$J14*'Cost &amp; Risk Inputs'!CC15)</f>
        <v>0</v>
      </c>
      <c r="BQ14" s="18">
        <f ca="1">IF($C14="","",$J14*'Cost &amp; Risk Inputs'!CD15)</f>
        <v>0</v>
      </c>
      <c r="BR14" s="18">
        <f ca="1">IF($C14="","",$J14*'Cost &amp; Risk Inputs'!CE15)</f>
        <v>0</v>
      </c>
      <c r="BS14" s="18">
        <f ca="1">IF($C14="","",$J14*'Cost &amp; Risk Inputs'!CF15)</f>
        <v>0</v>
      </c>
      <c r="BT14" s="18">
        <f ca="1">IF($C14="","",$J14*'Cost &amp; Risk Inputs'!CG15)</f>
        <v>0</v>
      </c>
      <c r="BU14" s="18">
        <f ca="1">IF($C14="","",$J14*'Cost &amp; Risk Inputs'!CH15)</f>
        <v>0</v>
      </c>
      <c r="BV14" s="18">
        <f ca="1">IF($C14="","",$J14*'Cost &amp; Risk Inputs'!CI15)</f>
        <v>0</v>
      </c>
      <c r="BW14" s="18">
        <f ca="1">IF($C14="","",$J14*'Cost &amp; Risk Inputs'!CJ15)</f>
        <v>0</v>
      </c>
      <c r="BX14" s="18">
        <f ca="1">IF($C14="","",$J14*'Cost &amp; Risk Inputs'!CK15)</f>
        <v>0</v>
      </c>
      <c r="BY14" s="18">
        <f ca="1">IF($C14="","",$J14*'Cost &amp; Risk Inputs'!CL15)</f>
        <v>0</v>
      </c>
      <c r="BZ14" s="18">
        <f ca="1">IF($C14="","",$J14*'Cost &amp; Risk Inputs'!CM15)</f>
        <v>0</v>
      </c>
      <c r="CA14" s="18">
        <f ca="1">IF($C14="","",$J14*'Cost &amp; Risk Inputs'!CN15)</f>
        <v>0</v>
      </c>
      <c r="CB14" s="18">
        <f ca="1">IF($C14="","",$J14*'Cost &amp; Risk Inputs'!CO15)</f>
        <v>0</v>
      </c>
      <c r="CC14" s="18">
        <f ca="1">IF($C14="","",$J14*'Cost &amp; Risk Inputs'!CP15)</f>
        <v>0</v>
      </c>
      <c r="CD14" s="18">
        <f ca="1">IF($C14="","",$J14*'Cost &amp; Risk Inputs'!CQ15)</f>
        <v>0</v>
      </c>
      <c r="CE14" s="18">
        <f ca="1">IF($C14="","",$J14*'Cost &amp; Risk Inputs'!CR15)</f>
        <v>0</v>
      </c>
      <c r="CF14" s="18">
        <f ca="1">IF($C14="","",$J14*'Cost &amp; Risk Inputs'!CS15)</f>
        <v>0</v>
      </c>
      <c r="CG14" s="18">
        <f ca="1">IF($C14="","",$J14*'Cost &amp; Risk Inputs'!CT15)</f>
        <v>0</v>
      </c>
      <c r="CH14" s="18">
        <f ca="1">IF($C14="","",$J14*'Cost &amp; Risk Inputs'!CU15)</f>
        <v>0</v>
      </c>
      <c r="CI14" s="18">
        <f ca="1">IF($C14="","",$J14*'Cost &amp; Risk Inputs'!CV15)</f>
        <v>0</v>
      </c>
      <c r="CJ14" s="18">
        <f ca="1">IF($C14="","",$J14*'Cost &amp; Risk Inputs'!CW15)</f>
        <v>0</v>
      </c>
      <c r="CK14" s="18">
        <f ca="1">IF($C14="","",$J14*'Cost &amp; Risk Inputs'!CX15)</f>
        <v>0</v>
      </c>
      <c r="CL14" s="18">
        <f ca="1">IF($C14="","",$J14*'Cost &amp; Risk Inputs'!CY15)</f>
        <v>0</v>
      </c>
      <c r="CM14" s="18">
        <f ca="1">IF($C14="","",$J14*'Cost &amp; Risk Inputs'!CZ15)</f>
        <v>0</v>
      </c>
      <c r="CN14" s="18">
        <f ca="1">IF($C14="","",$J14*'Cost &amp; Risk Inputs'!DA15)</f>
        <v>0</v>
      </c>
      <c r="CO14" s="18">
        <f ca="1">IF($C14="","",$J14*'Cost &amp; Risk Inputs'!DB15)</f>
        <v>0</v>
      </c>
      <c r="CP14" s="18">
        <f ca="1">IF($C14="","",$J14*'Cost &amp; Risk Inputs'!DC15)</f>
        <v>0</v>
      </c>
      <c r="CQ14" s="18">
        <f ca="1">IF($C14="","",$J14*'Cost &amp; Risk Inputs'!DD15)</f>
        <v>0</v>
      </c>
      <c r="CR14" s="18">
        <f ca="1">IF($C14="","",$J14*'Cost &amp; Risk Inputs'!DE15)</f>
        <v>0</v>
      </c>
      <c r="CS14" s="18">
        <f ca="1">IF($C14="","",$J14*'Cost &amp; Risk Inputs'!DF15)</f>
        <v>0</v>
      </c>
      <c r="CT14" s="18">
        <f ca="1">IF($C14="","",$J14*'Cost &amp; Risk Inputs'!DG15)</f>
        <v>0</v>
      </c>
      <c r="CU14" s="18">
        <f ca="1">IF($C14="","",$J14*'Cost &amp; Risk Inputs'!DH15)</f>
        <v>0</v>
      </c>
      <c r="CV14" s="18">
        <f ca="1">IF($C14="","",$J14*'Cost &amp; Risk Inputs'!DI15)</f>
        <v>0</v>
      </c>
      <c r="CW14" s="18">
        <f ca="1">IF($C14="","",$J14*'Cost &amp; Risk Inputs'!DJ15)</f>
        <v>0</v>
      </c>
      <c r="CX14" s="18">
        <f ca="1">IF($C14="","",$J14*'Cost &amp; Risk Inputs'!DK15)</f>
        <v>0</v>
      </c>
      <c r="CZ14" s="18">
        <f t="shared" ca="1" si="1"/>
        <v>0</v>
      </c>
      <c r="DA14" s="18">
        <f t="shared" ca="1" si="2"/>
        <v>11150.114204075808</v>
      </c>
    </row>
    <row r="15" spans="1:105" x14ac:dyDescent="0.3">
      <c r="C15" s="4" t="str">
        <f>IF('Cost &amp; Risk Inputs'!C16="","",'Cost &amp; Risk Inputs'!C16)</f>
        <v>Test 6</v>
      </c>
      <c r="D15" s="4" t="str">
        <f>IF(C15="","",'Cost &amp; Risk Inputs'!F16)</f>
        <v>No Inflation</v>
      </c>
      <c r="E15" s="19">
        <f>IF(C15="","",'Cost &amp; Risk Inputs'!J16)</f>
        <v>42461</v>
      </c>
      <c r="F15" s="19">
        <f>IF(C15="","",'Cost &amp; Risk Inputs'!K16)</f>
        <v>43921</v>
      </c>
      <c r="G15" s="19" t="str">
        <f>IF(C15="","",'Cost &amp; Risk Inputs'!L16)</f>
        <v>19/20</v>
      </c>
      <c r="I15" s="18">
        <f t="shared" si="0"/>
        <v>1461</v>
      </c>
      <c r="J15" s="23">
        <f ca="1">IF(C15="","",'Cost &amp; Risk Inputs'!U16/INDEX('Global Constants'!$F$24:$CQ$33,MATCH(D15,Inflation_List,0),MATCH(G15,FY,0)))</f>
        <v>10046.250861203498</v>
      </c>
      <c r="M15" s="18">
        <f ca="1">IF($C15="","",$J15*'Cost &amp; Risk Inputs'!Z16)</f>
        <v>0</v>
      </c>
      <c r="N15" s="18">
        <f ca="1">IF($C15="","",$J15*'Cost &amp; Risk Inputs'!AA16)</f>
        <v>0</v>
      </c>
      <c r="O15" s="18">
        <f ca="1">IF($C15="","",$J15*'Cost &amp; Risk Inputs'!AB16)</f>
        <v>0</v>
      </c>
      <c r="P15" s="18">
        <f ca="1">IF($C15="","",$J15*'Cost &amp; Risk Inputs'!AC16)</f>
        <v>0</v>
      </c>
      <c r="Q15" s="18">
        <f ca="1">IF($C15="","",$J15*'Cost &amp; Risk Inputs'!AD16)</f>
        <v>0</v>
      </c>
      <c r="R15" s="18">
        <f ca="1">IF($C15="","",$J15*'Cost &amp; Risk Inputs'!AE16)</f>
        <v>0</v>
      </c>
      <c r="S15" s="18">
        <f ca="1">IF($C15="","",$J15*'Cost &amp; Risk Inputs'!AF16)</f>
        <v>0</v>
      </c>
      <c r="T15" s="18">
        <f ca="1">IF($C15="","",$J15*'Cost &amp; Risk Inputs'!AG16)</f>
        <v>0</v>
      </c>
      <c r="U15" s="18">
        <f ca="1">IF($C15="","",$J15*'Cost &amp; Risk Inputs'!AH16)</f>
        <v>0</v>
      </c>
      <c r="V15" s="18">
        <f ca="1">IF($C15="","",$J15*'Cost &amp; Risk Inputs'!AI16)</f>
        <v>0</v>
      </c>
      <c r="W15" s="18">
        <f ca="1">IF($C15="","",$J15*'Cost &amp; Risk Inputs'!AJ16)</f>
        <v>0</v>
      </c>
      <c r="X15" s="18">
        <f ca="1">IF($C15="","",$J15*'Cost &amp; Risk Inputs'!AK16)</f>
        <v>0</v>
      </c>
      <c r="Y15" s="18">
        <f ca="1">IF($C15="","",$J15*'Cost &amp; Risk Inputs'!AL16)</f>
        <v>0</v>
      </c>
      <c r="Z15" s="18">
        <f ca="1">IF($C15="","",$J15*'Cost &amp; Risk Inputs'!AM16)</f>
        <v>0</v>
      </c>
      <c r="AA15" s="18">
        <f ca="1">IF($C15="","",$J15*'Cost &amp; Risk Inputs'!AN16)</f>
        <v>0</v>
      </c>
      <c r="AB15" s="18">
        <f ca="1">IF($C15="","",$J15*'Cost &amp; Risk Inputs'!AO16)</f>
        <v>0</v>
      </c>
      <c r="AC15" s="18">
        <f ca="1">IF($C15="","",$J15*'Cost &amp; Risk Inputs'!AP16)</f>
        <v>0</v>
      </c>
      <c r="AD15" s="18">
        <f ca="1">IF($C15="","",$J15*'Cost &amp; Risk Inputs'!AQ16)</f>
        <v>2009.2501722406996</v>
      </c>
      <c r="AE15" s="18">
        <f ca="1">IF($C15="","",$J15*'Cost &amp; Risk Inputs'!AR16)</f>
        <v>2009.2501722406996</v>
      </c>
      <c r="AF15" s="18">
        <f ca="1">IF($C15="","",$J15*'Cost &amp; Risk Inputs'!AS16)</f>
        <v>2009.2501722406996</v>
      </c>
      <c r="AG15" s="18">
        <f ca="1">IF($C15="","",$J15*'Cost &amp; Risk Inputs'!AT16)</f>
        <v>2009.2501722406996</v>
      </c>
      <c r="AH15" s="18">
        <f ca="1">IF($C15="","",$J15*'Cost &amp; Risk Inputs'!AU16)</f>
        <v>2009.2501722406996</v>
      </c>
      <c r="AI15" s="18">
        <f ca="1">IF($C15="","",$J15*'Cost &amp; Risk Inputs'!AV16)</f>
        <v>0</v>
      </c>
      <c r="AJ15" s="18">
        <f ca="1">IF($C15="","",$J15*'Cost &amp; Risk Inputs'!AW16)</f>
        <v>0</v>
      </c>
      <c r="AK15" s="18">
        <f ca="1">IF($C15="","",$J15*'Cost &amp; Risk Inputs'!AX16)</f>
        <v>0</v>
      </c>
      <c r="AL15" s="18">
        <f ca="1">IF($C15="","",$J15*'Cost &amp; Risk Inputs'!AY16)</f>
        <v>0</v>
      </c>
      <c r="AM15" s="18">
        <f ca="1">IF($C15="","",$J15*'Cost &amp; Risk Inputs'!AZ16)</f>
        <v>0</v>
      </c>
      <c r="AN15" s="18">
        <f ca="1">IF($C15="","",$J15*'Cost &amp; Risk Inputs'!BA16)</f>
        <v>0</v>
      </c>
      <c r="AO15" s="18">
        <f ca="1">IF($C15="","",$J15*'Cost &amp; Risk Inputs'!BB16)</f>
        <v>0</v>
      </c>
      <c r="AP15" s="18">
        <f ca="1">IF($C15="","",$J15*'Cost &amp; Risk Inputs'!BC16)</f>
        <v>0</v>
      </c>
      <c r="AQ15" s="18">
        <f ca="1">IF($C15="","",$J15*'Cost &amp; Risk Inputs'!BD16)</f>
        <v>0</v>
      </c>
      <c r="AR15" s="18">
        <f ca="1">IF($C15="","",$J15*'Cost &amp; Risk Inputs'!BE16)</f>
        <v>0</v>
      </c>
      <c r="AS15" s="18">
        <f ca="1">IF($C15="","",$J15*'Cost &amp; Risk Inputs'!BF16)</f>
        <v>0</v>
      </c>
      <c r="AT15" s="18">
        <f ca="1">IF($C15="","",$J15*'Cost &amp; Risk Inputs'!BG16)</f>
        <v>0</v>
      </c>
      <c r="AU15" s="18">
        <f ca="1">IF($C15="","",$J15*'Cost &amp; Risk Inputs'!BH16)</f>
        <v>0</v>
      </c>
      <c r="AV15" s="18">
        <f ca="1">IF($C15="","",$J15*'Cost &amp; Risk Inputs'!BI16)</f>
        <v>0</v>
      </c>
      <c r="AW15" s="18">
        <f ca="1">IF($C15="","",$J15*'Cost &amp; Risk Inputs'!BJ16)</f>
        <v>0</v>
      </c>
      <c r="AX15" s="18">
        <f ca="1">IF($C15="","",$J15*'Cost &amp; Risk Inputs'!BK16)</f>
        <v>0</v>
      </c>
      <c r="AY15" s="18">
        <f ca="1">IF($C15="","",$J15*'Cost &amp; Risk Inputs'!BL16)</f>
        <v>0</v>
      </c>
      <c r="AZ15" s="18">
        <f ca="1">IF($C15="","",$J15*'Cost &amp; Risk Inputs'!BM16)</f>
        <v>0</v>
      </c>
      <c r="BA15" s="18">
        <f ca="1">IF($C15="","",$J15*'Cost &amp; Risk Inputs'!BN16)</f>
        <v>0</v>
      </c>
      <c r="BB15" s="18">
        <f ca="1">IF($C15="","",$J15*'Cost &amp; Risk Inputs'!BO16)</f>
        <v>0</v>
      </c>
      <c r="BC15" s="18">
        <f ca="1">IF($C15="","",$J15*'Cost &amp; Risk Inputs'!BP16)</f>
        <v>0</v>
      </c>
      <c r="BD15" s="18">
        <f ca="1">IF($C15="","",$J15*'Cost &amp; Risk Inputs'!BQ16)</f>
        <v>0</v>
      </c>
      <c r="BE15" s="18">
        <f ca="1">IF($C15="","",$J15*'Cost &amp; Risk Inputs'!BR16)</f>
        <v>0</v>
      </c>
      <c r="BF15" s="18">
        <f ca="1">IF($C15="","",$J15*'Cost &amp; Risk Inputs'!BS16)</f>
        <v>0</v>
      </c>
      <c r="BG15" s="18">
        <f ca="1">IF($C15="","",$J15*'Cost &amp; Risk Inputs'!BT16)</f>
        <v>0</v>
      </c>
      <c r="BH15" s="18">
        <f ca="1">IF($C15="","",$J15*'Cost &amp; Risk Inputs'!BU16)</f>
        <v>0</v>
      </c>
      <c r="BI15" s="18">
        <f ca="1">IF($C15="","",$J15*'Cost &amp; Risk Inputs'!BV16)</f>
        <v>0</v>
      </c>
      <c r="BJ15" s="18">
        <f ca="1">IF($C15="","",$J15*'Cost &amp; Risk Inputs'!BW16)</f>
        <v>0</v>
      </c>
      <c r="BK15" s="18">
        <f ca="1">IF($C15="","",$J15*'Cost &amp; Risk Inputs'!BX16)</f>
        <v>0</v>
      </c>
      <c r="BL15" s="18">
        <f ca="1">IF($C15="","",$J15*'Cost &amp; Risk Inputs'!BY16)</f>
        <v>0</v>
      </c>
      <c r="BM15" s="18">
        <f ca="1">IF($C15="","",$J15*'Cost &amp; Risk Inputs'!BZ16)</f>
        <v>0</v>
      </c>
      <c r="BN15" s="18">
        <f ca="1">IF($C15="","",$J15*'Cost &amp; Risk Inputs'!CA16)</f>
        <v>0</v>
      </c>
      <c r="BO15" s="18">
        <f ca="1">IF($C15="","",$J15*'Cost &amp; Risk Inputs'!CB16)</f>
        <v>0</v>
      </c>
      <c r="BP15" s="18">
        <f ca="1">IF($C15="","",$J15*'Cost &amp; Risk Inputs'!CC16)</f>
        <v>0</v>
      </c>
      <c r="BQ15" s="18">
        <f ca="1">IF($C15="","",$J15*'Cost &amp; Risk Inputs'!CD16)</f>
        <v>0</v>
      </c>
      <c r="BR15" s="18">
        <f ca="1">IF($C15="","",$J15*'Cost &amp; Risk Inputs'!CE16)</f>
        <v>0</v>
      </c>
      <c r="BS15" s="18">
        <f ca="1">IF($C15="","",$J15*'Cost &amp; Risk Inputs'!CF16)</f>
        <v>0</v>
      </c>
      <c r="BT15" s="18">
        <f ca="1">IF($C15="","",$J15*'Cost &amp; Risk Inputs'!CG16)</f>
        <v>0</v>
      </c>
      <c r="BU15" s="18">
        <f ca="1">IF($C15="","",$J15*'Cost &amp; Risk Inputs'!CH16)</f>
        <v>0</v>
      </c>
      <c r="BV15" s="18">
        <f ca="1">IF($C15="","",$J15*'Cost &amp; Risk Inputs'!CI16)</f>
        <v>0</v>
      </c>
      <c r="BW15" s="18">
        <f ca="1">IF($C15="","",$J15*'Cost &amp; Risk Inputs'!CJ16)</f>
        <v>0</v>
      </c>
      <c r="BX15" s="18">
        <f ca="1">IF($C15="","",$J15*'Cost &amp; Risk Inputs'!CK16)</f>
        <v>0</v>
      </c>
      <c r="BY15" s="18">
        <f ca="1">IF($C15="","",$J15*'Cost &amp; Risk Inputs'!CL16)</f>
        <v>0</v>
      </c>
      <c r="BZ15" s="18">
        <f ca="1">IF($C15="","",$J15*'Cost &amp; Risk Inputs'!CM16)</f>
        <v>0</v>
      </c>
      <c r="CA15" s="18">
        <f ca="1">IF($C15="","",$J15*'Cost &amp; Risk Inputs'!CN16)</f>
        <v>0</v>
      </c>
      <c r="CB15" s="18">
        <f ca="1">IF($C15="","",$J15*'Cost &amp; Risk Inputs'!CO16)</f>
        <v>0</v>
      </c>
      <c r="CC15" s="18">
        <f ca="1">IF($C15="","",$J15*'Cost &amp; Risk Inputs'!CP16)</f>
        <v>0</v>
      </c>
      <c r="CD15" s="18">
        <f ca="1">IF($C15="","",$J15*'Cost &amp; Risk Inputs'!CQ16)</f>
        <v>0</v>
      </c>
      <c r="CE15" s="18">
        <f ca="1">IF($C15="","",$J15*'Cost &amp; Risk Inputs'!CR16)</f>
        <v>0</v>
      </c>
      <c r="CF15" s="18">
        <f ca="1">IF($C15="","",$J15*'Cost &amp; Risk Inputs'!CS16)</f>
        <v>0</v>
      </c>
      <c r="CG15" s="18">
        <f ca="1">IF($C15="","",$J15*'Cost &amp; Risk Inputs'!CT16)</f>
        <v>0</v>
      </c>
      <c r="CH15" s="18">
        <f ca="1">IF($C15="","",$J15*'Cost &amp; Risk Inputs'!CU16)</f>
        <v>0</v>
      </c>
      <c r="CI15" s="18">
        <f ca="1">IF($C15="","",$J15*'Cost &amp; Risk Inputs'!CV16)</f>
        <v>0</v>
      </c>
      <c r="CJ15" s="18">
        <f ca="1">IF($C15="","",$J15*'Cost &amp; Risk Inputs'!CW16)</f>
        <v>0</v>
      </c>
      <c r="CK15" s="18">
        <f ca="1">IF($C15="","",$J15*'Cost &amp; Risk Inputs'!CX16)</f>
        <v>0</v>
      </c>
      <c r="CL15" s="18">
        <f ca="1">IF($C15="","",$J15*'Cost &amp; Risk Inputs'!CY16)</f>
        <v>0</v>
      </c>
      <c r="CM15" s="18">
        <f ca="1">IF($C15="","",$J15*'Cost &amp; Risk Inputs'!CZ16)</f>
        <v>0</v>
      </c>
      <c r="CN15" s="18">
        <f ca="1">IF($C15="","",$J15*'Cost &amp; Risk Inputs'!DA16)</f>
        <v>0</v>
      </c>
      <c r="CO15" s="18">
        <f ca="1">IF($C15="","",$J15*'Cost &amp; Risk Inputs'!DB16)</f>
        <v>0</v>
      </c>
      <c r="CP15" s="18">
        <f ca="1">IF($C15="","",$J15*'Cost &amp; Risk Inputs'!DC16)</f>
        <v>0</v>
      </c>
      <c r="CQ15" s="18">
        <f ca="1">IF($C15="","",$J15*'Cost &amp; Risk Inputs'!DD16)</f>
        <v>0</v>
      </c>
      <c r="CR15" s="18">
        <f ca="1">IF($C15="","",$J15*'Cost &amp; Risk Inputs'!DE16)</f>
        <v>0</v>
      </c>
      <c r="CS15" s="18">
        <f ca="1">IF($C15="","",$J15*'Cost &amp; Risk Inputs'!DF16)</f>
        <v>0</v>
      </c>
      <c r="CT15" s="18">
        <f ca="1">IF($C15="","",$J15*'Cost &amp; Risk Inputs'!DG16)</f>
        <v>0</v>
      </c>
      <c r="CU15" s="18">
        <f ca="1">IF($C15="","",$J15*'Cost &amp; Risk Inputs'!DH16)</f>
        <v>0</v>
      </c>
      <c r="CV15" s="18">
        <f ca="1">IF($C15="","",$J15*'Cost &amp; Risk Inputs'!DI16)</f>
        <v>0</v>
      </c>
      <c r="CW15" s="18">
        <f ca="1">IF($C15="","",$J15*'Cost &amp; Risk Inputs'!DJ16)</f>
        <v>0</v>
      </c>
      <c r="CX15" s="18">
        <f ca="1">IF($C15="","",$J15*'Cost &amp; Risk Inputs'!DK16)</f>
        <v>0</v>
      </c>
      <c r="CZ15" s="18">
        <f t="shared" ca="1" si="1"/>
        <v>0</v>
      </c>
      <c r="DA15" s="18">
        <f t="shared" ca="1" si="2"/>
        <v>10046.250861203498</v>
      </c>
    </row>
    <row r="16" spans="1:105" x14ac:dyDescent="0.3">
      <c r="C16" s="4" t="str">
        <f>IF('Cost &amp; Risk Inputs'!C17="","",'Cost &amp; Risk Inputs'!C17)</f>
        <v>Test 7</v>
      </c>
      <c r="D16" s="4" t="str">
        <f>IF(C16="","",'Cost &amp; Risk Inputs'!F17)</f>
        <v>No Inflation</v>
      </c>
      <c r="E16" s="19">
        <f>IF(C16="","",'Cost &amp; Risk Inputs'!J17)</f>
        <v>42826</v>
      </c>
      <c r="F16" s="19">
        <f>IF(C16="","",'Cost &amp; Risk Inputs'!K17)</f>
        <v>43921</v>
      </c>
      <c r="G16" s="19" t="str">
        <f>IF(C16="","",'Cost &amp; Risk Inputs'!L17)</f>
        <v>19/20</v>
      </c>
      <c r="I16" s="18">
        <f t="shared" si="0"/>
        <v>1096</v>
      </c>
      <c r="J16" s="23">
        <f ca="1">IF(C16="","",'Cost &amp; Risk Inputs'!U17/INDEX('Global Constants'!$F$24:$CQ$33,MATCH(D16,Inflation_List,0),MATCH(G16,FY,0)))</f>
        <v>39149.128059250783</v>
      </c>
      <c r="M16" s="18">
        <f ca="1">IF($C16="","",$J16*'Cost &amp; Risk Inputs'!Z17)</f>
        <v>0</v>
      </c>
      <c r="N16" s="18">
        <f ca="1">IF($C16="","",$J16*'Cost &amp; Risk Inputs'!AA17)</f>
        <v>0</v>
      </c>
      <c r="O16" s="18">
        <f ca="1">IF($C16="","",$J16*'Cost &amp; Risk Inputs'!AB17)</f>
        <v>0</v>
      </c>
      <c r="P16" s="18">
        <f ca="1">IF($C16="","",$J16*'Cost &amp; Risk Inputs'!AC17)</f>
        <v>0</v>
      </c>
      <c r="Q16" s="18">
        <f ca="1">IF($C16="","",$J16*'Cost &amp; Risk Inputs'!AD17)</f>
        <v>0</v>
      </c>
      <c r="R16" s="18">
        <f ca="1">IF($C16="","",$J16*'Cost &amp; Risk Inputs'!AE17)</f>
        <v>0</v>
      </c>
      <c r="S16" s="18">
        <f ca="1">IF($C16="","",$J16*'Cost &amp; Risk Inputs'!AF17)</f>
        <v>0</v>
      </c>
      <c r="T16" s="18">
        <f ca="1">IF($C16="","",$J16*'Cost &amp; Risk Inputs'!AG17)</f>
        <v>0</v>
      </c>
      <c r="U16" s="18">
        <f ca="1">IF($C16="","",$J16*'Cost &amp; Risk Inputs'!AH17)</f>
        <v>0</v>
      </c>
      <c r="V16" s="18">
        <f ca="1">IF($C16="","",$J16*'Cost &amp; Risk Inputs'!AI17)</f>
        <v>0</v>
      </c>
      <c r="W16" s="18">
        <f ca="1">IF($C16="","",$J16*'Cost &amp; Risk Inputs'!AJ17)</f>
        <v>0</v>
      </c>
      <c r="X16" s="18">
        <f ca="1">IF($C16="","",$J16*'Cost &amp; Risk Inputs'!AK17)</f>
        <v>0</v>
      </c>
      <c r="Y16" s="18">
        <f ca="1">IF($C16="","",$J16*'Cost &amp; Risk Inputs'!AL17)</f>
        <v>0</v>
      </c>
      <c r="Z16" s="18">
        <f ca="1">IF($C16="","",$J16*'Cost &amp; Risk Inputs'!AM17)</f>
        <v>0</v>
      </c>
      <c r="AA16" s="18">
        <f ca="1">IF($C16="","",$J16*'Cost &amp; Risk Inputs'!AN17)</f>
        <v>0</v>
      </c>
      <c r="AB16" s="18">
        <f ca="1">IF($C16="","",$J16*'Cost &amp; Risk Inputs'!AO17)</f>
        <v>0</v>
      </c>
      <c r="AC16" s="18">
        <f ca="1">IF($C16="","",$J16*'Cost &amp; Risk Inputs'!AP17)</f>
        <v>0</v>
      </c>
      <c r="AD16" s="18">
        <f ca="1">IF($C16="","",$J16*'Cost &amp; Risk Inputs'!AQ17)</f>
        <v>7829.8256118501567</v>
      </c>
      <c r="AE16" s="18">
        <f ca="1">IF($C16="","",$J16*'Cost &amp; Risk Inputs'!AR17)</f>
        <v>7829.8256118501567</v>
      </c>
      <c r="AF16" s="18">
        <f ca="1">IF($C16="","",$J16*'Cost &amp; Risk Inputs'!AS17)</f>
        <v>7829.8256118501567</v>
      </c>
      <c r="AG16" s="18">
        <f ca="1">IF($C16="","",$J16*'Cost &amp; Risk Inputs'!AT17)</f>
        <v>7829.8256118501567</v>
      </c>
      <c r="AH16" s="18">
        <f ca="1">IF($C16="","",$J16*'Cost &amp; Risk Inputs'!AU17)</f>
        <v>7829.8256118501567</v>
      </c>
      <c r="AI16" s="18">
        <f ca="1">IF($C16="","",$J16*'Cost &amp; Risk Inputs'!AV17)</f>
        <v>0</v>
      </c>
      <c r="AJ16" s="18">
        <f ca="1">IF($C16="","",$J16*'Cost &amp; Risk Inputs'!AW17)</f>
        <v>0</v>
      </c>
      <c r="AK16" s="18">
        <f ca="1">IF($C16="","",$J16*'Cost &amp; Risk Inputs'!AX17)</f>
        <v>0</v>
      </c>
      <c r="AL16" s="18">
        <f ca="1">IF($C16="","",$J16*'Cost &amp; Risk Inputs'!AY17)</f>
        <v>0</v>
      </c>
      <c r="AM16" s="18">
        <f ca="1">IF($C16="","",$J16*'Cost &amp; Risk Inputs'!AZ17)</f>
        <v>0</v>
      </c>
      <c r="AN16" s="18">
        <f ca="1">IF($C16="","",$J16*'Cost &amp; Risk Inputs'!BA17)</f>
        <v>0</v>
      </c>
      <c r="AO16" s="18">
        <f ca="1">IF($C16="","",$J16*'Cost &amp; Risk Inputs'!BB17)</f>
        <v>0</v>
      </c>
      <c r="AP16" s="18">
        <f ca="1">IF($C16="","",$J16*'Cost &amp; Risk Inputs'!BC17)</f>
        <v>0</v>
      </c>
      <c r="AQ16" s="18">
        <f ca="1">IF($C16="","",$J16*'Cost &amp; Risk Inputs'!BD17)</f>
        <v>0</v>
      </c>
      <c r="AR16" s="18">
        <f ca="1">IF($C16="","",$J16*'Cost &amp; Risk Inputs'!BE17)</f>
        <v>0</v>
      </c>
      <c r="AS16" s="18">
        <f ca="1">IF($C16="","",$J16*'Cost &amp; Risk Inputs'!BF17)</f>
        <v>0</v>
      </c>
      <c r="AT16" s="18">
        <f ca="1">IF($C16="","",$J16*'Cost &amp; Risk Inputs'!BG17)</f>
        <v>0</v>
      </c>
      <c r="AU16" s="18">
        <f ca="1">IF($C16="","",$J16*'Cost &amp; Risk Inputs'!BH17)</f>
        <v>0</v>
      </c>
      <c r="AV16" s="18">
        <f ca="1">IF($C16="","",$J16*'Cost &amp; Risk Inputs'!BI17)</f>
        <v>0</v>
      </c>
      <c r="AW16" s="18">
        <f ca="1">IF($C16="","",$J16*'Cost &amp; Risk Inputs'!BJ17)</f>
        <v>0</v>
      </c>
      <c r="AX16" s="18">
        <f ca="1">IF($C16="","",$J16*'Cost &amp; Risk Inputs'!BK17)</f>
        <v>0</v>
      </c>
      <c r="AY16" s="18">
        <f ca="1">IF($C16="","",$J16*'Cost &amp; Risk Inputs'!BL17)</f>
        <v>0</v>
      </c>
      <c r="AZ16" s="18">
        <f ca="1">IF($C16="","",$J16*'Cost &amp; Risk Inputs'!BM17)</f>
        <v>0</v>
      </c>
      <c r="BA16" s="18">
        <f ca="1">IF($C16="","",$J16*'Cost &amp; Risk Inputs'!BN17)</f>
        <v>0</v>
      </c>
      <c r="BB16" s="18">
        <f ca="1">IF($C16="","",$J16*'Cost &amp; Risk Inputs'!BO17)</f>
        <v>0</v>
      </c>
      <c r="BC16" s="18">
        <f ca="1">IF($C16="","",$J16*'Cost &amp; Risk Inputs'!BP17)</f>
        <v>0</v>
      </c>
      <c r="BD16" s="18">
        <f ca="1">IF($C16="","",$J16*'Cost &amp; Risk Inputs'!BQ17)</f>
        <v>0</v>
      </c>
      <c r="BE16" s="18">
        <f ca="1">IF($C16="","",$J16*'Cost &amp; Risk Inputs'!BR17)</f>
        <v>0</v>
      </c>
      <c r="BF16" s="18">
        <f ca="1">IF($C16="","",$J16*'Cost &amp; Risk Inputs'!BS17)</f>
        <v>0</v>
      </c>
      <c r="BG16" s="18">
        <f ca="1">IF($C16="","",$J16*'Cost &amp; Risk Inputs'!BT17)</f>
        <v>0</v>
      </c>
      <c r="BH16" s="18">
        <f ca="1">IF($C16="","",$J16*'Cost &amp; Risk Inputs'!BU17)</f>
        <v>0</v>
      </c>
      <c r="BI16" s="18">
        <f ca="1">IF($C16="","",$J16*'Cost &amp; Risk Inputs'!BV17)</f>
        <v>0</v>
      </c>
      <c r="BJ16" s="18">
        <f ca="1">IF($C16="","",$J16*'Cost &amp; Risk Inputs'!BW17)</f>
        <v>0</v>
      </c>
      <c r="BK16" s="18">
        <f ca="1">IF($C16="","",$J16*'Cost &amp; Risk Inputs'!BX17)</f>
        <v>0</v>
      </c>
      <c r="BL16" s="18">
        <f ca="1">IF($C16="","",$J16*'Cost &amp; Risk Inputs'!BY17)</f>
        <v>0</v>
      </c>
      <c r="BM16" s="18">
        <f ca="1">IF($C16="","",$J16*'Cost &amp; Risk Inputs'!BZ17)</f>
        <v>0</v>
      </c>
      <c r="BN16" s="18">
        <f ca="1">IF($C16="","",$J16*'Cost &amp; Risk Inputs'!CA17)</f>
        <v>0</v>
      </c>
      <c r="BO16" s="18">
        <f ca="1">IF($C16="","",$J16*'Cost &amp; Risk Inputs'!CB17)</f>
        <v>0</v>
      </c>
      <c r="BP16" s="18">
        <f ca="1">IF($C16="","",$J16*'Cost &amp; Risk Inputs'!CC17)</f>
        <v>0</v>
      </c>
      <c r="BQ16" s="18">
        <f ca="1">IF($C16="","",$J16*'Cost &amp; Risk Inputs'!CD17)</f>
        <v>0</v>
      </c>
      <c r="BR16" s="18">
        <f ca="1">IF($C16="","",$J16*'Cost &amp; Risk Inputs'!CE17)</f>
        <v>0</v>
      </c>
      <c r="BS16" s="18">
        <f ca="1">IF($C16="","",$J16*'Cost &amp; Risk Inputs'!CF17)</f>
        <v>0</v>
      </c>
      <c r="BT16" s="18">
        <f ca="1">IF($C16="","",$J16*'Cost &amp; Risk Inputs'!CG17)</f>
        <v>0</v>
      </c>
      <c r="BU16" s="18">
        <f ca="1">IF($C16="","",$J16*'Cost &amp; Risk Inputs'!CH17)</f>
        <v>0</v>
      </c>
      <c r="BV16" s="18">
        <f ca="1">IF($C16="","",$J16*'Cost &amp; Risk Inputs'!CI17)</f>
        <v>0</v>
      </c>
      <c r="BW16" s="18">
        <f ca="1">IF($C16="","",$J16*'Cost &amp; Risk Inputs'!CJ17)</f>
        <v>0</v>
      </c>
      <c r="BX16" s="18">
        <f ca="1">IF($C16="","",$J16*'Cost &amp; Risk Inputs'!CK17)</f>
        <v>0</v>
      </c>
      <c r="BY16" s="18">
        <f ca="1">IF($C16="","",$J16*'Cost &amp; Risk Inputs'!CL17)</f>
        <v>0</v>
      </c>
      <c r="BZ16" s="18">
        <f ca="1">IF($C16="","",$J16*'Cost &amp; Risk Inputs'!CM17)</f>
        <v>0</v>
      </c>
      <c r="CA16" s="18">
        <f ca="1">IF($C16="","",$J16*'Cost &amp; Risk Inputs'!CN17)</f>
        <v>0</v>
      </c>
      <c r="CB16" s="18">
        <f ca="1">IF($C16="","",$J16*'Cost &amp; Risk Inputs'!CO17)</f>
        <v>0</v>
      </c>
      <c r="CC16" s="18">
        <f ca="1">IF($C16="","",$J16*'Cost &amp; Risk Inputs'!CP17)</f>
        <v>0</v>
      </c>
      <c r="CD16" s="18">
        <f ca="1">IF($C16="","",$J16*'Cost &amp; Risk Inputs'!CQ17)</f>
        <v>0</v>
      </c>
      <c r="CE16" s="18">
        <f ca="1">IF($C16="","",$J16*'Cost &amp; Risk Inputs'!CR17)</f>
        <v>0</v>
      </c>
      <c r="CF16" s="18">
        <f ca="1">IF($C16="","",$J16*'Cost &amp; Risk Inputs'!CS17)</f>
        <v>0</v>
      </c>
      <c r="CG16" s="18">
        <f ca="1">IF($C16="","",$J16*'Cost &amp; Risk Inputs'!CT17)</f>
        <v>0</v>
      </c>
      <c r="CH16" s="18">
        <f ca="1">IF($C16="","",$J16*'Cost &amp; Risk Inputs'!CU17)</f>
        <v>0</v>
      </c>
      <c r="CI16" s="18">
        <f ca="1">IF($C16="","",$J16*'Cost &amp; Risk Inputs'!CV17)</f>
        <v>0</v>
      </c>
      <c r="CJ16" s="18">
        <f ca="1">IF($C16="","",$J16*'Cost &amp; Risk Inputs'!CW17)</f>
        <v>0</v>
      </c>
      <c r="CK16" s="18">
        <f ca="1">IF($C16="","",$J16*'Cost &amp; Risk Inputs'!CX17)</f>
        <v>0</v>
      </c>
      <c r="CL16" s="18">
        <f ca="1">IF($C16="","",$J16*'Cost &amp; Risk Inputs'!CY17)</f>
        <v>0</v>
      </c>
      <c r="CM16" s="18">
        <f ca="1">IF($C16="","",$J16*'Cost &amp; Risk Inputs'!CZ17)</f>
        <v>0</v>
      </c>
      <c r="CN16" s="18">
        <f ca="1">IF($C16="","",$J16*'Cost &amp; Risk Inputs'!DA17)</f>
        <v>0</v>
      </c>
      <c r="CO16" s="18">
        <f ca="1">IF($C16="","",$J16*'Cost &amp; Risk Inputs'!DB17)</f>
        <v>0</v>
      </c>
      <c r="CP16" s="18">
        <f ca="1">IF($C16="","",$J16*'Cost &amp; Risk Inputs'!DC17)</f>
        <v>0</v>
      </c>
      <c r="CQ16" s="18">
        <f ca="1">IF($C16="","",$J16*'Cost &amp; Risk Inputs'!DD17)</f>
        <v>0</v>
      </c>
      <c r="CR16" s="18">
        <f ca="1">IF($C16="","",$J16*'Cost &amp; Risk Inputs'!DE17)</f>
        <v>0</v>
      </c>
      <c r="CS16" s="18">
        <f ca="1">IF($C16="","",$J16*'Cost &amp; Risk Inputs'!DF17)</f>
        <v>0</v>
      </c>
      <c r="CT16" s="18">
        <f ca="1">IF($C16="","",$J16*'Cost &amp; Risk Inputs'!DG17)</f>
        <v>0</v>
      </c>
      <c r="CU16" s="18">
        <f ca="1">IF($C16="","",$J16*'Cost &amp; Risk Inputs'!DH17)</f>
        <v>0</v>
      </c>
      <c r="CV16" s="18">
        <f ca="1">IF($C16="","",$J16*'Cost &amp; Risk Inputs'!DI17)</f>
        <v>0</v>
      </c>
      <c r="CW16" s="18">
        <f ca="1">IF($C16="","",$J16*'Cost &amp; Risk Inputs'!DJ17)</f>
        <v>0</v>
      </c>
      <c r="CX16" s="18">
        <f ca="1">IF($C16="","",$J16*'Cost &amp; Risk Inputs'!DK17)</f>
        <v>0</v>
      </c>
      <c r="CZ16" s="18">
        <f t="shared" ca="1" si="1"/>
        <v>0</v>
      </c>
      <c r="DA16" s="18">
        <f t="shared" ca="1" si="2"/>
        <v>39149.128059250783</v>
      </c>
    </row>
    <row r="17" spans="3:105" x14ac:dyDescent="0.3">
      <c r="C17" s="4" t="str">
        <f>IF('Cost &amp; Risk Inputs'!C18="","",'Cost &amp; Risk Inputs'!C18)</f>
        <v>Test 8</v>
      </c>
      <c r="D17" s="4" t="str">
        <f>IF(C17="","",'Cost &amp; Risk Inputs'!F18)</f>
        <v>No Inflation</v>
      </c>
      <c r="E17" s="19">
        <f>IF(C17="","",'Cost &amp; Risk Inputs'!J18)</f>
        <v>43191</v>
      </c>
      <c r="F17" s="19">
        <f>IF(C17="","",'Cost &amp; Risk Inputs'!K18)</f>
        <v>43921</v>
      </c>
      <c r="G17" s="19" t="str">
        <f>IF(C17="","",'Cost &amp; Risk Inputs'!L18)</f>
        <v>19/20</v>
      </c>
      <c r="I17" s="18">
        <f t="shared" si="0"/>
        <v>731</v>
      </c>
      <c r="J17" s="23">
        <f ca="1">IF(C17="","",'Cost &amp; Risk Inputs'!U18/INDEX('Global Constants'!$F$24:$CQ$33,MATCH(D17,Inflation_List,0),MATCH(G17,FY,0)))</f>
        <v>60763.647518764665</v>
      </c>
      <c r="M17" s="18">
        <f ca="1">IF($C17="","",$J17*'Cost &amp; Risk Inputs'!Z18)</f>
        <v>0</v>
      </c>
      <c r="N17" s="18">
        <f ca="1">IF($C17="","",$J17*'Cost &amp; Risk Inputs'!AA18)</f>
        <v>0</v>
      </c>
      <c r="O17" s="18">
        <f ca="1">IF($C17="","",$J17*'Cost &amp; Risk Inputs'!AB18)</f>
        <v>0</v>
      </c>
      <c r="P17" s="18">
        <f ca="1">IF($C17="","",$J17*'Cost &amp; Risk Inputs'!AC18)</f>
        <v>0</v>
      </c>
      <c r="Q17" s="18">
        <f ca="1">IF($C17="","",$J17*'Cost &amp; Risk Inputs'!AD18)</f>
        <v>0</v>
      </c>
      <c r="R17" s="18">
        <f ca="1">IF($C17="","",$J17*'Cost &amp; Risk Inputs'!AE18)</f>
        <v>0</v>
      </c>
      <c r="S17" s="18">
        <f ca="1">IF($C17="","",$J17*'Cost &amp; Risk Inputs'!AF18)</f>
        <v>0</v>
      </c>
      <c r="T17" s="18">
        <f ca="1">IF($C17="","",$J17*'Cost &amp; Risk Inputs'!AG18)</f>
        <v>0</v>
      </c>
      <c r="U17" s="18">
        <f ca="1">IF($C17="","",$J17*'Cost &amp; Risk Inputs'!AH18)</f>
        <v>0</v>
      </c>
      <c r="V17" s="18">
        <f ca="1">IF($C17="","",$J17*'Cost &amp; Risk Inputs'!AI18)</f>
        <v>0</v>
      </c>
      <c r="W17" s="18">
        <f ca="1">IF($C17="","",$J17*'Cost &amp; Risk Inputs'!AJ18)</f>
        <v>0</v>
      </c>
      <c r="X17" s="18">
        <f ca="1">IF($C17="","",$J17*'Cost &amp; Risk Inputs'!AK18)</f>
        <v>0</v>
      </c>
      <c r="Y17" s="18">
        <f ca="1">IF($C17="","",$J17*'Cost &amp; Risk Inputs'!AL18)</f>
        <v>0</v>
      </c>
      <c r="Z17" s="18">
        <f ca="1">IF($C17="","",$J17*'Cost &amp; Risk Inputs'!AM18)</f>
        <v>0</v>
      </c>
      <c r="AA17" s="18">
        <f ca="1">IF($C17="","",$J17*'Cost &amp; Risk Inputs'!AN18)</f>
        <v>0</v>
      </c>
      <c r="AB17" s="18">
        <f ca="1">IF($C17="","",$J17*'Cost &amp; Risk Inputs'!AO18)</f>
        <v>0</v>
      </c>
      <c r="AC17" s="18">
        <f ca="1">IF($C17="","",$J17*'Cost &amp; Risk Inputs'!AP18)</f>
        <v>0</v>
      </c>
      <c r="AD17" s="18">
        <f ca="1">IF($C17="","",$J17*'Cost &amp; Risk Inputs'!AQ18)</f>
        <v>12152.729503752933</v>
      </c>
      <c r="AE17" s="18">
        <f ca="1">IF($C17="","",$J17*'Cost &amp; Risk Inputs'!AR18)</f>
        <v>12152.729503752933</v>
      </c>
      <c r="AF17" s="18">
        <f ca="1">IF($C17="","",$J17*'Cost &amp; Risk Inputs'!AS18)</f>
        <v>12152.729503752933</v>
      </c>
      <c r="AG17" s="18">
        <f ca="1">IF($C17="","",$J17*'Cost &amp; Risk Inputs'!AT18)</f>
        <v>12152.729503752933</v>
      </c>
      <c r="AH17" s="18">
        <f ca="1">IF($C17="","",$J17*'Cost &amp; Risk Inputs'!AU18)</f>
        <v>12152.729503752933</v>
      </c>
      <c r="AI17" s="18">
        <f ca="1">IF($C17="","",$J17*'Cost &amp; Risk Inputs'!AV18)</f>
        <v>0</v>
      </c>
      <c r="AJ17" s="18">
        <f ca="1">IF($C17="","",$J17*'Cost &amp; Risk Inputs'!AW18)</f>
        <v>0</v>
      </c>
      <c r="AK17" s="18">
        <f ca="1">IF($C17="","",$J17*'Cost &amp; Risk Inputs'!AX18)</f>
        <v>0</v>
      </c>
      <c r="AL17" s="18">
        <f ca="1">IF($C17="","",$J17*'Cost &amp; Risk Inputs'!AY18)</f>
        <v>0</v>
      </c>
      <c r="AM17" s="18">
        <f ca="1">IF($C17="","",$J17*'Cost &amp; Risk Inputs'!AZ18)</f>
        <v>0</v>
      </c>
      <c r="AN17" s="18">
        <f ca="1">IF($C17="","",$J17*'Cost &amp; Risk Inputs'!BA18)</f>
        <v>0</v>
      </c>
      <c r="AO17" s="18">
        <f ca="1">IF($C17="","",$J17*'Cost &amp; Risk Inputs'!BB18)</f>
        <v>0</v>
      </c>
      <c r="AP17" s="18">
        <f ca="1">IF($C17="","",$J17*'Cost &amp; Risk Inputs'!BC18)</f>
        <v>0</v>
      </c>
      <c r="AQ17" s="18">
        <f ca="1">IF($C17="","",$J17*'Cost &amp; Risk Inputs'!BD18)</f>
        <v>0</v>
      </c>
      <c r="AR17" s="18">
        <f ca="1">IF($C17="","",$J17*'Cost &amp; Risk Inputs'!BE18)</f>
        <v>0</v>
      </c>
      <c r="AS17" s="18">
        <f ca="1">IF($C17="","",$J17*'Cost &amp; Risk Inputs'!BF18)</f>
        <v>0</v>
      </c>
      <c r="AT17" s="18">
        <f ca="1">IF($C17="","",$J17*'Cost &amp; Risk Inputs'!BG18)</f>
        <v>0</v>
      </c>
      <c r="AU17" s="18">
        <f ca="1">IF($C17="","",$J17*'Cost &amp; Risk Inputs'!BH18)</f>
        <v>0</v>
      </c>
      <c r="AV17" s="18">
        <f ca="1">IF($C17="","",$J17*'Cost &amp; Risk Inputs'!BI18)</f>
        <v>0</v>
      </c>
      <c r="AW17" s="18">
        <f ca="1">IF($C17="","",$J17*'Cost &amp; Risk Inputs'!BJ18)</f>
        <v>0</v>
      </c>
      <c r="AX17" s="18">
        <f ca="1">IF($C17="","",$J17*'Cost &amp; Risk Inputs'!BK18)</f>
        <v>0</v>
      </c>
      <c r="AY17" s="18">
        <f ca="1">IF($C17="","",$J17*'Cost &amp; Risk Inputs'!BL18)</f>
        <v>0</v>
      </c>
      <c r="AZ17" s="18">
        <f ca="1">IF($C17="","",$J17*'Cost &amp; Risk Inputs'!BM18)</f>
        <v>0</v>
      </c>
      <c r="BA17" s="18">
        <f ca="1">IF($C17="","",$J17*'Cost &amp; Risk Inputs'!BN18)</f>
        <v>0</v>
      </c>
      <c r="BB17" s="18">
        <f ca="1">IF($C17="","",$J17*'Cost &amp; Risk Inputs'!BO18)</f>
        <v>0</v>
      </c>
      <c r="BC17" s="18">
        <f ca="1">IF($C17="","",$J17*'Cost &amp; Risk Inputs'!BP18)</f>
        <v>0</v>
      </c>
      <c r="BD17" s="18">
        <f ca="1">IF($C17="","",$J17*'Cost &amp; Risk Inputs'!BQ18)</f>
        <v>0</v>
      </c>
      <c r="BE17" s="18">
        <f ca="1">IF($C17="","",$J17*'Cost &amp; Risk Inputs'!BR18)</f>
        <v>0</v>
      </c>
      <c r="BF17" s="18">
        <f ca="1">IF($C17="","",$J17*'Cost &amp; Risk Inputs'!BS18)</f>
        <v>0</v>
      </c>
      <c r="BG17" s="18">
        <f ca="1">IF($C17="","",$J17*'Cost &amp; Risk Inputs'!BT18)</f>
        <v>0</v>
      </c>
      <c r="BH17" s="18">
        <f ca="1">IF($C17="","",$J17*'Cost &amp; Risk Inputs'!BU18)</f>
        <v>0</v>
      </c>
      <c r="BI17" s="18">
        <f ca="1">IF($C17="","",$J17*'Cost &amp; Risk Inputs'!BV18)</f>
        <v>0</v>
      </c>
      <c r="BJ17" s="18">
        <f ca="1">IF($C17="","",$J17*'Cost &amp; Risk Inputs'!BW18)</f>
        <v>0</v>
      </c>
      <c r="BK17" s="18">
        <f ca="1">IF($C17="","",$J17*'Cost &amp; Risk Inputs'!BX18)</f>
        <v>0</v>
      </c>
      <c r="BL17" s="18">
        <f ca="1">IF($C17="","",$J17*'Cost &amp; Risk Inputs'!BY18)</f>
        <v>0</v>
      </c>
      <c r="BM17" s="18">
        <f ca="1">IF($C17="","",$J17*'Cost &amp; Risk Inputs'!BZ18)</f>
        <v>0</v>
      </c>
      <c r="BN17" s="18">
        <f ca="1">IF($C17="","",$J17*'Cost &amp; Risk Inputs'!CA18)</f>
        <v>0</v>
      </c>
      <c r="BO17" s="18">
        <f ca="1">IF($C17="","",$J17*'Cost &amp; Risk Inputs'!CB18)</f>
        <v>0</v>
      </c>
      <c r="BP17" s="18">
        <f ca="1">IF($C17="","",$J17*'Cost &amp; Risk Inputs'!CC18)</f>
        <v>0</v>
      </c>
      <c r="BQ17" s="18">
        <f ca="1">IF($C17="","",$J17*'Cost &amp; Risk Inputs'!CD18)</f>
        <v>0</v>
      </c>
      <c r="BR17" s="18">
        <f ca="1">IF($C17="","",$J17*'Cost &amp; Risk Inputs'!CE18)</f>
        <v>0</v>
      </c>
      <c r="BS17" s="18">
        <f ca="1">IF($C17="","",$J17*'Cost &amp; Risk Inputs'!CF18)</f>
        <v>0</v>
      </c>
      <c r="BT17" s="18">
        <f ca="1">IF($C17="","",$J17*'Cost &amp; Risk Inputs'!CG18)</f>
        <v>0</v>
      </c>
      <c r="BU17" s="18">
        <f ca="1">IF($C17="","",$J17*'Cost &amp; Risk Inputs'!CH18)</f>
        <v>0</v>
      </c>
      <c r="BV17" s="18">
        <f ca="1">IF($C17="","",$J17*'Cost &amp; Risk Inputs'!CI18)</f>
        <v>0</v>
      </c>
      <c r="BW17" s="18">
        <f ca="1">IF($C17="","",$J17*'Cost &amp; Risk Inputs'!CJ18)</f>
        <v>0</v>
      </c>
      <c r="BX17" s="18">
        <f ca="1">IF($C17="","",$J17*'Cost &amp; Risk Inputs'!CK18)</f>
        <v>0</v>
      </c>
      <c r="BY17" s="18">
        <f ca="1">IF($C17="","",$J17*'Cost &amp; Risk Inputs'!CL18)</f>
        <v>0</v>
      </c>
      <c r="BZ17" s="18">
        <f ca="1">IF($C17="","",$J17*'Cost &amp; Risk Inputs'!CM18)</f>
        <v>0</v>
      </c>
      <c r="CA17" s="18">
        <f ca="1">IF($C17="","",$J17*'Cost &amp; Risk Inputs'!CN18)</f>
        <v>0</v>
      </c>
      <c r="CB17" s="18">
        <f ca="1">IF($C17="","",$J17*'Cost &amp; Risk Inputs'!CO18)</f>
        <v>0</v>
      </c>
      <c r="CC17" s="18">
        <f ca="1">IF($C17="","",$J17*'Cost &amp; Risk Inputs'!CP18)</f>
        <v>0</v>
      </c>
      <c r="CD17" s="18">
        <f ca="1">IF($C17="","",$J17*'Cost &amp; Risk Inputs'!CQ18)</f>
        <v>0</v>
      </c>
      <c r="CE17" s="18">
        <f ca="1">IF($C17="","",$J17*'Cost &amp; Risk Inputs'!CR18)</f>
        <v>0</v>
      </c>
      <c r="CF17" s="18">
        <f ca="1">IF($C17="","",$J17*'Cost &amp; Risk Inputs'!CS18)</f>
        <v>0</v>
      </c>
      <c r="CG17" s="18">
        <f ca="1">IF($C17="","",$J17*'Cost &amp; Risk Inputs'!CT18)</f>
        <v>0</v>
      </c>
      <c r="CH17" s="18">
        <f ca="1">IF($C17="","",$J17*'Cost &amp; Risk Inputs'!CU18)</f>
        <v>0</v>
      </c>
      <c r="CI17" s="18">
        <f ca="1">IF($C17="","",$J17*'Cost &amp; Risk Inputs'!CV18)</f>
        <v>0</v>
      </c>
      <c r="CJ17" s="18">
        <f ca="1">IF($C17="","",$J17*'Cost &amp; Risk Inputs'!CW18)</f>
        <v>0</v>
      </c>
      <c r="CK17" s="18">
        <f ca="1">IF($C17="","",$J17*'Cost &amp; Risk Inputs'!CX18)</f>
        <v>0</v>
      </c>
      <c r="CL17" s="18">
        <f ca="1">IF($C17="","",$J17*'Cost &amp; Risk Inputs'!CY18)</f>
        <v>0</v>
      </c>
      <c r="CM17" s="18">
        <f ca="1">IF($C17="","",$J17*'Cost &amp; Risk Inputs'!CZ18)</f>
        <v>0</v>
      </c>
      <c r="CN17" s="18">
        <f ca="1">IF($C17="","",$J17*'Cost &amp; Risk Inputs'!DA18)</f>
        <v>0</v>
      </c>
      <c r="CO17" s="18">
        <f ca="1">IF($C17="","",$J17*'Cost &amp; Risk Inputs'!DB18)</f>
        <v>0</v>
      </c>
      <c r="CP17" s="18">
        <f ca="1">IF($C17="","",$J17*'Cost &amp; Risk Inputs'!DC18)</f>
        <v>0</v>
      </c>
      <c r="CQ17" s="18">
        <f ca="1">IF($C17="","",$J17*'Cost &amp; Risk Inputs'!DD18)</f>
        <v>0</v>
      </c>
      <c r="CR17" s="18">
        <f ca="1">IF($C17="","",$J17*'Cost &amp; Risk Inputs'!DE18)</f>
        <v>0</v>
      </c>
      <c r="CS17" s="18">
        <f ca="1">IF($C17="","",$J17*'Cost &amp; Risk Inputs'!DF18)</f>
        <v>0</v>
      </c>
      <c r="CT17" s="18">
        <f ca="1">IF($C17="","",$J17*'Cost &amp; Risk Inputs'!DG18)</f>
        <v>0</v>
      </c>
      <c r="CU17" s="18">
        <f ca="1">IF($C17="","",$J17*'Cost &amp; Risk Inputs'!DH18)</f>
        <v>0</v>
      </c>
      <c r="CV17" s="18">
        <f ca="1">IF($C17="","",$J17*'Cost &amp; Risk Inputs'!DI18)</f>
        <v>0</v>
      </c>
      <c r="CW17" s="18">
        <f ca="1">IF($C17="","",$J17*'Cost &amp; Risk Inputs'!DJ18)</f>
        <v>0</v>
      </c>
      <c r="CX17" s="18">
        <f ca="1">IF($C17="","",$J17*'Cost &amp; Risk Inputs'!DK18)</f>
        <v>0</v>
      </c>
      <c r="CZ17" s="18">
        <f t="shared" ca="1" si="1"/>
        <v>0</v>
      </c>
      <c r="DA17" s="18">
        <f t="shared" ca="1" si="2"/>
        <v>60763.647518764665</v>
      </c>
    </row>
    <row r="18" spans="3:105" x14ac:dyDescent="0.3">
      <c r="C18" s="4" t="str">
        <f>IF('Cost &amp; Risk Inputs'!C19="","",'Cost &amp; Risk Inputs'!C19)</f>
        <v/>
      </c>
      <c r="D18" s="4" t="str">
        <f>IF(C18="","",'Cost &amp; Risk Inputs'!F19)</f>
        <v/>
      </c>
      <c r="E18" s="19" t="str">
        <f>IF(C18="","",'Cost &amp; Risk Inputs'!J19)</f>
        <v/>
      </c>
      <c r="F18" s="19" t="str">
        <f>IF(C18="","",'Cost &amp; Risk Inputs'!K19)</f>
        <v/>
      </c>
      <c r="G18" s="19" t="str">
        <f>IF(C18="","",'Cost &amp; Risk Inputs'!L19)</f>
        <v/>
      </c>
      <c r="I18" s="18" t="str">
        <f t="shared" si="0"/>
        <v/>
      </c>
      <c r="J18" s="23" t="str">
        <f>IF(C18="","",'Cost &amp; Risk Inputs'!U19/INDEX('Global Constants'!$F$24:$CQ$33,MATCH(D18,Inflation_List,0),MATCH(G18,FY,0)))</f>
        <v/>
      </c>
      <c r="M18" s="18" t="str">
        <f>IF($C18="","",$J18*'Cost &amp; Risk Inputs'!Z19)</f>
        <v/>
      </c>
      <c r="N18" s="18" t="str">
        <f>IF($C18="","",$J18*'Cost &amp; Risk Inputs'!AA19)</f>
        <v/>
      </c>
      <c r="O18" s="18" t="str">
        <f>IF($C18="","",$J18*'Cost &amp; Risk Inputs'!AB19)</f>
        <v/>
      </c>
      <c r="P18" s="18" t="str">
        <f>IF($C18="","",$J18*'Cost &amp; Risk Inputs'!AC19)</f>
        <v/>
      </c>
      <c r="Q18" s="18" t="str">
        <f>IF($C18="","",$J18*'Cost &amp; Risk Inputs'!AD19)</f>
        <v/>
      </c>
      <c r="R18" s="18" t="str">
        <f>IF($C18="","",$J18*'Cost &amp; Risk Inputs'!AE19)</f>
        <v/>
      </c>
      <c r="S18" s="18" t="str">
        <f>IF($C18="","",$J18*'Cost &amp; Risk Inputs'!AF19)</f>
        <v/>
      </c>
      <c r="T18" s="18" t="str">
        <f>IF($C18="","",$J18*'Cost &amp; Risk Inputs'!AG19)</f>
        <v/>
      </c>
      <c r="U18" s="18" t="str">
        <f>IF($C18="","",$J18*'Cost &amp; Risk Inputs'!AH19)</f>
        <v/>
      </c>
      <c r="V18" s="18" t="str">
        <f>IF($C18="","",$J18*'Cost &amp; Risk Inputs'!AI19)</f>
        <v/>
      </c>
      <c r="W18" s="18" t="str">
        <f>IF($C18="","",$J18*'Cost &amp; Risk Inputs'!AJ19)</f>
        <v/>
      </c>
      <c r="X18" s="18" t="str">
        <f>IF($C18="","",$J18*'Cost &amp; Risk Inputs'!AK19)</f>
        <v/>
      </c>
      <c r="Y18" s="18" t="str">
        <f>IF($C18="","",$J18*'Cost &amp; Risk Inputs'!AL19)</f>
        <v/>
      </c>
      <c r="Z18" s="18" t="str">
        <f>IF($C18="","",$J18*'Cost &amp; Risk Inputs'!AM19)</f>
        <v/>
      </c>
      <c r="AA18" s="18" t="str">
        <f>IF($C18="","",$J18*'Cost &amp; Risk Inputs'!AN19)</f>
        <v/>
      </c>
      <c r="AB18" s="18" t="str">
        <f>IF($C18="","",$J18*'Cost &amp; Risk Inputs'!AO19)</f>
        <v/>
      </c>
      <c r="AC18" s="18" t="str">
        <f>IF($C18="","",$J18*'Cost &amp; Risk Inputs'!AP19)</f>
        <v/>
      </c>
      <c r="AD18" s="18" t="str">
        <f>IF($C18="","",$J18*'Cost &amp; Risk Inputs'!AQ19)</f>
        <v/>
      </c>
      <c r="AE18" s="18" t="str">
        <f>IF($C18="","",$J18*'Cost &amp; Risk Inputs'!AR19)</f>
        <v/>
      </c>
      <c r="AF18" s="18" t="str">
        <f>IF($C18="","",$J18*'Cost &amp; Risk Inputs'!AS19)</f>
        <v/>
      </c>
      <c r="AG18" s="18" t="str">
        <f>IF($C18="","",$J18*'Cost &amp; Risk Inputs'!AT19)</f>
        <v/>
      </c>
      <c r="AH18" s="18" t="str">
        <f>IF($C18="","",$J18*'Cost &amp; Risk Inputs'!AU19)</f>
        <v/>
      </c>
      <c r="AI18" s="18" t="str">
        <f>IF($C18="","",$J18*'Cost &amp; Risk Inputs'!AV19)</f>
        <v/>
      </c>
      <c r="AJ18" s="18" t="str">
        <f>IF($C18="","",$J18*'Cost &amp; Risk Inputs'!AW19)</f>
        <v/>
      </c>
      <c r="AK18" s="18" t="str">
        <f>IF($C18="","",$J18*'Cost &amp; Risk Inputs'!AX19)</f>
        <v/>
      </c>
      <c r="AL18" s="18" t="str">
        <f>IF($C18="","",$J18*'Cost &amp; Risk Inputs'!AY19)</f>
        <v/>
      </c>
      <c r="AM18" s="18" t="str">
        <f>IF($C18="","",$J18*'Cost &amp; Risk Inputs'!AZ19)</f>
        <v/>
      </c>
      <c r="AN18" s="18" t="str">
        <f>IF($C18="","",$J18*'Cost &amp; Risk Inputs'!BA19)</f>
        <v/>
      </c>
      <c r="AO18" s="18" t="str">
        <f>IF($C18="","",$J18*'Cost &amp; Risk Inputs'!BB19)</f>
        <v/>
      </c>
      <c r="AP18" s="18" t="str">
        <f>IF($C18="","",$J18*'Cost &amp; Risk Inputs'!BC19)</f>
        <v/>
      </c>
      <c r="AQ18" s="18" t="str">
        <f>IF($C18="","",$J18*'Cost &amp; Risk Inputs'!BD19)</f>
        <v/>
      </c>
      <c r="AR18" s="18" t="str">
        <f>IF($C18="","",$J18*'Cost &amp; Risk Inputs'!BE19)</f>
        <v/>
      </c>
      <c r="AS18" s="18" t="str">
        <f>IF($C18="","",$J18*'Cost &amp; Risk Inputs'!BF19)</f>
        <v/>
      </c>
      <c r="AT18" s="18" t="str">
        <f>IF($C18="","",$J18*'Cost &amp; Risk Inputs'!BG19)</f>
        <v/>
      </c>
      <c r="AU18" s="18" t="str">
        <f>IF($C18="","",$J18*'Cost &amp; Risk Inputs'!BH19)</f>
        <v/>
      </c>
      <c r="AV18" s="18" t="str">
        <f>IF($C18="","",$J18*'Cost &amp; Risk Inputs'!BI19)</f>
        <v/>
      </c>
      <c r="AW18" s="18" t="str">
        <f>IF($C18="","",$J18*'Cost &amp; Risk Inputs'!BJ19)</f>
        <v/>
      </c>
      <c r="AX18" s="18" t="str">
        <f>IF($C18="","",$J18*'Cost &amp; Risk Inputs'!BK19)</f>
        <v/>
      </c>
      <c r="AY18" s="18" t="str">
        <f>IF($C18="","",$J18*'Cost &amp; Risk Inputs'!BL19)</f>
        <v/>
      </c>
      <c r="AZ18" s="18" t="str">
        <f>IF($C18="","",$J18*'Cost &amp; Risk Inputs'!BM19)</f>
        <v/>
      </c>
      <c r="BA18" s="18" t="str">
        <f>IF($C18="","",$J18*'Cost &amp; Risk Inputs'!BN19)</f>
        <v/>
      </c>
      <c r="BB18" s="18" t="str">
        <f>IF($C18="","",$J18*'Cost &amp; Risk Inputs'!BO19)</f>
        <v/>
      </c>
      <c r="BC18" s="18" t="str">
        <f>IF($C18="","",$J18*'Cost &amp; Risk Inputs'!BP19)</f>
        <v/>
      </c>
      <c r="BD18" s="18" t="str">
        <f>IF($C18="","",$J18*'Cost &amp; Risk Inputs'!BQ19)</f>
        <v/>
      </c>
      <c r="BE18" s="18" t="str">
        <f>IF($C18="","",$J18*'Cost &amp; Risk Inputs'!BR19)</f>
        <v/>
      </c>
      <c r="BF18" s="18" t="str">
        <f>IF($C18="","",$J18*'Cost &amp; Risk Inputs'!BS19)</f>
        <v/>
      </c>
      <c r="BG18" s="18" t="str">
        <f>IF($C18="","",$J18*'Cost &amp; Risk Inputs'!BT19)</f>
        <v/>
      </c>
      <c r="BH18" s="18" t="str">
        <f>IF($C18="","",$J18*'Cost &amp; Risk Inputs'!BU19)</f>
        <v/>
      </c>
      <c r="BI18" s="18" t="str">
        <f>IF($C18="","",$J18*'Cost &amp; Risk Inputs'!BV19)</f>
        <v/>
      </c>
      <c r="BJ18" s="18" t="str">
        <f>IF($C18="","",$J18*'Cost &amp; Risk Inputs'!BW19)</f>
        <v/>
      </c>
      <c r="BK18" s="18" t="str">
        <f>IF($C18="","",$J18*'Cost &amp; Risk Inputs'!BX19)</f>
        <v/>
      </c>
      <c r="BL18" s="18" t="str">
        <f>IF($C18="","",$J18*'Cost &amp; Risk Inputs'!BY19)</f>
        <v/>
      </c>
      <c r="BM18" s="18" t="str">
        <f>IF($C18="","",$J18*'Cost &amp; Risk Inputs'!BZ19)</f>
        <v/>
      </c>
      <c r="BN18" s="18" t="str">
        <f>IF($C18="","",$J18*'Cost &amp; Risk Inputs'!CA19)</f>
        <v/>
      </c>
      <c r="BO18" s="18" t="str">
        <f>IF($C18="","",$J18*'Cost &amp; Risk Inputs'!CB19)</f>
        <v/>
      </c>
      <c r="BP18" s="18" t="str">
        <f>IF($C18="","",$J18*'Cost &amp; Risk Inputs'!CC19)</f>
        <v/>
      </c>
      <c r="BQ18" s="18" t="str">
        <f>IF($C18="","",$J18*'Cost &amp; Risk Inputs'!CD19)</f>
        <v/>
      </c>
      <c r="BR18" s="18" t="str">
        <f>IF($C18="","",$J18*'Cost &amp; Risk Inputs'!CE19)</f>
        <v/>
      </c>
      <c r="BS18" s="18" t="str">
        <f>IF($C18="","",$J18*'Cost &amp; Risk Inputs'!CF19)</f>
        <v/>
      </c>
      <c r="BT18" s="18" t="str">
        <f>IF($C18="","",$J18*'Cost &amp; Risk Inputs'!CG19)</f>
        <v/>
      </c>
      <c r="BU18" s="18" t="str">
        <f>IF($C18="","",$J18*'Cost &amp; Risk Inputs'!CH19)</f>
        <v/>
      </c>
      <c r="BV18" s="18" t="str">
        <f>IF($C18="","",$J18*'Cost &amp; Risk Inputs'!CI19)</f>
        <v/>
      </c>
      <c r="BW18" s="18" t="str">
        <f>IF($C18="","",$J18*'Cost &amp; Risk Inputs'!CJ19)</f>
        <v/>
      </c>
      <c r="BX18" s="18" t="str">
        <f>IF($C18="","",$J18*'Cost &amp; Risk Inputs'!CK19)</f>
        <v/>
      </c>
      <c r="BY18" s="18" t="str">
        <f>IF($C18="","",$J18*'Cost &amp; Risk Inputs'!CL19)</f>
        <v/>
      </c>
      <c r="BZ18" s="18" t="str">
        <f>IF($C18="","",$J18*'Cost &amp; Risk Inputs'!CM19)</f>
        <v/>
      </c>
      <c r="CA18" s="18" t="str">
        <f>IF($C18="","",$J18*'Cost &amp; Risk Inputs'!CN19)</f>
        <v/>
      </c>
      <c r="CB18" s="18" t="str">
        <f>IF($C18="","",$J18*'Cost &amp; Risk Inputs'!CO19)</f>
        <v/>
      </c>
      <c r="CC18" s="18" t="str">
        <f>IF($C18="","",$J18*'Cost &amp; Risk Inputs'!CP19)</f>
        <v/>
      </c>
      <c r="CD18" s="18" t="str">
        <f>IF($C18="","",$J18*'Cost &amp; Risk Inputs'!CQ19)</f>
        <v/>
      </c>
      <c r="CE18" s="18" t="str">
        <f>IF($C18="","",$J18*'Cost &amp; Risk Inputs'!CR19)</f>
        <v/>
      </c>
      <c r="CF18" s="18" t="str">
        <f>IF($C18="","",$J18*'Cost &amp; Risk Inputs'!CS19)</f>
        <v/>
      </c>
      <c r="CG18" s="18" t="str">
        <f>IF($C18="","",$J18*'Cost &amp; Risk Inputs'!CT19)</f>
        <v/>
      </c>
      <c r="CH18" s="18" t="str">
        <f>IF($C18="","",$J18*'Cost &amp; Risk Inputs'!CU19)</f>
        <v/>
      </c>
      <c r="CI18" s="18" t="str">
        <f>IF($C18="","",$J18*'Cost &amp; Risk Inputs'!CV19)</f>
        <v/>
      </c>
      <c r="CJ18" s="18" t="str">
        <f>IF($C18="","",$J18*'Cost &amp; Risk Inputs'!CW19)</f>
        <v/>
      </c>
      <c r="CK18" s="18" t="str">
        <f>IF($C18="","",$J18*'Cost &amp; Risk Inputs'!CX19)</f>
        <v/>
      </c>
      <c r="CL18" s="18" t="str">
        <f>IF($C18="","",$J18*'Cost &amp; Risk Inputs'!CY19)</f>
        <v/>
      </c>
      <c r="CM18" s="18" t="str">
        <f>IF($C18="","",$J18*'Cost &amp; Risk Inputs'!CZ19)</f>
        <v/>
      </c>
      <c r="CN18" s="18" t="str">
        <f>IF($C18="","",$J18*'Cost &amp; Risk Inputs'!DA19)</f>
        <v/>
      </c>
      <c r="CO18" s="18" t="str">
        <f>IF($C18="","",$J18*'Cost &amp; Risk Inputs'!DB19)</f>
        <v/>
      </c>
      <c r="CP18" s="18" t="str">
        <f>IF($C18="","",$J18*'Cost &amp; Risk Inputs'!DC19)</f>
        <v/>
      </c>
      <c r="CQ18" s="18" t="str">
        <f>IF($C18="","",$J18*'Cost &amp; Risk Inputs'!DD19)</f>
        <v/>
      </c>
      <c r="CR18" s="18" t="str">
        <f>IF($C18="","",$J18*'Cost &amp; Risk Inputs'!DE19)</f>
        <v/>
      </c>
      <c r="CS18" s="18" t="str">
        <f>IF($C18="","",$J18*'Cost &amp; Risk Inputs'!DF19)</f>
        <v/>
      </c>
      <c r="CT18" s="18" t="str">
        <f>IF($C18="","",$J18*'Cost &amp; Risk Inputs'!DG19)</f>
        <v/>
      </c>
      <c r="CU18" s="18" t="str">
        <f>IF($C18="","",$J18*'Cost &amp; Risk Inputs'!DH19)</f>
        <v/>
      </c>
      <c r="CV18" s="18" t="str">
        <f>IF($C18="","",$J18*'Cost &amp; Risk Inputs'!DI19)</f>
        <v/>
      </c>
      <c r="CW18" s="18" t="str">
        <f>IF($C18="","",$J18*'Cost &amp; Risk Inputs'!DJ19)</f>
        <v/>
      </c>
      <c r="CX18" s="18" t="str">
        <f>IF($C18="","",$J18*'Cost &amp; Risk Inputs'!DK19)</f>
        <v/>
      </c>
      <c r="CZ18" s="18">
        <f t="shared" ca="1" si="1"/>
        <v>0</v>
      </c>
      <c r="DA18" s="18">
        <f t="shared" si="2"/>
        <v>0</v>
      </c>
    </row>
    <row r="19" spans="3:105" x14ac:dyDescent="0.3">
      <c r="C19" s="4" t="str">
        <f>IF('Cost &amp; Risk Inputs'!C20="","",'Cost &amp; Risk Inputs'!C20)</f>
        <v/>
      </c>
      <c r="D19" s="4" t="str">
        <f>IF(C19="","",'Cost &amp; Risk Inputs'!F20)</f>
        <v/>
      </c>
      <c r="E19" s="19" t="str">
        <f>IF(C19="","",'Cost &amp; Risk Inputs'!J20)</f>
        <v/>
      </c>
      <c r="F19" s="19" t="str">
        <f>IF(C19="","",'Cost &amp; Risk Inputs'!K20)</f>
        <v/>
      </c>
      <c r="G19" s="19" t="str">
        <f>IF(C19="","",'Cost &amp; Risk Inputs'!L20)</f>
        <v/>
      </c>
      <c r="I19" s="18" t="str">
        <f t="shared" si="0"/>
        <v/>
      </c>
      <c r="J19" s="23" t="str">
        <f>IF(C19="","",'Cost &amp; Risk Inputs'!U20/INDEX('Global Constants'!$F$24:$CQ$33,MATCH(D19,Inflation_List,0),MATCH(G19,FY,0)))</f>
        <v/>
      </c>
      <c r="M19" s="18" t="str">
        <f>IF($C19="","",$J19*'Cost &amp; Risk Inputs'!Z20)</f>
        <v/>
      </c>
      <c r="N19" s="18" t="str">
        <f>IF($C19="","",$J19*'Cost &amp; Risk Inputs'!AA20)</f>
        <v/>
      </c>
      <c r="O19" s="18" t="str">
        <f>IF($C19="","",$J19*'Cost &amp; Risk Inputs'!AB20)</f>
        <v/>
      </c>
      <c r="P19" s="18" t="str">
        <f>IF($C19="","",$J19*'Cost &amp; Risk Inputs'!AC20)</f>
        <v/>
      </c>
      <c r="Q19" s="18" t="str">
        <f>IF($C19="","",$J19*'Cost &amp; Risk Inputs'!AD20)</f>
        <v/>
      </c>
      <c r="R19" s="18" t="str">
        <f>IF($C19="","",$J19*'Cost &amp; Risk Inputs'!AE20)</f>
        <v/>
      </c>
      <c r="S19" s="18" t="str">
        <f>IF($C19="","",$J19*'Cost &amp; Risk Inputs'!AF20)</f>
        <v/>
      </c>
      <c r="T19" s="18" t="str">
        <f>IF($C19="","",$J19*'Cost &amp; Risk Inputs'!AG20)</f>
        <v/>
      </c>
      <c r="U19" s="18" t="str">
        <f>IF($C19="","",$J19*'Cost &amp; Risk Inputs'!AH20)</f>
        <v/>
      </c>
      <c r="V19" s="18" t="str">
        <f>IF($C19="","",$J19*'Cost &amp; Risk Inputs'!AI20)</f>
        <v/>
      </c>
      <c r="W19" s="18" t="str">
        <f>IF($C19="","",$J19*'Cost &amp; Risk Inputs'!AJ20)</f>
        <v/>
      </c>
      <c r="X19" s="18" t="str">
        <f>IF($C19="","",$J19*'Cost &amp; Risk Inputs'!AK20)</f>
        <v/>
      </c>
      <c r="Y19" s="18" t="str">
        <f>IF($C19="","",$J19*'Cost &amp; Risk Inputs'!AL20)</f>
        <v/>
      </c>
      <c r="Z19" s="18" t="str">
        <f>IF($C19="","",$J19*'Cost &amp; Risk Inputs'!AM20)</f>
        <v/>
      </c>
      <c r="AA19" s="18" t="str">
        <f>IF($C19="","",$J19*'Cost &amp; Risk Inputs'!AN20)</f>
        <v/>
      </c>
      <c r="AB19" s="18" t="str">
        <f>IF($C19="","",$J19*'Cost &amp; Risk Inputs'!AO20)</f>
        <v/>
      </c>
      <c r="AC19" s="18" t="str">
        <f>IF($C19="","",$J19*'Cost &amp; Risk Inputs'!AP20)</f>
        <v/>
      </c>
      <c r="AD19" s="18" t="str">
        <f>IF($C19="","",$J19*'Cost &amp; Risk Inputs'!AQ20)</f>
        <v/>
      </c>
      <c r="AE19" s="18" t="str">
        <f>IF($C19="","",$J19*'Cost &amp; Risk Inputs'!AR20)</f>
        <v/>
      </c>
      <c r="AF19" s="18" t="str">
        <f>IF($C19="","",$J19*'Cost &amp; Risk Inputs'!AS20)</f>
        <v/>
      </c>
      <c r="AG19" s="18" t="str">
        <f>IF($C19="","",$J19*'Cost &amp; Risk Inputs'!AT20)</f>
        <v/>
      </c>
      <c r="AH19" s="18" t="str">
        <f>IF($C19="","",$J19*'Cost &amp; Risk Inputs'!AU20)</f>
        <v/>
      </c>
      <c r="AI19" s="18" t="str">
        <f>IF($C19="","",$J19*'Cost &amp; Risk Inputs'!AV20)</f>
        <v/>
      </c>
      <c r="AJ19" s="18" t="str">
        <f>IF($C19="","",$J19*'Cost &amp; Risk Inputs'!AW20)</f>
        <v/>
      </c>
      <c r="AK19" s="18" t="str">
        <f>IF($C19="","",$J19*'Cost &amp; Risk Inputs'!AX20)</f>
        <v/>
      </c>
      <c r="AL19" s="18" t="str">
        <f>IF($C19="","",$J19*'Cost &amp; Risk Inputs'!AY20)</f>
        <v/>
      </c>
      <c r="AM19" s="18" t="str">
        <f>IF($C19="","",$J19*'Cost &amp; Risk Inputs'!AZ20)</f>
        <v/>
      </c>
      <c r="AN19" s="18" t="str">
        <f>IF($C19="","",$J19*'Cost &amp; Risk Inputs'!BA20)</f>
        <v/>
      </c>
      <c r="AO19" s="18" t="str">
        <f>IF($C19="","",$J19*'Cost &amp; Risk Inputs'!BB20)</f>
        <v/>
      </c>
      <c r="AP19" s="18" t="str">
        <f>IF($C19="","",$J19*'Cost &amp; Risk Inputs'!BC20)</f>
        <v/>
      </c>
      <c r="AQ19" s="18" t="str">
        <f>IF($C19="","",$J19*'Cost &amp; Risk Inputs'!BD20)</f>
        <v/>
      </c>
      <c r="AR19" s="18" t="str">
        <f>IF($C19="","",$J19*'Cost &amp; Risk Inputs'!BE20)</f>
        <v/>
      </c>
      <c r="AS19" s="18" t="str">
        <f>IF($C19="","",$J19*'Cost &amp; Risk Inputs'!BF20)</f>
        <v/>
      </c>
      <c r="AT19" s="18" t="str">
        <f>IF($C19="","",$J19*'Cost &amp; Risk Inputs'!BG20)</f>
        <v/>
      </c>
      <c r="AU19" s="18" t="str">
        <f>IF($C19="","",$J19*'Cost &amp; Risk Inputs'!BH20)</f>
        <v/>
      </c>
      <c r="AV19" s="18" t="str">
        <f>IF($C19="","",$J19*'Cost &amp; Risk Inputs'!BI20)</f>
        <v/>
      </c>
      <c r="AW19" s="18" t="str">
        <f>IF($C19="","",$J19*'Cost &amp; Risk Inputs'!BJ20)</f>
        <v/>
      </c>
      <c r="AX19" s="18" t="str">
        <f>IF($C19="","",$J19*'Cost &amp; Risk Inputs'!BK20)</f>
        <v/>
      </c>
      <c r="AY19" s="18" t="str">
        <f>IF($C19="","",$J19*'Cost &amp; Risk Inputs'!BL20)</f>
        <v/>
      </c>
      <c r="AZ19" s="18" t="str">
        <f>IF($C19="","",$J19*'Cost &amp; Risk Inputs'!BM20)</f>
        <v/>
      </c>
      <c r="BA19" s="18" t="str">
        <f>IF($C19="","",$J19*'Cost &amp; Risk Inputs'!BN20)</f>
        <v/>
      </c>
      <c r="BB19" s="18" t="str">
        <f>IF($C19="","",$J19*'Cost &amp; Risk Inputs'!BO20)</f>
        <v/>
      </c>
      <c r="BC19" s="18" t="str">
        <f>IF($C19="","",$J19*'Cost &amp; Risk Inputs'!BP20)</f>
        <v/>
      </c>
      <c r="BD19" s="18" t="str">
        <f>IF($C19="","",$J19*'Cost &amp; Risk Inputs'!BQ20)</f>
        <v/>
      </c>
      <c r="BE19" s="18" t="str">
        <f>IF($C19="","",$J19*'Cost &amp; Risk Inputs'!BR20)</f>
        <v/>
      </c>
      <c r="BF19" s="18" t="str">
        <f>IF($C19="","",$J19*'Cost &amp; Risk Inputs'!BS20)</f>
        <v/>
      </c>
      <c r="BG19" s="18" t="str">
        <f>IF($C19="","",$J19*'Cost &amp; Risk Inputs'!BT20)</f>
        <v/>
      </c>
      <c r="BH19" s="18" t="str">
        <f>IF($C19="","",$J19*'Cost &amp; Risk Inputs'!BU20)</f>
        <v/>
      </c>
      <c r="BI19" s="18" t="str">
        <f>IF($C19="","",$J19*'Cost &amp; Risk Inputs'!BV20)</f>
        <v/>
      </c>
      <c r="BJ19" s="18" t="str">
        <f>IF($C19="","",$J19*'Cost &amp; Risk Inputs'!BW20)</f>
        <v/>
      </c>
      <c r="BK19" s="18" t="str">
        <f>IF($C19="","",$J19*'Cost &amp; Risk Inputs'!BX20)</f>
        <v/>
      </c>
      <c r="BL19" s="18" t="str">
        <f>IF($C19="","",$J19*'Cost &amp; Risk Inputs'!BY20)</f>
        <v/>
      </c>
      <c r="BM19" s="18" t="str">
        <f>IF($C19="","",$J19*'Cost &amp; Risk Inputs'!BZ20)</f>
        <v/>
      </c>
      <c r="BN19" s="18" t="str">
        <f>IF($C19="","",$J19*'Cost &amp; Risk Inputs'!CA20)</f>
        <v/>
      </c>
      <c r="BO19" s="18" t="str">
        <f>IF($C19="","",$J19*'Cost &amp; Risk Inputs'!CB20)</f>
        <v/>
      </c>
      <c r="BP19" s="18" t="str">
        <f>IF($C19="","",$J19*'Cost &amp; Risk Inputs'!CC20)</f>
        <v/>
      </c>
      <c r="BQ19" s="18" t="str">
        <f>IF($C19="","",$J19*'Cost &amp; Risk Inputs'!CD20)</f>
        <v/>
      </c>
      <c r="BR19" s="18" t="str">
        <f>IF($C19="","",$J19*'Cost &amp; Risk Inputs'!CE20)</f>
        <v/>
      </c>
      <c r="BS19" s="18" t="str">
        <f>IF($C19="","",$J19*'Cost &amp; Risk Inputs'!CF20)</f>
        <v/>
      </c>
      <c r="BT19" s="18" t="str">
        <f>IF($C19="","",$J19*'Cost &amp; Risk Inputs'!CG20)</f>
        <v/>
      </c>
      <c r="BU19" s="18" t="str">
        <f>IF($C19="","",$J19*'Cost &amp; Risk Inputs'!CH20)</f>
        <v/>
      </c>
      <c r="BV19" s="18" t="str">
        <f>IF($C19="","",$J19*'Cost &amp; Risk Inputs'!CI20)</f>
        <v/>
      </c>
      <c r="BW19" s="18" t="str">
        <f>IF($C19="","",$J19*'Cost &amp; Risk Inputs'!CJ20)</f>
        <v/>
      </c>
      <c r="BX19" s="18" t="str">
        <f>IF($C19="","",$J19*'Cost &amp; Risk Inputs'!CK20)</f>
        <v/>
      </c>
      <c r="BY19" s="18" t="str">
        <f>IF($C19="","",$J19*'Cost &amp; Risk Inputs'!CL20)</f>
        <v/>
      </c>
      <c r="BZ19" s="18" t="str">
        <f>IF($C19="","",$J19*'Cost &amp; Risk Inputs'!CM20)</f>
        <v/>
      </c>
      <c r="CA19" s="18" t="str">
        <f>IF($C19="","",$J19*'Cost &amp; Risk Inputs'!CN20)</f>
        <v/>
      </c>
      <c r="CB19" s="18" t="str">
        <f>IF($C19="","",$J19*'Cost &amp; Risk Inputs'!CO20)</f>
        <v/>
      </c>
      <c r="CC19" s="18" t="str">
        <f>IF($C19="","",$J19*'Cost &amp; Risk Inputs'!CP20)</f>
        <v/>
      </c>
      <c r="CD19" s="18" t="str">
        <f>IF($C19="","",$J19*'Cost &amp; Risk Inputs'!CQ20)</f>
        <v/>
      </c>
      <c r="CE19" s="18" t="str">
        <f>IF($C19="","",$J19*'Cost &amp; Risk Inputs'!CR20)</f>
        <v/>
      </c>
      <c r="CF19" s="18" t="str">
        <f>IF($C19="","",$J19*'Cost &amp; Risk Inputs'!CS20)</f>
        <v/>
      </c>
      <c r="CG19" s="18" t="str">
        <f>IF($C19="","",$J19*'Cost &amp; Risk Inputs'!CT20)</f>
        <v/>
      </c>
      <c r="CH19" s="18" t="str">
        <f>IF($C19="","",$J19*'Cost &amp; Risk Inputs'!CU20)</f>
        <v/>
      </c>
      <c r="CI19" s="18" t="str">
        <f>IF($C19="","",$J19*'Cost &amp; Risk Inputs'!CV20)</f>
        <v/>
      </c>
      <c r="CJ19" s="18" t="str">
        <f>IF($C19="","",$J19*'Cost &amp; Risk Inputs'!CW20)</f>
        <v/>
      </c>
      <c r="CK19" s="18" t="str">
        <f>IF($C19="","",$J19*'Cost &amp; Risk Inputs'!CX20)</f>
        <v/>
      </c>
      <c r="CL19" s="18" t="str">
        <f>IF($C19="","",$J19*'Cost &amp; Risk Inputs'!CY20)</f>
        <v/>
      </c>
      <c r="CM19" s="18" t="str">
        <f>IF($C19="","",$J19*'Cost &amp; Risk Inputs'!CZ20)</f>
        <v/>
      </c>
      <c r="CN19" s="18" t="str">
        <f>IF($C19="","",$J19*'Cost &amp; Risk Inputs'!DA20)</f>
        <v/>
      </c>
      <c r="CO19" s="18" t="str">
        <f>IF($C19="","",$J19*'Cost &amp; Risk Inputs'!DB20)</f>
        <v/>
      </c>
      <c r="CP19" s="18" t="str">
        <f>IF($C19="","",$J19*'Cost &amp; Risk Inputs'!DC20)</f>
        <v/>
      </c>
      <c r="CQ19" s="18" t="str">
        <f>IF($C19="","",$J19*'Cost &amp; Risk Inputs'!DD20)</f>
        <v/>
      </c>
      <c r="CR19" s="18" t="str">
        <f>IF($C19="","",$J19*'Cost &amp; Risk Inputs'!DE20)</f>
        <v/>
      </c>
      <c r="CS19" s="18" t="str">
        <f>IF($C19="","",$J19*'Cost &amp; Risk Inputs'!DF20)</f>
        <v/>
      </c>
      <c r="CT19" s="18" t="str">
        <f>IF($C19="","",$J19*'Cost &amp; Risk Inputs'!DG20)</f>
        <v/>
      </c>
      <c r="CU19" s="18" t="str">
        <f>IF($C19="","",$J19*'Cost &amp; Risk Inputs'!DH20)</f>
        <v/>
      </c>
      <c r="CV19" s="18" t="str">
        <f>IF($C19="","",$J19*'Cost &amp; Risk Inputs'!DI20)</f>
        <v/>
      </c>
      <c r="CW19" s="18" t="str">
        <f>IF($C19="","",$J19*'Cost &amp; Risk Inputs'!DJ20)</f>
        <v/>
      </c>
      <c r="CX19" s="18" t="str">
        <f>IF($C19="","",$J19*'Cost &amp; Risk Inputs'!DK20)</f>
        <v/>
      </c>
      <c r="CZ19" s="18">
        <f t="shared" ca="1" si="1"/>
        <v>0</v>
      </c>
      <c r="DA19" s="18">
        <f t="shared" si="2"/>
        <v>0</v>
      </c>
    </row>
    <row r="20" spans="3:105" x14ac:dyDescent="0.3">
      <c r="C20" s="4" t="str">
        <f>IF('Cost &amp; Risk Inputs'!C21="","",'Cost &amp; Risk Inputs'!C21)</f>
        <v/>
      </c>
      <c r="D20" s="4" t="str">
        <f>IF(C20="","",'Cost &amp; Risk Inputs'!F21)</f>
        <v/>
      </c>
      <c r="E20" s="19" t="str">
        <f>IF(C20="","",'Cost &amp; Risk Inputs'!J21)</f>
        <v/>
      </c>
      <c r="F20" s="19" t="str">
        <f>IF(C20="","",'Cost &amp; Risk Inputs'!K21)</f>
        <v/>
      </c>
      <c r="G20" s="19" t="str">
        <f>IF(C20="","",'Cost &amp; Risk Inputs'!L21)</f>
        <v/>
      </c>
      <c r="I20" s="18" t="str">
        <f t="shared" si="0"/>
        <v/>
      </c>
      <c r="J20" s="23" t="str">
        <f>IF(C20="","",'Cost &amp; Risk Inputs'!U21/INDEX('Global Constants'!$F$24:$CQ$33,MATCH(D20,Inflation_List,0),MATCH(G20,FY,0)))</f>
        <v/>
      </c>
      <c r="M20" s="18" t="str">
        <f>IF($C20="","",$J20*'Cost &amp; Risk Inputs'!Z21)</f>
        <v/>
      </c>
      <c r="N20" s="18" t="str">
        <f>IF($C20="","",$J20*'Cost &amp; Risk Inputs'!AA21)</f>
        <v/>
      </c>
      <c r="O20" s="18" t="str">
        <f>IF($C20="","",$J20*'Cost &amp; Risk Inputs'!AB21)</f>
        <v/>
      </c>
      <c r="P20" s="18" t="str">
        <f>IF($C20="","",$J20*'Cost &amp; Risk Inputs'!AC21)</f>
        <v/>
      </c>
      <c r="Q20" s="18" t="str">
        <f>IF($C20="","",$J20*'Cost &amp; Risk Inputs'!AD21)</f>
        <v/>
      </c>
      <c r="R20" s="18" t="str">
        <f>IF($C20="","",$J20*'Cost &amp; Risk Inputs'!AE21)</f>
        <v/>
      </c>
      <c r="S20" s="18" t="str">
        <f>IF($C20="","",$J20*'Cost &amp; Risk Inputs'!AF21)</f>
        <v/>
      </c>
      <c r="T20" s="18" t="str">
        <f>IF($C20="","",$J20*'Cost &amp; Risk Inputs'!AG21)</f>
        <v/>
      </c>
      <c r="U20" s="18" t="str">
        <f>IF($C20="","",$J20*'Cost &amp; Risk Inputs'!AH21)</f>
        <v/>
      </c>
      <c r="V20" s="18" t="str">
        <f>IF($C20="","",$J20*'Cost &amp; Risk Inputs'!AI21)</f>
        <v/>
      </c>
      <c r="W20" s="18" t="str">
        <f>IF($C20="","",$J20*'Cost &amp; Risk Inputs'!AJ21)</f>
        <v/>
      </c>
      <c r="X20" s="18" t="str">
        <f>IF($C20="","",$J20*'Cost &amp; Risk Inputs'!AK21)</f>
        <v/>
      </c>
      <c r="Y20" s="18" t="str">
        <f>IF($C20="","",$J20*'Cost &amp; Risk Inputs'!AL21)</f>
        <v/>
      </c>
      <c r="Z20" s="18" t="str">
        <f>IF($C20="","",$J20*'Cost &amp; Risk Inputs'!AM21)</f>
        <v/>
      </c>
      <c r="AA20" s="18" t="str">
        <f>IF($C20="","",$J20*'Cost &amp; Risk Inputs'!AN21)</f>
        <v/>
      </c>
      <c r="AB20" s="18" t="str">
        <f>IF($C20="","",$J20*'Cost &amp; Risk Inputs'!AO21)</f>
        <v/>
      </c>
      <c r="AC20" s="18" t="str">
        <f>IF($C20="","",$J20*'Cost &amp; Risk Inputs'!AP21)</f>
        <v/>
      </c>
      <c r="AD20" s="18" t="str">
        <f>IF($C20="","",$J20*'Cost &amp; Risk Inputs'!AQ21)</f>
        <v/>
      </c>
      <c r="AE20" s="18" t="str">
        <f>IF($C20="","",$J20*'Cost &amp; Risk Inputs'!AR21)</f>
        <v/>
      </c>
      <c r="AF20" s="18" t="str">
        <f>IF($C20="","",$J20*'Cost &amp; Risk Inputs'!AS21)</f>
        <v/>
      </c>
      <c r="AG20" s="18" t="str">
        <f>IF($C20="","",$J20*'Cost &amp; Risk Inputs'!AT21)</f>
        <v/>
      </c>
      <c r="AH20" s="18" t="str">
        <f>IF($C20="","",$J20*'Cost &amp; Risk Inputs'!AU21)</f>
        <v/>
      </c>
      <c r="AI20" s="18" t="str">
        <f>IF($C20="","",$J20*'Cost &amp; Risk Inputs'!AV21)</f>
        <v/>
      </c>
      <c r="AJ20" s="18" t="str">
        <f>IF($C20="","",$J20*'Cost &amp; Risk Inputs'!AW21)</f>
        <v/>
      </c>
      <c r="AK20" s="18" t="str">
        <f>IF($C20="","",$J20*'Cost &amp; Risk Inputs'!AX21)</f>
        <v/>
      </c>
      <c r="AL20" s="18" t="str">
        <f>IF($C20="","",$J20*'Cost &amp; Risk Inputs'!AY21)</f>
        <v/>
      </c>
      <c r="AM20" s="18" t="str">
        <f>IF($C20="","",$J20*'Cost &amp; Risk Inputs'!AZ21)</f>
        <v/>
      </c>
      <c r="AN20" s="18" t="str">
        <f>IF($C20="","",$J20*'Cost &amp; Risk Inputs'!BA21)</f>
        <v/>
      </c>
      <c r="AO20" s="18" t="str">
        <f>IF($C20="","",$J20*'Cost &amp; Risk Inputs'!BB21)</f>
        <v/>
      </c>
      <c r="AP20" s="18" t="str">
        <f>IF($C20="","",$J20*'Cost &amp; Risk Inputs'!BC21)</f>
        <v/>
      </c>
      <c r="AQ20" s="18" t="str">
        <f>IF($C20="","",$J20*'Cost &amp; Risk Inputs'!BD21)</f>
        <v/>
      </c>
      <c r="AR20" s="18" t="str">
        <f>IF($C20="","",$J20*'Cost &amp; Risk Inputs'!BE21)</f>
        <v/>
      </c>
      <c r="AS20" s="18" t="str">
        <f>IF($C20="","",$J20*'Cost &amp; Risk Inputs'!BF21)</f>
        <v/>
      </c>
      <c r="AT20" s="18" t="str">
        <f>IF($C20="","",$J20*'Cost &amp; Risk Inputs'!BG21)</f>
        <v/>
      </c>
      <c r="AU20" s="18" t="str">
        <f>IF($C20="","",$J20*'Cost &amp; Risk Inputs'!BH21)</f>
        <v/>
      </c>
      <c r="AV20" s="18" t="str">
        <f>IF($C20="","",$J20*'Cost &amp; Risk Inputs'!BI21)</f>
        <v/>
      </c>
      <c r="AW20" s="18" t="str">
        <f>IF($C20="","",$J20*'Cost &amp; Risk Inputs'!BJ21)</f>
        <v/>
      </c>
      <c r="AX20" s="18" t="str">
        <f>IF($C20="","",$J20*'Cost &amp; Risk Inputs'!BK21)</f>
        <v/>
      </c>
      <c r="AY20" s="18" t="str">
        <f>IF($C20="","",$J20*'Cost &amp; Risk Inputs'!BL21)</f>
        <v/>
      </c>
      <c r="AZ20" s="18" t="str">
        <f>IF($C20="","",$J20*'Cost &amp; Risk Inputs'!BM21)</f>
        <v/>
      </c>
      <c r="BA20" s="18" t="str">
        <f>IF($C20="","",$J20*'Cost &amp; Risk Inputs'!BN21)</f>
        <v/>
      </c>
      <c r="BB20" s="18" t="str">
        <f>IF($C20="","",$J20*'Cost &amp; Risk Inputs'!BO21)</f>
        <v/>
      </c>
      <c r="BC20" s="18" t="str">
        <f>IF($C20="","",$J20*'Cost &amp; Risk Inputs'!BP21)</f>
        <v/>
      </c>
      <c r="BD20" s="18" t="str">
        <f>IF($C20="","",$J20*'Cost &amp; Risk Inputs'!BQ21)</f>
        <v/>
      </c>
      <c r="BE20" s="18" t="str">
        <f>IF($C20="","",$J20*'Cost &amp; Risk Inputs'!BR21)</f>
        <v/>
      </c>
      <c r="BF20" s="18" t="str">
        <f>IF($C20="","",$J20*'Cost &amp; Risk Inputs'!BS21)</f>
        <v/>
      </c>
      <c r="BG20" s="18" t="str">
        <f>IF($C20="","",$J20*'Cost &amp; Risk Inputs'!BT21)</f>
        <v/>
      </c>
      <c r="BH20" s="18" t="str">
        <f>IF($C20="","",$J20*'Cost &amp; Risk Inputs'!BU21)</f>
        <v/>
      </c>
      <c r="BI20" s="18" t="str">
        <f>IF($C20="","",$J20*'Cost &amp; Risk Inputs'!BV21)</f>
        <v/>
      </c>
      <c r="BJ20" s="18" t="str">
        <f>IF($C20="","",$J20*'Cost &amp; Risk Inputs'!BW21)</f>
        <v/>
      </c>
      <c r="BK20" s="18" t="str">
        <f>IF($C20="","",$J20*'Cost &amp; Risk Inputs'!BX21)</f>
        <v/>
      </c>
      <c r="BL20" s="18" t="str">
        <f>IF($C20="","",$J20*'Cost &amp; Risk Inputs'!BY21)</f>
        <v/>
      </c>
      <c r="BM20" s="18" t="str">
        <f>IF($C20="","",$J20*'Cost &amp; Risk Inputs'!BZ21)</f>
        <v/>
      </c>
      <c r="BN20" s="18" t="str">
        <f>IF($C20="","",$J20*'Cost &amp; Risk Inputs'!CA21)</f>
        <v/>
      </c>
      <c r="BO20" s="18" t="str">
        <f>IF($C20="","",$J20*'Cost &amp; Risk Inputs'!CB21)</f>
        <v/>
      </c>
      <c r="BP20" s="18" t="str">
        <f>IF($C20="","",$J20*'Cost &amp; Risk Inputs'!CC21)</f>
        <v/>
      </c>
      <c r="BQ20" s="18" t="str">
        <f>IF($C20="","",$J20*'Cost &amp; Risk Inputs'!CD21)</f>
        <v/>
      </c>
      <c r="BR20" s="18" t="str">
        <f>IF($C20="","",$J20*'Cost &amp; Risk Inputs'!CE21)</f>
        <v/>
      </c>
      <c r="BS20" s="18" t="str">
        <f>IF($C20="","",$J20*'Cost &amp; Risk Inputs'!CF21)</f>
        <v/>
      </c>
      <c r="BT20" s="18" t="str">
        <f>IF($C20="","",$J20*'Cost &amp; Risk Inputs'!CG21)</f>
        <v/>
      </c>
      <c r="BU20" s="18" t="str">
        <f>IF($C20="","",$J20*'Cost &amp; Risk Inputs'!CH21)</f>
        <v/>
      </c>
      <c r="BV20" s="18" t="str">
        <f>IF($C20="","",$J20*'Cost &amp; Risk Inputs'!CI21)</f>
        <v/>
      </c>
      <c r="BW20" s="18" t="str">
        <f>IF($C20="","",$J20*'Cost &amp; Risk Inputs'!CJ21)</f>
        <v/>
      </c>
      <c r="BX20" s="18" t="str">
        <f>IF($C20="","",$J20*'Cost &amp; Risk Inputs'!CK21)</f>
        <v/>
      </c>
      <c r="BY20" s="18" t="str">
        <f>IF($C20="","",$J20*'Cost &amp; Risk Inputs'!CL21)</f>
        <v/>
      </c>
      <c r="BZ20" s="18" t="str">
        <f>IF($C20="","",$J20*'Cost &amp; Risk Inputs'!CM21)</f>
        <v/>
      </c>
      <c r="CA20" s="18" t="str">
        <f>IF($C20="","",$J20*'Cost &amp; Risk Inputs'!CN21)</f>
        <v/>
      </c>
      <c r="CB20" s="18" t="str">
        <f>IF($C20="","",$J20*'Cost &amp; Risk Inputs'!CO21)</f>
        <v/>
      </c>
      <c r="CC20" s="18" t="str">
        <f>IF($C20="","",$J20*'Cost &amp; Risk Inputs'!CP21)</f>
        <v/>
      </c>
      <c r="CD20" s="18" t="str">
        <f>IF($C20="","",$J20*'Cost &amp; Risk Inputs'!CQ21)</f>
        <v/>
      </c>
      <c r="CE20" s="18" t="str">
        <f>IF($C20="","",$J20*'Cost &amp; Risk Inputs'!CR21)</f>
        <v/>
      </c>
      <c r="CF20" s="18" t="str">
        <f>IF($C20="","",$J20*'Cost &amp; Risk Inputs'!CS21)</f>
        <v/>
      </c>
      <c r="CG20" s="18" t="str">
        <f>IF($C20="","",$J20*'Cost &amp; Risk Inputs'!CT21)</f>
        <v/>
      </c>
      <c r="CH20" s="18" t="str">
        <f>IF($C20="","",$J20*'Cost &amp; Risk Inputs'!CU21)</f>
        <v/>
      </c>
      <c r="CI20" s="18" t="str">
        <f>IF($C20="","",$J20*'Cost &amp; Risk Inputs'!CV21)</f>
        <v/>
      </c>
      <c r="CJ20" s="18" t="str">
        <f>IF($C20="","",$J20*'Cost &amp; Risk Inputs'!CW21)</f>
        <v/>
      </c>
      <c r="CK20" s="18" t="str">
        <f>IF($C20="","",$J20*'Cost &amp; Risk Inputs'!CX21)</f>
        <v/>
      </c>
      <c r="CL20" s="18" t="str">
        <f>IF($C20="","",$J20*'Cost &amp; Risk Inputs'!CY21)</f>
        <v/>
      </c>
      <c r="CM20" s="18" t="str">
        <f>IF($C20="","",$J20*'Cost &amp; Risk Inputs'!CZ21)</f>
        <v/>
      </c>
      <c r="CN20" s="18" t="str">
        <f>IF($C20="","",$J20*'Cost &amp; Risk Inputs'!DA21)</f>
        <v/>
      </c>
      <c r="CO20" s="18" t="str">
        <f>IF($C20="","",$J20*'Cost &amp; Risk Inputs'!DB21)</f>
        <v/>
      </c>
      <c r="CP20" s="18" t="str">
        <f>IF($C20="","",$J20*'Cost &amp; Risk Inputs'!DC21)</f>
        <v/>
      </c>
      <c r="CQ20" s="18" t="str">
        <f>IF($C20="","",$J20*'Cost &amp; Risk Inputs'!DD21)</f>
        <v/>
      </c>
      <c r="CR20" s="18" t="str">
        <f>IF($C20="","",$J20*'Cost &amp; Risk Inputs'!DE21)</f>
        <v/>
      </c>
      <c r="CS20" s="18" t="str">
        <f>IF($C20="","",$J20*'Cost &amp; Risk Inputs'!DF21)</f>
        <v/>
      </c>
      <c r="CT20" s="18" t="str">
        <f>IF($C20="","",$J20*'Cost &amp; Risk Inputs'!DG21)</f>
        <v/>
      </c>
      <c r="CU20" s="18" t="str">
        <f>IF($C20="","",$J20*'Cost &amp; Risk Inputs'!DH21)</f>
        <v/>
      </c>
      <c r="CV20" s="18" t="str">
        <f>IF($C20="","",$J20*'Cost &amp; Risk Inputs'!DI21)</f>
        <v/>
      </c>
      <c r="CW20" s="18" t="str">
        <f>IF($C20="","",$J20*'Cost &amp; Risk Inputs'!DJ21)</f>
        <v/>
      </c>
      <c r="CX20" s="18" t="str">
        <f>IF($C20="","",$J20*'Cost &amp; Risk Inputs'!DK21)</f>
        <v/>
      </c>
      <c r="CZ20" s="18">
        <f t="shared" ca="1" si="1"/>
        <v>0</v>
      </c>
      <c r="DA20" s="18">
        <f t="shared" si="2"/>
        <v>0</v>
      </c>
    </row>
    <row r="21" spans="3:105" x14ac:dyDescent="0.3">
      <c r="C21" s="4" t="str">
        <f>IF('Cost &amp; Risk Inputs'!C22="","",'Cost &amp; Risk Inputs'!C22)</f>
        <v/>
      </c>
      <c r="D21" s="4" t="str">
        <f>IF(C21="","",'Cost &amp; Risk Inputs'!F22)</f>
        <v/>
      </c>
      <c r="E21" s="19" t="str">
        <f>IF(C21="","",'Cost &amp; Risk Inputs'!J22)</f>
        <v/>
      </c>
      <c r="F21" s="19" t="str">
        <f>IF(C21="","",'Cost &amp; Risk Inputs'!K22)</f>
        <v/>
      </c>
      <c r="G21" s="19" t="str">
        <f>IF(C21="","",'Cost &amp; Risk Inputs'!L22)</f>
        <v/>
      </c>
      <c r="I21" s="18" t="str">
        <f t="shared" si="0"/>
        <v/>
      </c>
      <c r="J21" s="23" t="str">
        <f>IF(C21="","",'Cost &amp; Risk Inputs'!U22/INDEX('Global Constants'!$F$24:$CQ$33,MATCH(D21,Inflation_List,0),MATCH(G21,FY,0)))</f>
        <v/>
      </c>
      <c r="M21" s="18" t="str">
        <f>IF($C21="","",$J21*'Cost &amp; Risk Inputs'!Z22)</f>
        <v/>
      </c>
      <c r="N21" s="18" t="str">
        <f>IF($C21="","",$J21*'Cost &amp; Risk Inputs'!AA22)</f>
        <v/>
      </c>
      <c r="O21" s="18" t="str">
        <f>IF($C21="","",$J21*'Cost &amp; Risk Inputs'!AB22)</f>
        <v/>
      </c>
      <c r="P21" s="18" t="str">
        <f>IF($C21="","",$J21*'Cost &amp; Risk Inputs'!AC22)</f>
        <v/>
      </c>
      <c r="Q21" s="18" t="str">
        <f>IF($C21="","",$J21*'Cost &amp; Risk Inputs'!AD22)</f>
        <v/>
      </c>
      <c r="R21" s="18" t="str">
        <f>IF($C21="","",$J21*'Cost &amp; Risk Inputs'!AE22)</f>
        <v/>
      </c>
      <c r="S21" s="18" t="str">
        <f>IF($C21="","",$J21*'Cost &amp; Risk Inputs'!AF22)</f>
        <v/>
      </c>
      <c r="T21" s="18" t="str">
        <f>IF($C21="","",$J21*'Cost &amp; Risk Inputs'!AG22)</f>
        <v/>
      </c>
      <c r="U21" s="18" t="str">
        <f>IF($C21="","",$J21*'Cost &amp; Risk Inputs'!AH22)</f>
        <v/>
      </c>
      <c r="V21" s="18" t="str">
        <f>IF($C21="","",$J21*'Cost &amp; Risk Inputs'!AI22)</f>
        <v/>
      </c>
      <c r="W21" s="18" t="str">
        <f>IF($C21="","",$J21*'Cost &amp; Risk Inputs'!AJ22)</f>
        <v/>
      </c>
      <c r="X21" s="18" t="str">
        <f>IF($C21="","",$J21*'Cost &amp; Risk Inputs'!AK22)</f>
        <v/>
      </c>
      <c r="Y21" s="18" t="str">
        <f>IF($C21="","",$J21*'Cost &amp; Risk Inputs'!AL22)</f>
        <v/>
      </c>
      <c r="Z21" s="18" t="str">
        <f>IF($C21="","",$J21*'Cost &amp; Risk Inputs'!AM22)</f>
        <v/>
      </c>
      <c r="AA21" s="18" t="str">
        <f>IF($C21="","",$J21*'Cost &amp; Risk Inputs'!AN22)</f>
        <v/>
      </c>
      <c r="AB21" s="18" t="str">
        <f>IF($C21="","",$J21*'Cost &amp; Risk Inputs'!AO22)</f>
        <v/>
      </c>
      <c r="AC21" s="18" t="str">
        <f>IF($C21="","",$J21*'Cost &amp; Risk Inputs'!AP22)</f>
        <v/>
      </c>
      <c r="AD21" s="18" t="str">
        <f>IF($C21="","",$J21*'Cost &amp; Risk Inputs'!AQ22)</f>
        <v/>
      </c>
      <c r="AE21" s="18" t="str">
        <f>IF($C21="","",$J21*'Cost &amp; Risk Inputs'!AR22)</f>
        <v/>
      </c>
      <c r="AF21" s="18" t="str">
        <f>IF($C21="","",$J21*'Cost &amp; Risk Inputs'!AS22)</f>
        <v/>
      </c>
      <c r="AG21" s="18" t="str">
        <f>IF($C21="","",$J21*'Cost &amp; Risk Inputs'!AT22)</f>
        <v/>
      </c>
      <c r="AH21" s="18" t="str">
        <f>IF($C21="","",$J21*'Cost &amp; Risk Inputs'!AU22)</f>
        <v/>
      </c>
      <c r="AI21" s="18" t="str">
        <f>IF($C21="","",$J21*'Cost &amp; Risk Inputs'!AV22)</f>
        <v/>
      </c>
      <c r="AJ21" s="18" t="str">
        <f>IF($C21="","",$J21*'Cost &amp; Risk Inputs'!AW22)</f>
        <v/>
      </c>
      <c r="AK21" s="18" t="str">
        <f>IF($C21="","",$J21*'Cost &amp; Risk Inputs'!AX22)</f>
        <v/>
      </c>
      <c r="AL21" s="18" t="str">
        <f>IF($C21="","",$J21*'Cost &amp; Risk Inputs'!AY22)</f>
        <v/>
      </c>
      <c r="AM21" s="18" t="str">
        <f>IF($C21="","",$J21*'Cost &amp; Risk Inputs'!AZ22)</f>
        <v/>
      </c>
      <c r="AN21" s="18" t="str">
        <f>IF($C21="","",$J21*'Cost &amp; Risk Inputs'!BA22)</f>
        <v/>
      </c>
      <c r="AO21" s="18" t="str">
        <f>IF($C21="","",$J21*'Cost &amp; Risk Inputs'!BB22)</f>
        <v/>
      </c>
      <c r="AP21" s="18" t="str">
        <f>IF($C21="","",$J21*'Cost &amp; Risk Inputs'!BC22)</f>
        <v/>
      </c>
      <c r="AQ21" s="18" t="str">
        <f>IF($C21="","",$J21*'Cost &amp; Risk Inputs'!BD22)</f>
        <v/>
      </c>
      <c r="AR21" s="18" t="str">
        <f>IF($C21="","",$J21*'Cost &amp; Risk Inputs'!BE22)</f>
        <v/>
      </c>
      <c r="AS21" s="18" t="str">
        <f>IF($C21="","",$J21*'Cost &amp; Risk Inputs'!BF22)</f>
        <v/>
      </c>
      <c r="AT21" s="18" t="str">
        <f>IF($C21="","",$J21*'Cost &amp; Risk Inputs'!BG22)</f>
        <v/>
      </c>
      <c r="AU21" s="18" t="str">
        <f>IF($C21="","",$J21*'Cost &amp; Risk Inputs'!BH22)</f>
        <v/>
      </c>
      <c r="AV21" s="18" t="str">
        <f>IF($C21="","",$J21*'Cost &amp; Risk Inputs'!BI22)</f>
        <v/>
      </c>
      <c r="AW21" s="18" t="str">
        <f>IF($C21="","",$J21*'Cost &amp; Risk Inputs'!BJ22)</f>
        <v/>
      </c>
      <c r="AX21" s="18" t="str">
        <f>IF($C21="","",$J21*'Cost &amp; Risk Inputs'!BK22)</f>
        <v/>
      </c>
      <c r="AY21" s="18" t="str">
        <f>IF($C21="","",$J21*'Cost &amp; Risk Inputs'!BL22)</f>
        <v/>
      </c>
      <c r="AZ21" s="18" t="str">
        <f>IF($C21="","",$J21*'Cost &amp; Risk Inputs'!BM22)</f>
        <v/>
      </c>
      <c r="BA21" s="18" t="str">
        <f>IF($C21="","",$J21*'Cost &amp; Risk Inputs'!BN22)</f>
        <v/>
      </c>
      <c r="BB21" s="18" t="str">
        <f>IF($C21="","",$J21*'Cost &amp; Risk Inputs'!BO22)</f>
        <v/>
      </c>
      <c r="BC21" s="18" t="str">
        <f>IF($C21="","",$J21*'Cost &amp; Risk Inputs'!BP22)</f>
        <v/>
      </c>
      <c r="BD21" s="18" t="str">
        <f>IF($C21="","",$J21*'Cost &amp; Risk Inputs'!BQ22)</f>
        <v/>
      </c>
      <c r="BE21" s="18" t="str">
        <f>IF($C21="","",$J21*'Cost &amp; Risk Inputs'!BR22)</f>
        <v/>
      </c>
      <c r="BF21" s="18" t="str">
        <f>IF($C21="","",$J21*'Cost &amp; Risk Inputs'!BS22)</f>
        <v/>
      </c>
      <c r="BG21" s="18" t="str">
        <f>IF($C21="","",$J21*'Cost &amp; Risk Inputs'!BT22)</f>
        <v/>
      </c>
      <c r="BH21" s="18" t="str">
        <f>IF($C21="","",$J21*'Cost &amp; Risk Inputs'!BU22)</f>
        <v/>
      </c>
      <c r="BI21" s="18" t="str">
        <f>IF($C21="","",$J21*'Cost &amp; Risk Inputs'!BV22)</f>
        <v/>
      </c>
      <c r="BJ21" s="18" t="str">
        <f>IF($C21="","",$J21*'Cost &amp; Risk Inputs'!BW22)</f>
        <v/>
      </c>
      <c r="BK21" s="18" t="str">
        <f>IF($C21="","",$J21*'Cost &amp; Risk Inputs'!BX22)</f>
        <v/>
      </c>
      <c r="BL21" s="18" t="str">
        <f>IF($C21="","",$J21*'Cost &amp; Risk Inputs'!BY22)</f>
        <v/>
      </c>
      <c r="BM21" s="18" t="str">
        <f>IF($C21="","",$J21*'Cost &amp; Risk Inputs'!BZ22)</f>
        <v/>
      </c>
      <c r="BN21" s="18" t="str">
        <f>IF($C21="","",$J21*'Cost &amp; Risk Inputs'!CA22)</f>
        <v/>
      </c>
      <c r="BO21" s="18" t="str">
        <f>IF($C21="","",$J21*'Cost &amp; Risk Inputs'!CB22)</f>
        <v/>
      </c>
      <c r="BP21" s="18" t="str">
        <f>IF($C21="","",$J21*'Cost &amp; Risk Inputs'!CC22)</f>
        <v/>
      </c>
      <c r="BQ21" s="18" t="str">
        <f>IF($C21="","",$J21*'Cost &amp; Risk Inputs'!CD22)</f>
        <v/>
      </c>
      <c r="BR21" s="18" t="str">
        <f>IF($C21="","",$J21*'Cost &amp; Risk Inputs'!CE22)</f>
        <v/>
      </c>
      <c r="BS21" s="18" t="str">
        <f>IF($C21="","",$J21*'Cost &amp; Risk Inputs'!CF22)</f>
        <v/>
      </c>
      <c r="BT21" s="18" t="str">
        <f>IF($C21="","",$J21*'Cost &amp; Risk Inputs'!CG22)</f>
        <v/>
      </c>
      <c r="BU21" s="18" t="str">
        <f>IF($C21="","",$J21*'Cost &amp; Risk Inputs'!CH22)</f>
        <v/>
      </c>
      <c r="BV21" s="18" t="str">
        <f>IF($C21="","",$J21*'Cost &amp; Risk Inputs'!CI22)</f>
        <v/>
      </c>
      <c r="BW21" s="18" t="str">
        <f>IF($C21="","",$J21*'Cost &amp; Risk Inputs'!CJ22)</f>
        <v/>
      </c>
      <c r="BX21" s="18" t="str">
        <f>IF($C21="","",$J21*'Cost &amp; Risk Inputs'!CK22)</f>
        <v/>
      </c>
      <c r="BY21" s="18" t="str">
        <f>IF($C21="","",$J21*'Cost &amp; Risk Inputs'!CL22)</f>
        <v/>
      </c>
      <c r="BZ21" s="18" t="str">
        <f>IF($C21="","",$J21*'Cost &amp; Risk Inputs'!CM22)</f>
        <v/>
      </c>
      <c r="CA21" s="18" t="str">
        <f>IF($C21="","",$J21*'Cost &amp; Risk Inputs'!CN22)</f>
        <v/>
      </c>
      <c r="CB21" s="18" t="str">
        <f>IF($C21="","",$J21*'Cost &amp; Risk Inputs'!CO22)</f>
        <v/>
      </c>
      <c r="CC21" s="18" t="str">
        <f>IF($C21="","",$J21*'Cost &amp; Risk Inputs'!CP22)</f>
        <v/>
      </c>
      <c r="CD21" s="18" t="str">
        <f>IF($C21="","",$J21*'Cost &amp; Risk Inputs'!CQ22)</f>
        <v/>
      </c>
      <c r="CE21" s="18" t="str">
        <f>IF($C21="","",$J21*'Cost &amp; Risk Inputs'!CR22)</f>
        <v/>
      </c>
      <c r="CF21" s="18" t="str">
        <f>IF($C21="","",$J21*'Cost &amp; Risk Inputs'!CS22)</f>
        <v/>
      </c>
      <c r="CG21" s="18" t="str">
        <f>IF($C21="","",$J21*'Cost &amp; Risk Inputs'!CT22)</f>
        <v/>
      </c>
      <c r="CH21" s="18" t="str">
        <f>IF($C21="","",$J21*'Cost &amp; Risk Inputs'!CU22)</f>
        <v/>
      </c>
      <c r="CI21" s="18" t="str">
        <f>IF($C21="","",$J21*'Cost &amp; Risk Inputs'!CV22)</f>
        <v/>
      </c>
      <c r="CJ21" s="18" t="str">
        <f>IF($C21="","",$J21*'Cost &amp; Risk Inputs'!CW22)</f>
        <v/>
      </c>
      <c r="CK21" s="18" t="str">
        <f>IF($C21="","",$J21*'Cost &amp; Risk Inputs'!CX22)</f>
        <v/>
      </c>
      <c r="CL21" s="18" t="str">
        <f>IF($C21="","",$J21*'Cost &amp; Risk Inputs'!CY22)</f>
        <v/>
      </c>
      <c r="CM21" s="18" t="str">
        <f>IF($C21="","",$J21*'Cost &amp; Risk Inputs'!CZ22)</f>
        <v/>
      </c>
      <c r="CN21" s="18" t="str">
        <f>IF($C21="","",$J21*'Cost &amp; Risk Inputs'!DA22)</f>
        <v/>
      </c>
      <c r="CO21" s="18" t="str">
        <f>IF($C21="","",$J21*'Cost &amp; Risk Inputs'!DB22)</f>
        <v/>
      </c>
      <c r="CP21" s="18" t="str">
        <f>IF($C21="","",$J21*'Cost &amp; Risk Inputs'!DC22)</f>
        <v/>
      </c>
      <c r="CQ21" s="18" t="str">
        <f>IF($C21="","",$J21*'Cost &amp; Risk Inputs'!DD22)</f>
        <v/>
      </c>
      <c r="CR21" s="18" t="str">
        <f>IF($C21="","",$J21*'Cost &amp; Risk Inputs'!DE22)</f>
        <v/>
      </c>
      <c r="CS21" s="18" t="str">
        <f>IF($C21="","",$J21*'Cost &amp; Risk Inputs'!DF22)</f>
        <v/>
      </c>
      <c r="CT21" s="18" t="str">
        <f>IF($C21="","",$J21*'Cost &amp; Risk Inputs'!DG22)</f>
        <v/>
      </c>
      <c r="CU21" s="18" t="str">
        <f>IF($C21="","",$J21*'Cost &amp; Risk Inputs'!DH22)</f>
        <v/>
      </c>
      <c r="CV21" s="18" t="str">
        <f>IF($C21="","",$J21*'Cost &amp; Risk Inputs'!DI22)</f>
        <v/>
      </c>
      <c r="CW21" s="18" t="str">
        <f>IF($C21="","",$J21*'Cost &amp; Risk Inputs'!DJ22)</f>
        <v/>
      </c>
      <c r="CX21" s="18" t="str">
        <f>IF($C21="","",$J21*'Cost &amp; Risk Inputs'!DK22)</f>
        <v/>
      </c>
      <c r="CZ21" s="18">
        <f t="shared" ca="1" si="1"/>
        <v>0</v>
      </c>
      <c r="DA21" s="18">
        <f t="shared" si="2"/>
        <v>0</v>
      </c>
    </row>
    <row r="22" spans="3:105" x14ac:dyDescent="0.3">
      <c r="C22" s="4" t="str">
        <f>IF('Cost &amp; Risk Inputs'!C23="","",'Cost &amp; Risk Inputs'!C23)</f>
        <v/>
      </c>
      <c r="D22" s="4" t="str">
        <f>IF(C22="","",'Cost &amp; Risk Inputs'!F23)</f>
        <v/>
      </c>
      <c r="E22" s="19" t="str">
        <f>IF(C22="","",'Cost &amp; Risk Inputs'!J23)</f>
        <v/>
      </c>
      <c r="F22" s="19" t="str">
        <f>IF(C22="","",'Cost &amp; Risk Inputs'!K23)</f>
        <v/>
      </c>
      <c r="G22" s="19" t="str">
        <f>IF(C22="","",'Cost &amp; Risk Inputs'!L23)</f>
        <v/>
      </c>
      <c r="I22" s="18" t="str">
        <f t="shared" si="0"/>
        <v/>
      </c>
      <c r="J22" s="23" t="str">
        <f>IF(C22="","",'Cost &amp; Risk Inputs'!U23/INDEX('Global Constants'!$F$24:$CQ$33,MATCH(D22,Inflation_List,0),MATCH(G22,FY,0)))</f>
        <v/>
      </c>
      <c r="M22" s="18" t="str">
        <f>IF($C22="","",$J22*'Cost &amp; Risk Inputs'!Z23)</f>
        <v/>
      </c>
      <c r="N22" s="18" t="str">
        <f>IF($C22="","",$J22*'Cost &amp; Risk Inputs'!AA23)</f>
        <v/>
      </c>
      <c r="O22" s="18" t="str">
        <f>IF($C22="","",$J22*'Cost &amp; Risk Inputs'!AB23)</f>
        <v/>
      </c>
      <c r="P22" s="18" t="str">
        <f>IF($C22="","",$J22*'Cost &amp; Risk Inputs'!AC23)</f>
        <v/>
      </c>
      <c r="Q22" s="18" t="str">
        <f>IF($C22="","",$J22*'Cost &amp; Risk Inputs'!AD23)</f>
        <v/>
      </c>
      <c r="R22" s="18" t="str">
        <f>IF($C22="","",$J22*'Cost &amp; Risk Inputs'!AE23)</f>
        <v/>
      </c>
      <c r="S22" s="18" t="str">
        <f>IF($C22="","",$J22*'Cost &amp; Risk Inputs'!AF23)</f>
        <v/>
      </c>
      <c r="T22" s="18" t="str">
        <f>IF($C22="","",$J22*'Cost &amp; Risk Inputs'!AG23)</f>
        <v/>
      </c>
      <c r="U22" s="18" t="str">
        <f>IF($C22="","",$J22*'Cost &amp; Risk Inputs'!AH23)</f>
        <v/>
      </c>
      <c r="V22" s="18" t="str">
        <f>IF($C22="","",$J22*'Cost &amp; Risk Inputs'!AI23)</f>
        <v/>
      </c>
      <c r="W22" s="18" t="str">
        <f>IF($C22="","",$J22*'Cost &amp; Risk Inputs'!AJ23)</f>
        <v/>
      </c>
      <c r="X22" s="18" t="str">
        <f>IF($C22="","",$J22*'Cost &amp; Risk Inputs'!AK23)</f>
        <v/>
      </c>
      <c r="Y22" s="18" t="str">
        <f>IF($C22="","",$J22*'Cost &amp; Risk Inputs'!AL23)</f>
        <v/>
      </c>
      <c r="Z22" s="18" t="str">
        <f>IF($C22="","",$J22*'Cost &amp; Risk Inputs'!AM23)</f>
        <v/>
      </c>
      <c r="AA22" s="18" t="str">
        <f>IF($C22="","",$J22*'Cost &amp; Risk Inputs'!AN23)</f>
        <v/>
      </c>
      <c r="AB22" s="18" t="str">
        <f>IF($C22="","",$J22*'Cost &amp; Risk Inputs'!AO23)</f>
        <v/>
      </c>
      <c r="AC22" s="18" t="str">
        <f>IF($C22="","",$J22*'Cost &amp; Risk Inputs'!AP23)</f>
        <v/>
      </c>
      <c r="AD22" s="18" t="str">
        <f>IF($C22="","",$J22*'Cost &amp; Risk Inputs'!AQ23)</f>
        <v/>
      </c>
      <c r="AE22" s="18" t="str">
        <f>IF($C22="","",$J22*'Cost &amp; Risk Inputs'!AR23)</f>
        <v/>
      </c>
      <c r="AF22" s="18" t="str">
        <f>IF($C22="","",$J22*'Cost &amp; Risk Inputs'!AS23)</f>
        <v/>
      </c>
      <c r="AG22" s="18" t="str">
        <f>IF($C22="","",$J22*'Cost &amp; Risk Inputs'!AT23)</f>
        <v/>
      </c>
      <c r="AH22" s="18" t="str">
        <f>IF($C22="","",$J22*'Cost &amp; Risk Inputs'!AU23)</f>
        <v/>
      </c>
      <c r="AI22" s="18" t="str">
        <f>IF($C22="","",$J22*'Cost &amp; Risk Inputs'!AV23)</f>
        <v/>
      </c>
      <c r="AJ22" s="18" t="str">
        <f>IF($C22="","",$J22*'Cost &amp; Risk Inputs'!AW23)</f>
        <v/>
      </c>
      <c r="AK22" s="18" t="str">
        <f>IF($C22="","",$J22*'Cost &amp; Risk Inputs'!AX23)</f>
        <v/>
      </c>
      <c r="AL22" s="18" t="str">
        <f>IF($C22="","",$J22*'Cost &amp; Risk Inputs'!AY23)</f>
        <v/>
      </c>
      <c r="AM22" s="18" t="str">
        <f>IF($C22="","",$J22*'Cost &amp; Risk Inputs'!AZ23)</f>
        <v/>
      </c>
      <c r="AN22" s="18" t="str">
        <f>IF($C22="","",$J22*'Cost &amp; Risk Inputs'!BA23)</f>
        <v/>
      </c>
      <c r="AO22" s="18" t="str">
        <f>IF($C22="","",$J22*'Cost &amp; Risk Inputs'!BB23)</f>
        <v/>
      </c>
      <c r="AP22" s="18" t="str">
        <f>IF($C22="","",$J22*'Cost &amp; Risk Inputs'!BC23)</f>
        <v/>
      </c>
      <c r="AQ22" s="18" t="str">
        <f>IF($C22="","",$J22*'Cost &amp; Risk Inputs'!BD23)</f>
        <v/>
      </c>
      <c r="AR22" s="18" t="str">
        <f>IF($C22="","",$J22*'Cost &amp; Risk Inputs'!BE23)</f>
        <v/>
      </c>
      <c r="AS22" s="18" t="str">
        <f>IF($C22="","",$J22*'Cost &amp; Risk Inputs'!BF23)</f>
        <v/>
      </c>
      <c r="AT22" s="18" t="str">
        <f>IF($C22="","",$J22*'Cost &amp; Risk Inputs'!BG23)</f>
        <v/>
      </c>
      <c r="AU22" s="18" t="str">
        <f>IF($C22="","",$J22*'Cost &amp; Risk Inputs'!BH23)</f>
        <v/>
      </c>
      <c r="AV22" s="18" t="str">
        <f>IF($C22="","",$J22*'Cost &amp; Risk Inputs'!BI23)</f>
        <v/>
      </c>
      <c r="AW22" s="18" t="str">
        <f>IF($C22="","",$J22*'Cost &amp; Risk Inputs'!BJ23)</f>
        <v/>
      </c>
      <c r="AX22" s="18" t="str">
        <f>IF($C22="","",$J22*'Cost &amp; Risk Inputs'!BK23)</f>
        <v/>
      </c>
      <c r="AY22" s="18" t="str">
        <f>IF($C22="","",$J22*'Cost &amp; Risk Inputs'!BL23)</f>
        <v/>
      </c>
      <c r="AZ22" s="18" t="str">
        <f>IF($C22="","",$J22*'Cost &amp; Risk Inputs'!BM23)</f>
        <v/>
      </c>
      <c r="BA22" s="18" t="str">
        <f>IF($C22="","",$J22*'Cost &amp; Risk Inputs'!BN23)</f>
        <v/>
      </c>
      <c r="BB22" s="18" t="str">
        <f>IF($C22="","",$J22*'Cost &amp; Risk Inputs'!BO23)</f>
        <v/>
      </c>
      <c r="BC22" s="18" t="str">
        <f>IF($C22="","",$J22*'Cost &amp; Risk Inputs'!BP23)</f>
        <v/>
      </c>
      <c r="BD22" s="18" t="str">
        <f>IF($C22="","",$J22*'Cost &amp; Risk Inputs'!BQ23)</f>
        <v/>
      </c>
      <c r="BE22" s="18" t="str">
        <f>IF($C22="","",$J22*'Cost &amp; Risk Inputs'!BR23)</f>
        <v/>
      </c>
      <c r="BF22" s="18" t="str">
        <f>IF($C22="","",$J22*'Cost &amp; Risk Inputs'!BS23)</f>
        <v/>
      </c>
      <c r="BG22" s="18" t="str">
        <f>IF($C22="","",$J22*'Cost &amp; Risk Inputs'!BT23)</f>
        <v/>
      </c>
      <c r="BH22" s="18" t="str">
        <f>IF($C22="","",$J22*'Cost &amp; Risk Inputs'!BU23)</f>
        <v/>
      </c>
      <c r="BI22" s="18" t="str">
        <f>IF($C22="","",$J22*'Cost &amp; Risk Inputs'!BV23)</f>
        <v/>
      </c>
      <c r="BJ22" s="18" t="str">
        <f>IF($C22="","",$J22*'Cost &amp; Risk Inputs'!BW23)</f>
        <v/>
      </c>
      <c r="BK22" s="18" t="str">
        <f>IF($C22="","",$J22*'Cost &amp; Risk Inputs'!BX23)</f>
        <v/>
      </c>
      <c r="BL22" s="18" t="str">
        <f>IF($C22="","",$J22*'Cost &amp; Risk Inputs'!BY23)</f>
        <v/>
      </c>
      <c r="BM22" s="18" t="str">
        <f>IF($C22="","",$J22*'Cost &amp; Risk Inputs'!BZ23)</f>
        <v/>
      </c>
      <c r="BN22" s="18" t="str">
        <f>IF($C22="","",$J22*'Cost &amp; Risk Inputs'!CA23)</f>
        <v/>
      </c>
      <c r="BO22" s="18" t="str">
        <f>IF($C22="","",$J22*'Cost &amp; Risk Inputs'!CB23)</f>
        <v/>
      </c>
      <c r="BP22" s="18" t="str">
        <f>IF($C22="","",$J22*'Cost &amp; Risk Inputs'!CC23)</f>
        <v/>
      </c>
      <c r="BQ22" s="18" t="str">
        <f>IF($C22="","",$J22*'Cost &amp; Risk Inputs'!CD23)</f>
        <v/>
      </c>
      <c r="BR22" s="18" t="str">
        <f>IF($C22="","",$J22*'Cost &amp; Risk Inputs'!CE23)</f>
        <v/>
      </c>
      <c r="BS22" s="18" t="str">
        <f>IF($C22="","",$J22*'Cost &amp; Risk Inputs'!CF23)</f>
        <v/>
      </c>
      <c r="BT22" s="18" t="str">
        <f>IF($C22="","",$J22*'Cost &amp; Risk Inputs'!CG23)</f>
        <v/>
      </c>
      <c r="BU22" s="18" t="str">
        <f>IF($C22="","",$J22*'Cost &amp; Risk Inputs'!CH23)</f>
        <v/>
      </c>
      <c r="BV22" s="18" t="str">
        <f>IF($C22="","",$J22*'Cost &amp; Risk Inputs'!CI23)</f>
        <v/>
      </c>
      <c r="BW22" s="18" t="str">
        <f>IF($C22="","",$J22*'Cost &amp; Risk Inputs'!CJ23)</f>
        <v/>
      </c>
      <c r="BX22" s="18" t="str">
        <f>IF($C22="","",$J22*'Cost &amp; Risk Inputs'!CK23)</f>
        <v/>
      </c>
      <c r="BY22" s="18" t="str">
        <f>IF($C22="","",$J22*'Cost &amp; Risk Inputs'!CL23)</f>
        <v/>
      </c>
      <c r="BZ22" s="18" t="str">
        <f>IF($C22="","",$J22*'Cost &amp; Risk Inputs'!CM23)</f>
        <v/>
      </c>
      <c r="CA22" s="18" t="str">
        <f>IF($C22="","",$J22*'Cost &amp; Risk Inputs'!CN23)</f>
        <v/>
      </c>
      <c r="CB22" s="18" t="str">
        <f>IF($C22="","",$J22*'Cost &amp; Risk Inputs'!CO23)</f>
        <v/>
      </c>
      <c r="CC22" s="18" t="str">
        <f>IF($C22="","",$J22*'Cost &amp; Risk Inputs'!CP23)</f>
        <v/>
      </c>
      <c r="CD22" s="18" t="str">
        <f>IF($C22="","",$J22*'Cost &amp; Risk Inputs'!CQ23)</f>
        <v/>
      </c>
      <c r="CE22" s="18" t="str">
        <f>IF($C22="","",$J22*'Cost &amp; Risk Inputs'!CR23)</f>
        <v/>
      </c>
      <c r="CF22" s="18" t="str">
        <f>IF($C22="","",$J22*'Cost &amp; Risk Inputs'!CS23)</f>
        <v/>
      </c>
      <c r="CG22" s="18" t="str">
        <f>IF($C22="","",$J22*'Cost &amp; Risk Inputs'!CT23)</f>
        <v/>
      </c>
      <c r="CH22" s="18" t="str">
        <f>IF($C22="","",$J22*'Cost &amp; Risk Inputs'!CU23)</f>
        <v/>
      </c>
      <c r="CI22" s="18" t="str">
        <f>IF($C22="","",$J22*'Cost &amp; Risk Inputs'!CV23)</f>
        <v/>
      </c>
      <c r="CJ22" s="18" t="str">
        <f>IF($C22="","",$J22*'Cost &amp; Risk Inputs'!CW23)</f>
        <v/>
      </c>
      <c r="CK22" s="18" t="str">
        <f>IF($C22="","",$J22*'Cost &amp; Risk Inputs'!CX23)</f>
        <v/>
      </c>
      <c r="CL22" s="18" t="str">
        <f>IF($C22="","",$J22*'Cost &amp; Risk Inputs'!CY23)</f>
        <v/>
      </c>
      <c r="CM22" s="18" t="str">
        <f>IF($C22="","",$J22*'Cost &amp; Risk Inputs'!CZ23)</f>
        <v/>
      </c>
      <c r="CN22" s="18" t="str">
        <f>IF($C22="","",$J22*'Cost &amp; Risk Inputs'!DA23)</f>
        <v/>
      </c>
      <c r="CO22" s="18" t="str">
        <f>IF($C22="","",$J22*'Cost &amp; Risk Inputs'!DB23)</f>
        <v/>
      </c>
      <c r="CP22" s="18" t="str">
        <f>IF($C22="","",$J22*'Cost &amp; Risk Inputs'!DC23)</f>
        <v/>
      </c>
      <c r="CQ22" s="18" t="str">
        <f>IF($C22="","",$J22*'Cost &amp; Risk Inputs'!DD23)</f>
        <v/>
      </c>
      <c r="CR22" s="18" t="str">
        <f>IF($C22="","",$J22*'Cost &amp; Risk Inputs'!DE23)</f>
        <v/>
      </c>
      <c r="CS22" s="18" t="str">
        <f>IF($C22="","",$J22*'Cost &amp; Risk Inputs'!DF23)</f>
        <v/>
      </c>
      <c r="CT22" s="18" t="str">
        <f>IF($C22="","",$J22*'Cost &amp; Risk Inputs'!DG23)</f>
        <v/>
      </c>
      <c r="CU22" s="18" t="str">
        <f>IF($C22="","",$J22*'Cost &amp; Risk Inputs'!DH23)</f>
        <v/>
      </c>
      <c r="CV22" s="18" t="str">
        <f>IF($C22="","",$J22*'Cost &amp; Risk Inputs'!DI23)</f>
        <v/>
      </c>
      <c r="CW22" s="18" t="str">
        <f>IF($C22="","",$J22*'Cost &amp; Risk Inputs'!DJ23)</f>
        <v/>
      </c>
      <c r="CX22" s="18" t="str">
        <f>IF($C22="","",$J22*'Cost &amp; Risk Inputs'!DK23)</f>
        <v/>
      </c>
      <c r="CZ22" s="18">
        <f t="shared" ca="1" si="1"/>
        <v>0</v>
      </c>
      <c r="DA22" s="18">
        <f t="shared" si="2"/>
        <v>0</v>
      </c>
    </row>
    <row r="23" spans="3:105" x14ac:dyDescent="0.3">
      <c r="C23" s="4" t="str">
        <f>IF('Cost &amp; Risk Inputs'!C24="","",'Cost &amp; Risk Inputs'!C24)</f>
        <v/>
      </c>
      <c r="D23" s="4" t="str">
        <f>IF(C23="","",'Cost &amp; Risk Inputs'!F24)</f>
        <v/>
      </c>
      <c r="E23" s="19" t="str">
        <f>IF(C23="","",'Cost &amp; Risk Inputs'!J24)</f>
        <v/>
      </c>
      <c r="F23" s="19" t="str">
        <f>IF(C23="","",'Cost &amp; Risk Inputs'!K24)</f>
        <v/>
      </c>
      <c r="G23" s="19" t="str">
        <f>IF(C23="","",'Cost &amp; Risk Inputs'!L24)</f>
        <v/>
      </c>
      <c r="I23" s="18" t="str">
        <f t="shared" si="0"/>
        <v/>
      </c>
      <c r="J23" s="23" t="str">
        <f>IF(C23="","",'Cost &amp; Risk Inputs'!U24/INDEX('Global Constants'!$F$24:$CQ$33,MATCH(D23,Inflation_List,0),MATCH(G23,FY,0)))</f>
        <v/>
      </c>
      <c r="M23" s="18" t="str">
        <f>IF($C23="","",$J23*'Cost &amp; Risk Inputs'!Z24)</f>
        <v/>
      </c>
      <c r="N23" s="18" t="str">
        <f>IF($C23="","",$J23*'Cost &amp; Risk Inputs'!AA24)</f>
        <v/>
      </c>
      <c r="O23" s="18" t="str">
        <f>IF($C23="","",$J23*'Cost &amp; Risk Inputs'!AB24)</f>
        <v/>
      </c>
      <c r="P23" s="18" t="str">
        <f>IF($C23="","",$J23*'Cost &amp; Risk Inputs'!AC24)</f>
        <v/>
      </c>
      <c r="Q23" s="18" t="str">
        <f>IF($C23="","",$J23*'Cost &amp; Risk Inputs'!AD24)</f>
        <v/>
      </c>
      <c r="R23" s="18" t="str">
        <f>IF($C23="","",$J23*'Cost &amp; Risk Inputs'!AE24)</f>
        <v/>
      </c>
      <c r="S23" s="18" t="str">
        <f>IF($C23="","",$J23*'Cost &amp; Risk Inputs'!AF24)</f>
        <v/>
      </c>
      <c r="T23" s="18" t="str">
        <f>IF($C23="","",$J23*'Cost &amp; Risk Inputs'!AG24)</f>
        <v/>
      </c>
      <c r="U23" s="18" t="str">
        <f>IF($C23="","",$J23*'Cost &amp; Risk Inputs'!AH24)</f>
        <v/>
      </c>
      <c r="V23" s="18" t="str">
        <f>IF($C23="","",$J23*'Cost &amp; Risk Inputs'!AI24)</f>
        <v/>
      </c>
      <c r="W23" s="18" t="str">
        <f>IF($C23="","",$J23*'Cost &amp; Risk Inputs'!AJ24)</f>
        <v/>
      </c>
      <c r="X23" s="18" t="str">
        <f>IF($C23="","",$J23*'Cost &amp; Risk Inputs'!AK24)</f>
        <v/>
      </c>
      <c r="Y23" s="18" t="str">
        <f>IF($C23="","",$J23*'Cost &amp; Risk Inputs'!AL24)</f>
        <v/>
      </c>
      <c r="Z23" s="18" t="str">
        <f>IF($C23="","",$J23*'Cost &amp; Risk Inputs'!AM24)</f>
        <v/>
      </c>
      <c r="AA23" s="18" t="str">
        <f>IF($C23="","",$J23*'Cost &amp; Risk Inputs'!AN24)</f>
        <v/>
      </c>
      <c r="AB23" s="18" t="str">
        <f>IF($C23="","",$J23*'Cost &amp; Risk Inputs'!AO24)</f>
        <v/>
      </c>
      <c r="AC23" s="18" t="str">
        <f>IF($C23="","",$J23*'Cost &amp; Risk Inputs'!AP24)</f>
        <v/>
      </c>
      <c r="AD23" s="18" t="str">
        <f>IF($C23="","",$J23*'Cost &amp; Risk Inputs'!AQ24)</f>
        <v/>
      </c>
      <c r="AE23" s="18" t="str">
        <f>IF($C23="","",$J23*'Cost &amp; Risk Inputs'!AR24)</f>
        <v/>
      </c>
      <c r="AF23" s="18" t="str">
        <f>IF($C23="","",$J23*'Cost &amp; Risk Inputs'!AS24)</f>
        <v/>
      </c>
      <c r="AG23" s="18" t="str">
        <f>IF($C23="","",$J23*'Cost &amp; Risk Inputs'!AT24)</f>
        <v/>
      </c>
      <c r="AH23" s="18" t="str">
        <f>IF($C23="","",$J23*'Cost &amp; Risk Inputs'!AU24)</f>
        <v/>
      </c>
      <c r="AI23" s="18" t="str">
        <f>IF($C23="","",$J23*'Cost &amp; Risk Inputs'!AV24)</f>
        <v/>
      </c>
      <c r="AJ23" s="18" t="str">
        <f>IF($C23="","",$J23*'Cost &amp; Risk Inputs'!AW24)</f>
        <v/>
      </c>
      <c r="AK23" s="18" t="str">
        <f>IF($C23="","",$J23*'Cost &amp; Risk Inputs'!AX24)</f>
        <v/>
      </c>
      <c r="AL23" s="18" t="str">
        <f>IF($C23="","",$J23*'Cost &amp; Risk Inputs'!AY24)</f>
        <v/>
      </c>
      <c r="AM23" s="18" t="str">
        <f>IF($C23="","",$J23*'Cost &amp; Risk Inputs'!AZ24)</f>
        <v/>
      </c>
      <c r="AN23" s="18" t="str">
        <f>IF($C23="","",$J23*'Cost &amp; Risk Inputs'!BA24)</f>
        <v/>
      </c>
      <c r="AO23" s="18" t="str">
        <f>IF($C23="","",$J23*'Cost &amp; Risk Inputs'!BB24)</f>
        <v/>
      </c>
      <c r="AP23" s="18" t="str">
        <f>IF($C23="","",$J23*'Cost &amp; Risk Inputs'!BC24)</f>
        <v/>
      </c>
      <c r="AQ23" s="18" t="str">
        <f>IF($C23="","",$J23*'Cost &amp; Risk Inputs'!BD24)</f>
        <v/>
      </c>
      <c r="AR23" s="18" t="str">
        <f>IF($C23="","",$J23*'Cost &amp; Risk Inputs'!BE24)</f>
        <v/>
      </c>
      <c r="AS23" s="18" t="str">
        <f>IF($C23="","",$J23*'Cost &amp; Risk Inputs'!BF24)</f>
        <v/>
      </c>
      <c r="AT23" s="18" t="str">
        <f>IF($C23="","",$J23*'Cost &amp; Risk Inputs'!BG24)</f>
        <v/>
      </c>
      <c r="AU23" s="18" t="str">
        <f>IF($C23="","",$J23*'Cost &amp; Risk Inputs'!BH24)</f>
        <v/>
      </c>
      <c r="AV23" s="18" t="str">
        <f>IF($C23="","",$J23*'Cost &amp; Risk Inputs'!BI24)</f>
        <v/>
      </c>
      <c r="AW23" s="18" t="str">
        <f>IF($C23="","",$J23*'Cost &amp; Risk Inputs'!BJ24)</f>
        <v/>
      </c>
      <c r="AX23" s="18" t="str">
        <f>IF($C23="","",$J23*'Cost &amp; Risk Inputs'!BK24)</f>
        <v/>
      </c>
      <c r="AY23" s="18" t="str">
        <f>IF($C23="","",$J23*'Cost &amp; Risk Inputs'!BL24)</f>
        <v/>
      </c>
      <c r="AZ23" s="18" t="str">
        <f>IF($C23="","",$J23*'Cost &amp; Risk Inputs'!BM24)</f>
        <v/>
      </c>
      <c r="BA23" s="18" t="str">
        <f>IF($C23="","",$J23*'Cost &amp; Risk Inputs'!BN24)</f>
        <v/>
      </c>
      <c r="BB23" s="18" t="str">
        <f>IF($C23="","",$J23*'Cost &amp; Risk Inputs'!BO24)</f>
        <v/>
      </c>
      <c r="BC23" s="18" t="str">
        <f>IF($C23="","",$J23*'Cost &amp; Risk Inputs'!BP24)</f>
        <v/>
      </c>
      <c r="BD23" s="18" t="str">
        <f>IF($C23="","",$J23*'Cost &amp; Risk Inputs'!BQ24)</f>
        <v/>
      </c>
      <c r="BE23" s="18" t="str">
        <f>IF($C23="","",$J23*'Cost &amp; Risk Inputs'!BR24)</f>
        <v/>
      </c>
      <c r="BF23" s="18" t="str">
        <f>IF($C23="","",$J23*'Cost &amp; Risk Inputs'!BS24)</f>
        <v/>
      </c>
      <c r="BG23" s="18" t="str">
        <f>IF($C23="","",$J23*'Cost &amp; Risk Inputs'!BT24)</f>
        <v/>
      </c>
      <c r="BH23" s="18" t="str">
        <f>IF($C23="","",$J23*'Cost &amp; Risk Inputs'!BU24)</f>
        <v/>
      </c>
      <c r="BI23" s="18" t="str">
        <f>IF($C23="","",$J23*'Cost &amp; Risk Inputs'!BV24)</f>
        <v/>
      </c>
      <c r="BJ23" s="18" t="str">
        <f>IF($C23="","",$J23*'Cost &amp; Risk Inputs'!BW24)</f>
        <v/>
      </c>
      <c r="BK23" s="18" t="str">
        <f>IF($C23="","",$J23*'Cost &amp; Risk Inputs'!BX24)</f>
        <v/>
      </c>
      <c r="BL23" s="18" t="str">
        <f>IF($C23="","",$J23*'Cost &amp; Risk Inputs'!BY24)</f>
        <v/>
      </c>
      <c r="BM23" s="18" t="str">
        <f>IF($C23="","",$J23*'Cost &amp; Risk Inputs'!BZ24)</f>
        <v/>
      </c>
      <c r="BN23" s="18" t="str">
        <f>IF($C23="","",$J23*'Cost &amp; Risk Inputs'!CA24)</f>
        <v/>
      </c>
      <c r="BO23" s="18" t="str">
        <f>IF($C23="","",$J23*'Cost &amp; Risk Inputs'!CB24)</f>
        <v/>
      </c>
      <c r="BP23" s="18" t="str">
        <f>IF($C23="","",$J23*'Cost &amp; Risk Inputs'!CC24)</f>
        <v/>
      </c>
      <c r="BQ23" s="18" t="str">
        <f>IF($C23="","",$J23*'Cost &amp; Risk Inputs'!CD24)</f>
        <v/>
      </c>
      <c r="BR23" s="18" t="str">
        <f>IF($C23="","",$J23*'Cost &amp; Risk Inputs'!CE24)</f>
        <v/>
      </c>
      <c r="BS23" s="18" t="str">
        <f>IF($C23="","",$J23*'Cost &amp; Risk Inputs'!CF24)</f>
        <v/>
      </c>
      <c r="BT23" s="18" t="str">
        <f>IF($C23="","",$J23*'Cost &amp; Risk Inputs'!CG24)</f>
        <v/>
      </c>
      <c r="BU23" s="18" t="str">
        <f>IF($C23="","",$J23*'Cost &amp; Risk Inputs'!CH24)</f>
        <v/>
      </c>
      <c r="BV23" s="18" t="str">
        <f>IF($C23="","",$J23*'Cost &amp; Risk Inputs'!CI24)</f>
        <v/>
      </c>
      <c r="BW23" s="18" t="str">
        <f>IF($C23="","",$J23*'Cost &amp; Risk Inputs'!CJ24)</f>
        <v/>
      </c>
      <c r="BX23" s="18" t="str">
        <f>IF($C23="","",$J23*'Cost &amp; Risk Inputs'!CK24)</f>
        <v/>
      </c>
      <c r="BY23" s="18" t="str">
        <f>IF($C23="","",$J23*'Cost &amp; Risk Inputs'!CL24)</f>
        <v/>
      </c>
      <c r="BZ23" s="18" t="str">
        <f>IF($C23="","",$J23*'Cost &amp; Risk Inputs'!CM24)</f>
        <v/>
      </c>
      <c r="CA23" s="18" t="str">
        <f>IF($C23="","",$J23*'Cost &amp; Risk Inputs'!CN24)</f>
        <v/>
      </c>
      <c r="CB23" s="18" t="str">
        <f>IF($C23="","",$J23*'Cost &amp; Risk Inputs'!CO24)</f>
        <v/>
      </c>
      <c r="CC23" s="18" t="str">
        <f>IF($C23="","",$J23*'Cost &amp; Risk Inputs'!CP24)</f>
        <v/>
      </c>
      <c r="CD23" s="18" t="str">
        <f>IF($C23="","",$J23*'Cost &amp; Risk Inputs'!CQ24)</f>
        <v/>
      </c>
      <c r="CE23" s="18" t="str">
        <f>IF($C23="","",$J23*'Cost &amp; Risk Inputs'!CR24)</f>
        <v/>
      </c>
      <c r="CF23" s="18" t="str">
        <f>IF($C23="","",$J23*'Cost &amp; Risk Inputs'!CS24)</f>
        <v/>
      </c>
      <c r="CG23" s="18" t="str">
        <f>IF($C23="","",$J23*'Cost &amp; Risk Inputs'!CT24)</f>
        <v/>
      </c>
      <c r="CH23" s="18" t="str">
        <f>IF($C23="","",$J23*'Cost &amp; Risk Inputs'!CU24)</f>
        <v/>
      </c>
      <c r="CI23" s="18" t="str">
        <f>IF($C23="","",$J23*'Cost &amp; Risk Inputs'!CV24)</f>
        <v/>
      </c>
      <c r="CJ23" s="18" t="str">
        <f>IF($C23="","",$J23*'Cost &amp; Risk Inputs'!CW24)</f>
        <v/>
      </c>
      <c r="CK23" s="18" t="str">
        <f>IF($C23="","",$J23*'Cost &amp; Risk Inputs'!CX24)</f>
        <v/>
      </c>
      <c r="CL23" s="18" t="str">
        <f>IF($C23="","",$J23*'Cost &amp; Risk Inputs'!CY24)</f>
        <v/>
      </c>
      <c r="CM23" s="18" t="str">
        <f>IF($C23="","",$J23*'Cost &amp; Risk Inputs'!CZ24)</f>
        <v/>
      </c>
      <c r="CN23" s="18" t="str">
        <f>IF($C23="","",$J23*'Cost &amp; Risk Inputs'!DA24)</f>
        <v/>
      </c>
      <c r="CO23" s="18" t="str">
        <f>IF($C23="","",$J23*'Cost &amp; Risk Inputs'!DB24)</f>
        <v/>
      </c>
      <c r="CP23" s="18" t="str">
        <f>IF($C23="","",$J23*'Cost &amp; Risk Inputs'!DC24)</f>
        <v/>
      </c>
      <c r="CQ23" s="18" t="str">
        <f>IF($C23="","",$J23*'Cost &amp; Risk Inputs'!DD24)</f>
        <v/>
      </c>
      <c r="CR23" s="18" t="str">
        <f>IF($C23="","",$J23*'Cost &amp; Risk Inputs'!DE24)</f>
        <v/>
      </c>
      <c r="CS23" s="18" t="str">
        <f>IF($C23="","",$J23*'Cost &amp; Risk Inputs'!DF24)</f>
        <v/>
      </c>
      <c r="CT23" s="18" t="str">
        <f>IF($C23="","",$J23*'Cost &amp; Risk Inputs'!DG24)</f>
        <v/>
      </c>
      <c r="CU23" s="18" t="str">
        <f>IF($C23="","",$J23*'Cost &amp; Risk Inputs'!DH24)</f>
        <v/>
      </c>
      <c r="CV23" s="18" t="str">
        <f>IF($C23="","",$J23*'Cost &amp; Risk Inputs'!DI24)</f>
        <v/>
      </c>
      <c r="CW23" s="18" t="str">
        <f>IF($C23="","",$J23*'Cost &amp; Risk Inputs'!DJ24)</f>
        <v/>
      </c>
      <c r="CX23" s="18" t="str">
        <f>IF($C23="","",$J23*'Cost &amp; Risk Inputs'!DK24)</f>
        <v/>
      </c>
      <c r="CZ23" s="18">
        <f t="shared" ca="1" si="1"/>
        <v>0</v>
      </c>
      <c r="DA23" s="18">
        <f t="shared" si="2"/>
        <v>0</v>
      </c>
    </row>
    <row r="24" spans="3:105" x14ac:dyDescent="0.3">
      <c r="C24" s="4" t="str">
        <f>IF('Cost &amp; Risk Inputs'!C25="","",'Cost &amp; Risk Inputs'!C25)</f>
        <v/>
      </c>
      <c r="D24" s="4" t="str">
        <f>IF(C24="","",'Cost &amp; Risk Inputs'!F25)</f>
        <v/>
      </c>
      <c r="E24" s="19" t="str">
        <f>IF(C24="","",'Cost &amp; Risk Inputs'!J25)</f>
        <v/>
      </c>
      <c r="F24" s="19" t="str">
        <f>IF(C24="","",'Cost &amp; Risk Inputs'!K25)</f>
        <v/>
      </c>
      <c r="G24" s="19" t="str">
        <f>IF(C24="","",'Cost &amp; Risk Inputs'!L25)</f>
        <v/>
      </c>
      <c r="I24" s="18" t="str">
        <f t="shared" si="0"/>
        <v/>
      </c>
      <c r="J24" s="23" t="str">
        <f>IF(C24="","",'Cost &amp; Risk Inputs'!U25/INDEX('Global Constants'!$F$24:$CQ$33,MATCH(D24,Inflation_List,0),MATCH(G24,FY,0)))</f>
        <v/>
      </c>
      <c r="M24" s="18" t="str">
        <f>IF($C24="","",$J24*'Cost &amp; Risk Inputs'!Z25)</f>
        <v/>
      </c>
      <c r="N24" s="18" t="str">
        <f>IF($C24="","",$J24*'Cost &amp; Risk Inputs'!AA25)</f>
        <v/>
      </c>
      <c r="O24" s="18" t="str">
        <f>IF($C24="","",$J24*'Cost &amp; Risk Inputs'!AB25)</f>
        <v/>
      </c>
      <c r="P24" s="18" t="str">
        <f>IF($C24="","",$J24*'Cost &amp; Risk Inputs'!AC25)</f>
        <v/>
      </c>
      <c r="Q24" s="18" t="str">
        <f>IF($C24="","",$J24*'Cost &amp; Risk Inputs'!AD25)</f>
        <v/>
      </c>
      <c r="R24" s="18" t="str">
        <f>IF($C24="","",$J24*'Cost &amp; Risk Inputs'!AE25)</f>
        <v/>
      </c>
      <c r="S24" s="18" t="str">
        <f>IF($C24="","",$J24*'Cost &amp; Risk Inputs'!AF25)</f>
        <v/>
      </c>
      <c r="T24" s="18" t="str">
        <f>IF($C24="","",$J24*'Cost &amp; Risk Inputs'!AG25)</f>
        <v/>
      </c>
      <c r="U24" s="18" t="str">
        <f>IF($C24="","",$J24*'Cost &amp; Risk Inputs'!AH25)</f>
        <v/>
      </c>
      <c r="V24" s="18" t="str">
        <f>IF($C24="","",$J24*'Cost &amp; Risk Inputs'!AI25)</f>
        <v/>
      </c>
      <c r="W24" s="18" t="str">
        <f>IF($C24="","",$J24*'Cost &amp; Risk Inputs'!AJ25)</f>
        <v/>
      </c>
      <c r="X24" s="18" t="str">
        <f>IF($C24="","",$J24*'Cost &amp; Risk Inputs'!AK25)</f>
        <v/>
      </c>
      <c r="Y24" s="18" t="str">
        <f>IF($C24="","",$J24*'Cost &amp; Risk Inputs'!AL25)</f>
        <v/>
      </c>
      <c r="Z24" s="18" t="str">
        <f>IF($C24="","",$J24*'Cost &amp; Risk Inputs'!AM25)</f>
        <v/>
      </c>
      <c r="AA24" s="18" t="str">
        <f>IF($C24="","",$J24*'Cost &amp; Risk Inputs'!AN25)</f>
        <v/>
      </c>
      <c r="AB24" s="18" t="str">
        <f>IF($C24="","",$J24*'Cost &amp; Risk Inputs'!AO25)</f>
        <v/>
      </c>
      <c r="AC24" s="18" t="str">
        <f>IF($C24="","",$J24*'Cost &amp; Risk Inputs'!AP25)</f>
        <v/>
      </c>
      <c r="AD24" s="18" t="str">
        <f>IF($C24="","",$J24*'Cost &amp; Risk Inputs'!AQ25)</f>
        <v/>
      </c>
      <c r="AE24" s="18" t="str">
        <f>IF($C24="","",$J24*'Cost &amp; Risk Inputs'!AR25)</f>
        <v/>
      </c>
      <c r="AF24" s="18" t="str">
        <f>IF($C24="","",$J24*'Cost &amp; Risk Inputs'!AS25)</f>
        <v/>
      </c>
      <c r="AG24" s="18" t="str">
        <f>IF($C24="","",$J24*'Cost &amp; Risk Inputs'!AT25)</f>
        <v/>
      </c>
      <c r="AH24" s="18" t="str">
        <f>IF($C24="","",$J24*'Cost &amp; Risk Inputs'!AU25)</f>
        <v/>
      </c>
      <c r="AI24" s="18" t="str">
        <f>IF($C24="","",$J24*'Cost &amp; Risk Inputs'!AV25)</f>
        <v/>
      </c>
      <c r="AJ24" s="18" t="str">
        <f>IF($C24="","",$J24*'Cost &amp; Risk Inputs'!AW25)</f>
        <v/>
      </c>
      <c r="AK24" s="18" t="str">
        <f>IF($C24="","",$J24*'Cost &amp; Risk Inputs'!AX25)</f>
        <v/>
      </c>
      <c r="AL24" s="18" t="str">
        <f>IF($C24="","",$J24*'Cost &amp; Risk Inputs'!AY25)</f>
        <v/>
      </c>
      <c r="AM24" s="18" t="str">
        <f>IF($C24="","",$J24*'Cost &amp; Risk Inputs'!AZ25)</f>
        <v/>
      </c>
      <c r="AN24" s="18" t="str">
        <f>IF($C24="","",$J24*'Cost &amp; Risk Inputs'!BA25)</f>
        <v/>
      </c>
      <c r="AO24" s="18" t="str">
        <f>IF($C24="","",$J24*'Cost &amp; Risk Inputs'!BB25)</f>
        <v/>
      </c>
      <c r="AP24" s="18" t="str">
        <f>IF($C24="","",$J24*'Cost &amp; Risk Inputs'!BC25)</f>
        <v/>
      </c>
      <c r="AQ24" s="18" t="str">
        <f>IF($C24="","",$J24*'Cost &amp; Risk Inputs'!BD25)</f>
        <v/>
      </c>
      <c r="AR24" s="18" t="str">
        <f>IF($C24="","",$J24*'Cost &amp; Risk Inputs'!BE25)</f>
        <v/>
      </c>
      <c r="AS24" s="18" t="str">
        <f>IF($C24="","",$J24*'Cost &amp; Risk Inputs'!BF25)</f>
        <v/>
      </c>
      <c r="AT24" s="18" t="str">
        <f>IF($C24="","",$J24*'Cost &amp; Risk Inputs'!BG25)</f>
        <v/>
      </c>
      <c r="AU24" s="18" t="str">
        <f>IF($C24="","",$J24*'Cost &amp; Risk Inputs'!BH25)</f>
        <v/>
      </c>
      <c r="AV24" s="18" t="str">
        <f>IF($C24="","",$J24*'Cost &amp; Risk Inputs'!BI25)</f>
        <v/>
      </c>
      <c r="AW24" s="18" t="str">
        <f>IF($C24="","",$J24*'Cost &amp; Risk Inputs'!BJ25)</f>
        <v/>
      </c>
      <c r="AX24" s="18" t="str">
        <f>IF($C24="","",$J24*'Cost &amp; Risk Inputs'!BK25)</f>
        <v/>
      </c>
      <c r="AY24" s="18" t="str">
        <f>IF($C24="","",$J24*'Cost &amp; Risk Inputs'!BL25)</f>
        <v/>
      </c>
      <c r="AZ24" s="18" t="str">
        <f>IF($C24="","",$J24*'Cost &amp; Risk Inputs'!BM25)</f>
        <v/>
      </c>
      <c r="BA24" s="18" t="str">
        <f>IF($C24="","",$J24*'Cost &amp; Risk Inputs'!BN25)</f>
        <v/>
      </c>
      <c r="BB24" s="18" t="str">
        <f>IF($C24="","",$J24*'Cost &amp; Risk Inputs'!BO25)</f>
        <v/>
      </c>
      <c r="BC24" s="18" t="str">
        <f>IF($C24="","",$J24*'Cost &amp; Risk Inputs'!BP25)</f>
        <v/>
      </c>
      <c r="BD24" s="18" t="str">
        <f>IF($C24="","",$J24*'Cost &amp; Risk Inputs'!BQ25)</f>
        <v/>
      </c>
      <c r="BE24" s="18" t="str">
        <f>IF($C24="","",$J24*'Cost &amp; Risk Inputs'!BR25)</f>
        <v/>
      </c>
      <c r="BF24" s="18" t="str">
        <f>IF($C24="","",$J24*'Cost &amp; Risk Inputs'!BS25)</f>
        <v/>
      </c>
      <c r="BG24" s="18" t="str">
        <f>IF($C24="","",$J24*'Cost &amp; Risk Inputs'!BT25)</f>
        <v/>
      </c>
      <c r="BH24" s="18" t="str">
        <f>IF($C24="","",$J24*'Cost &amp; Risk Inputs'!BU25)</f>
        <v/>
      </c>
      <c r="BI24" s="18" t="str">
        <f>IF($C24="","",$J24*'Cost &amp; Risk Inputs'!BV25)</f>
        <v/>
      </c>
      <c r="BJ24" s="18" t="str">
        <f>IF($C24="","",$J24*'Cost &amp; Risk Inputs'!BW25)</f>
        <v/>
      </c>
      <c r="BK24" s="18" t="str">
        <f>IF($C24="","",$J24*'Cost &amp; Risk Inputs'!BX25)</f>
        <v/>
      </c>
      <c r="BL24" s="18" t="str">
        <f>IF($C24="","",$J24*'Cost &amp; Risk Inputs'!BY25)</f>
        <v/>
      </c>
      <c r="BM24" s="18" t="str">
        <f>IF($C24="","",$J24*'Cost &amp; Risk Inputs'!BZ25)</f>
        <v/>
      </c>
      <c r="BN24" s="18" t="str">
        <f>IF($C24="","",$J24*'Cost &amp; Risk Inputs'!CA25)</f>
        <v/>
      </c>
      <c r="BO24" s="18" t="str">
        <f>IF($C24="","",$J24*'Cost &amp; Risk Inputs'!CB25)</f>
        <v/>
      </c>
      <c r="BP24" s="18" t="str">
        <f>IF($C24="","",$J24*'Cost &amp; Risk Inputs'!CC25)</f>
        <v/>
      </c>
      <c r="BQ24" s="18" t="str">
        <f>IF($C24="","",$J24*'Cost &amp; Risk Inputs'!CD25)</f>
        <v/>
      </c>
      <c r="BR24" s="18" t="str">
        <f>IF($C24="","",$J24*'Cost &amp; Risk Inputs'!CE25)</f>
        <v/>
      </c>
      <c r="BS24" s="18" t="str">
        <f>IF($C24="","",$J24*'Cost &amp; Risk Inputs'!CF25)</f>
        <v/>
      </c>
      <c r="BT24" s="18" t="str">
        <f>IF($C24="","",$J24*'Cost &amp; Risk Inputs'!CG25)</f>
        <v/>
      </c>
      <c r="BU24" s="18" t="str">
        <f>IF($C24="","",$J24*'Cost &amp; Risk Inputs'!CH25)</f>
        <v/>
      </c>
      <c r="BV24" s="18" t="str">
        <f>IF($C24="","",$J24*'Cost &amp; Risk Inputs'!CI25)</f>
        <v/>
      </c>
      <c r="BW24" s="18" t="str">
        <f>IF($C24="","",$J24*'Cost &amp; Risk Inputs'!CJ25)</f>
        <v/>
      </c>
      <c r="BX24" s="18" t="str">
        <f>IF($C24="","",$J24*'Cost &amp; Risk Inputs'!CK25)</f>
        <v/>
      </c>
      <c r="BY24" s="18" t="str">
        <f>IF($C24="","",$J24*'Cost &amp; Risk Inputs'!CL25)</f>
        <v/>
      </c>
      <c r="BZ24" s="18" t="str">
        <f>IF($C24="","",$J24*'Cost &amp; Risk Inputs'!CM25)</f>
        <v/>
      </c>
      <c r="CA24" s="18" t="str">
        <f>IF($C24="","",$J24*'Cost &amp; Risk Inputs'!CN25)</f>
        <v/>
      </c>
      <c r="CB24" s="18" t="str">
        <f>IF($C24="","",$J24*'Cost &amp; Risk Inputs'!CO25)</f>
        <v/>
      </c>
      <c r="CC24" s="18" t="str">
        <f>IF($C24="","",$J24*'Cost &amp; Risk Inputs'!CP25)</f>
        <v/>
      </c>
      <c r="CD24" s="18" t="str">
        <f>IF($C24="","",$J24*'Cost &amp; Risk Inputs'!CQ25)</f>
        <v/>
      </c>
      <c r="CE24" s="18" t="str">
        <f>IF($C24="","",$J24*'Cost &amp; Risk Inputs'!CR25)</f>
        <v/>
      </c>
      <c r="CF24" s="18" t="str">
        <f>IF($C24="","",$J24*'Cost &amp; Risk Inputs'!CS25)</f>
        <v/>
      </c>
      <c r="CG24" s="18" t="str">
        <f>IF($C24="","",$J24*'Cost &amp; Risk Inputs'!CT25)</f>
        <v/>
      </c>
      <c r="CH24" s="18" t="str">
        <f>IF($C24="","",$J24*'Cost &amp; Risk Inputs'!CU25)</f>
        <v/>
      </c>
      <c r="CI24" s="18" t="str">
        <f>IF($C24="","",$J24*'Cost &amp; Risk Inputs'!CV25)</f>
        <v/>
      </c>
      <c r="CJ24" s="18" t="str">
        <f>IF($C24="","",$J24*'Cost &amp; Risk Inputs'!CW25)</f>
        <v/>
      </c>
      <c r="CK24" s="18" t="str">
        <f>IF($C24="","",$J24*'Cost &amp; Risk Inputs'!CX25)</f>
        <v/>
      </c>
      <c r="CL24" s="18" t="str">
        <f>IF($C24="","",$J24*'Cost &amp; Risk Inputs'!CY25)</f>
        <v/>
      </c>
      <c r="CM24" s="18" t="str">
        <f>IF($C24="","",$J24*'Cost &amp; Risk Inputs'!CZ25)</f>
        <v/>
      </c>
      <c r="CN24" s="18" t="str">
        <f>IF($C24="","",$J24*'Cost &amp; Risk Inputs'!DA25)</f>
        <v/>
      </c>
      <c r="CO24" s="18" t="str">
        <f>IF($C24="","",$J24*'Cost &amp; Risk Inputs'!DB25)</f>
        <v/>
      </c>
      <c r="CP24" s="18" t="str">
        <f>IF($C24="","",$J24*'Cost &amp; Risk Inputs'!DC25)</f>
        <v/>
      </c>
      <c r="CQ24" s="18" t="str">
        <f>IF($C24="","",$J24*'Cost &amp; Risk Inputs'!DD25)</f>
        <v/>
      </c>
      <c r="CR24" s="18" t="str">
        <f>IF($C24="","",$J24*'Cost &amp; Risk Inputs'!DE25)</f>
        <v/>
      </c>
      <c r="CS24" s="18" t="str">
        <f>IF($C24="","",$J24*'Cost &amp; Risk Inputs'!DF25)</f>
        <v/>
      </c>
      <c r="CT24" s="18" t="str">
        <f>IF($C24="","",$J24*'Cost &amp; Risk Inputs'!DG25)</f>
        <v/>
      </c>
      <c r="CU24" s="18" t="str">
        <f>IF($C24="","",$J24*'Cost &amp; Risk Inputs'!DH25)</f>
        <v/>
      </c>
      <c r="CV24" s="18" t="str">
        <f>IF($C24="","",$J24*'Cost &amp; Risk Inputs'!DI25)</f>
        <v/>
      </c>
      <c r="CW24" s="18" t="str">
        <f>IF($C24="","",$J24*'Cost &amp; Risk Inputs'!DJ25)</f>
        <v/>
      </c>
      <c r="CX24" s="18" t="str">
        <f>IF($C24="","",$J24*'Cost &amp; Risk Inputs'!DK25)</f>
        <v/>
      </c>
      <c r="CZ24" s="18">
        <f t="shared" ca="1" si="1"/>
        <v>0</v>
      </c>
      <c r="DA24" s="18">
        <f t="shared" si="2"/>
        <v>0</v>
      </c>
    </row>
    <row r="25" spans="3:105" x14ac:dyDescent="0.3">
      <c r="C25" s="4" t="str">
        <f>IF('Cost &amp; Risk Inputs'!C26="","",'Cost &amp; Risk Inputs'!C26)</f>
        <v/>
      </c>
      <c r="D25" s="4" t="str">
        <f>IF(C25="","",'Cost &amp; Risk Inputs'!F26)</f>
        <v/>
      </c>
      <c r="E25" s="19" t="str">
        <f>IF(C25="","",'Cost &amp; Risk Inputs'!J26)</f>
        <v/>
      </c>
      <c r="F25" s="19" t="str">
        <f>IF(C25="","",'Cost &amp; Risk Inputs'!K26)</f>
        <v/>
      </c>
      <c r="G25" s="19" t="str">
        <f>IF(C25="","",'Cost &amp; Risk Inputs'!L26)</f>
        <v/>
      </c>
      <c r="I25" s="18" t="str">
        <f t="shared" si="0"/>
        <v/>
      </c>
      <c r="J25" s="23" t="str">
        <f>IF(C25="","",'Cost &amp; Risk Inputs'!U26/INDEX('Global Constants'!$F$24:$CQ$33,MATCH(D25,Inflation_List,0),MATCH(G25,FY,0)))</f>
        <v/>
      </c>
      <c r="M25" s="18" t="str">
        <f>IF($C25="","",$J25*'Cost &amp; Risk Inputs'!Z26)</f>
        <v/>
      </c>
      <c r="N25" s="18" t="str">
        <f>IF($C25="","",$J25*'Cost &amp; Risk Inputs'!AA26)</f>
        <v/>
      </c>
      <c r="O25" s="18" t="str">
        <f>IF($C25="","",$J25*'Cost &amp; Risk Inputs'!AB26)</f>
        <v/>
      </c>
      <c r="P25" s="18" t="str">
        <f>IF($C25="","",$J25*'Cost &amp; Risk Inputs'!AC26)</f>
        <v/>
      </c>
      <c r="Q25" s="18" t="str">
        <f>IF($C25="","",$J25*'Cost &amp; Risk Inputs'!AD26)</f>
        <v/>
      </c>
      <c r="R25" s="18" t="str">
        <f>IF($C25="","",$J25*'Cost &amp; Risk Inputs'!AE26)</f>
        <v/>
      </c>
      <c r="S25" s="18" t="str">
        <f>IF($C25="","",$J25*'Cost &amp; Risk Inputs'!AF26)</f>
        <v/>
      </c>
      <c r="T25" s="18" t="str">
        <f>IF($C25="","",$J25*'Cost &amp; Risk Inputs'!AG26)</f>
        <v/>
      </c>
      <c r="U25" s="18" t="str">
        <f>IF($C25="","",$J25*'Cost &amp; Risk Inputs'!AH26)</f>
        <v/>
      </c>
      <c r="V25" s="18" t="str">
        <f>IF($C25="","",$J25*'Cost &amp; Risk Inputs'!AI26)</f>
        <v/>
      </c>
      <c r="W25" s="18" t="str">
        <f>IF($C25="","",$J25*'Cost &amp; Risk Inputs'!AJ26)</f>
        <v/>
      </c>
      <c r="X25" s="18" t="str">
        <f>IF($C25="","",$J25*'Cost &amp; Risk Inputs'!AK26)</f>
        <v/>
      </c>
      <c r="Y25" s="18" t="str">
        <f>IF($C25="","",$J25*'Cost &amp; Risk Inputs'!AL26)</f>
        <v/>
      </c>
      <c r="Z25" s="18" t="str">
        <f>IF($C25="","",$J25*'Cost &amp; Risk Inputs'!AM26)</f>
        <v/>
      </c>
      <c r="AA25" s="18" t="str">
        <f>IF($C25="","",$J25*'Cost &amp; Risk Inputs'!AN26)</f>
        <v/>
      </c>
      <c r="AB25" s="18" t="str">
        <f>IF($C25="","",$J25*'Cost &amp; Risk Inputs'!AO26)</f>
        <v/>
      </c>
      <c r="AC25" s="18" t="str">
        <f>IF($C25="","",$J25*'Cost &amp; Risk Inputs'!AP26)</f>
        <v/>
      </c>
      <c r="AD25" s="18" t="str">
        <f>IF($C25="","",$J25*'Cost &amp; Risk Inputs'!AQ26)</f>
        <v/>
      </c>
      <c r="AE25" s="18" t="str">
        <f>IF($C25="","",$J25*'Cost &amp; Risk Inputs'!AR26)</f>
        <v/>
      </c>
      <c r="AF25" s="18" t="str">
        <f>IF($C25="","",$J25*'Cost &amp; Risk Inputs'!AS26)</f>
        <v/>
      </c>
      <c r="AG25" s="18" t="str">
        <f>IF($C25="","",$J25*'Cost &amp; Risk Inputs'!AT26)</f>
        <v/>
      </c>
      <c r="AH25" s="18" t="str">
        <f>IF($C25="","",$J25*'Cost &amp; Risk Inputs'!AU26)</f>
        <v/>
      </c>
      <c r="AI25" s="18" t="str">
        <f>IF($C25="","",$J25*'Cost &amp; Risk Inputs'!AV26)</f>
        <v/>
      </c>
      <c r="AJ25" s="18" t="str">
        <f>IF($C25="","",$J25*'Cost &amp; Risk Inputs'!AW26)</f>
        <v/>
      </c>
      <c r="AK25" s="18" t="str">
        <f>IF($C25="","",$J25*'Cost &amp; Risk Inputs'!AX26)</f>
        <v/>
      </c>
      <c r="AL25" s="18" t="str">
        <f>IF($C25="","",$J25*'Cost &amp; Risk Inputs'!AY26)</f>
        <v/>
      </c>
      <c r="AM25" s="18" t="str">
        <f>IF($C25="","",$J25*'Cost &amp; Risk Inputs'!AZ26)</f>
        <v/>
      </c>
      <c r="AN25" s="18" t="str">
        <f>IF($C25="","",$J25*'Cost &amp; Risk Inputs'!BA26)</f>
        <v/>
      </c>
      <c r="AO25" s="18" t="str">
        <f>IF($C25="","",$J25*'Cost &amp; Risk Inputs'!BB26)</f>
        <v/>
      </c>
      <c r="AP25" s="18" t="str">
        <f>IF($C25="","",$J25*'Cost &amp; Risk Inputs'!BC26)</f>
        <v/>
      </c>
      <c r="AQ25" s="18" t="str">
        <f>IF($C25="","",$J25*'Cost &amp; Risk Inputs'!BD26)</f>
        <v/>
      </c>
      <c r="AR25" s="18" t="str">
        <f>IF($C25="","",$J25*'Cost &amp; Risk Inputs'!BE26)</f>
        <v/>
      </c>
      <c r="AS25" s="18" t="str">
        <f>IF($C25="","",$J25*'Cost &amp; Risk Inputs'!BF26)</f>
        <v/>
      </c>
      <c r="AT25" s="18" t="str">
        <f>IF($C25="","",$J25*'Cost &amp; Risk Inputs'!BG26)</f>
        <v/>
      </c>
      <c r="AU25" s="18" t="str">
        <f>IF($C25="","",$J25*'Cost &amp; Risk Inputs'!BH26)</f>
        <v/>
      </c>
      <c r="AV25" s="18" t="str">
        <f>IF($C25="","",$J25*'Cost &amp; Risk Inputs'!BI26)</f>
        <v/>
      </c>
      <c r="AW25" s="18" t="str">
        <f>IF($C25="","",$J25*'Cost &amp; Risk Inputs'!BJ26)</f>
        <v/>
      </c>
      <c r="AX25" s="18" t="str">
        <f>IF($C25="","",$J25*'Cost &amp; Risk Inputs'!BK26)</f>
        <v/>
      </c>
      <c r="AY25" s="18" t="str">
        <f>IF($C25="","",$J25*'Cost &amp; Risk Inputs'!BL26)</f>
        <v/>
      </c>
      <c r="AZ25" s="18" t="str">
        <f>IF($C25="","",$J25*'Cost &amp; Risk Inputs'!BM26)</f>
        <v/>
      </c>
      <c r="BA25" s="18" t="str">
        <f>IF($C25="","",$J25*'Cost &amp; Risk Inputs'!BN26)</f>
        <v/>
      </c>
      <c r="BB25" s="18" t="str">
        <f>IF($C25="","",$J25*'Cost &amp; Risk Inputs'!BO26)</f>
        <v/>
      </c>
      <c r="BC25" s="18" t="str">
        <f>IF($C25="","",$J25*'Cost &amp; Risk Inputs'!BP26)</f>
        <v/>
      </c>
      <c r="BD25" s="18" t="str">
        <f>IF($C25="","",$J25*'Cost &amp; Risk Inputs'!BQ26)</f>
        <v/>
      </c>
      <c r="BE25" s="18" t="str">
        <f>IF($C25="","",$J25*'Cost &amp; Risk Inputs'!BR26)</f>
        <v/>
      </c>
      <c r="BF25" s="18" t="str">
        <f>IF($C25="","",$J25*'Cost &amp; Risk Inputs'!BS26)</f>
        <v/>
      </c>
      <c r="BG25" s="18" t="str">
        <f>IF($C25="","",$J25*'Cost &amp; Risk Inputs'!BT26)</f>
        <v/>
      </c>
      <c r="BH25" s="18" t="str">
        <f>IF($C25="","",$J25*'Cost &amp; Risk Inputs'!BU26)</f>
        <v/>
      </c>
      <c r="BI25" s="18" t="str">
        <f>IF($C25="","",$J25*'Cost &amp; Risk Inputs'!BV26)</f>
        <v/>
      </c>
      <c r="BJ25" s="18" t="str">
        <f>IF($C25="","",$J25*'Cost &amp; Risk Inputs'!BW26)</f>
        <v/>
      </c>
      <c r="BK25" s="18" t="str">
        <f>IF($C25="","",$J25*'Cost &amp; Risk Inputs'!BX26)</f>
        <v/>
      </c>
      <c r="BL25" s="18" t="str">
        <f>IF($C25="","",$J25*'Cost &amp; Risk Inputs'!BY26)</f>
        <v/>
      </c>
      <c r="BM25" s="18" t="str">
        <f>IF($C25="","",$J25*'Cost &amp; Risk Inputs'!BZ26)</f>
        <v/>
      </c>
      <c r="BN25" s="18" t="str">
        <f>IF($C25="","",$J25*'Cost &amp; Risk Inputs'!CA26)</f>
        <v/>
      </c>
      <c r="BO25" s="18" t="str">
        <f>IF($C25="","",$J25*'Cost &amp; Risk Inputs'!CB26)</f>
        <v/>
      </c>
      <c r="BP25" s="18" t="str">
        <f>IF($C25="","",$J25*'Cost &amp; Risk Inputs'!CC26)</f>
        <v/>
      </c>
      <c r="BQ25" s="18" t="str">
        <f>IF($C25="","",$J25*'Cost &amp; Risk Inputs'!CD26)</f>
        <v/>
      </c>
      <c r="BR25" s="18" t="str">
        <f>IF($C25="","",$J25*'Cost &amp; Risk Inputs'!CE26)</f>
        <v/>
      </c>
      <c r="BS25" s="18" t="str">
        <f>IF($C25="","",$J25*'Cost &amp; Risk Inputs'!CF26)</f>
        <v/>
      </c>
      <c r="BT25" s="18" t="str">
        <f>IF($C25="","",$J25*'Cost &amp; Risk Inputs'!CG26)</f>
        <v/>
      </c>
      <c r="BU25" s="18" t="str">
        <f>IF($C25="","",$J25*'Cost &amp; Risk Inputs'!CH26)</f>
        <v/>
      </c>
      <c r="BV25" s="18" t="str">
        <f>IF($C25="","",$J25*'Cost &amp; Risk Inputs'!CI26)</f>
        <v/>
      </c>
      <c r="BW25" s="18" t="str">
        <f>IF($C25="","",$J25*'Cost &amp; Risk Inputs'!CJ26)</f>
        <v/>
      </c>
      <c r="BX25" s="18" t="str">
        <f>IF($C25="","",$J25*'Cost &amp; Risk Inputs'!CK26)</f>
        <v/>
      </c>
      <c r="BY25" s="18" t="str">
        <f>IF($C25="","",$J25*'Cost &amp; Risk Inputs'!CL26)</f>
        <v/>
      </c>
      <c r="BZ25" s="18" t="str">
        <f>IF($C25="","",$J25*'Cost &amp; Risk Inputs'!CM26)</f>
        <v/>
      </c>
      <c r="CA25" s="18" t="str">
        <f>IF($C25="","",$J25*'Cost &amp; Risk Inputs'!CN26)</f>
        <v/>
      </c>
      <c r="CB25" s="18" t="str">
        <f>IF($C25="","",$J25*'Cost &amp; Risk Inputs'!CO26)</f>
        <v/>
      </c>
      <c r="CC25" s="18" t="str">
        <f>IF($C25="","",$J25*'Cost &amp; Risk Inputs'!CP26)</f>
        <v/>
      </c>
      <c r="CD25" s="18" t="str">
        <f>IF($C25="","",$J25*'Cost &amp; Risk Inputs'!CQ26)</f>
        <v/>
      </c>
      <c r="CE25" s="18" t="str">
        <f>IF($C25="","",$J25*'Cost &amp; Risk Inputs'!CR26)</f>
        <v/>
      </c>
      <c r="CF25" s="18" t="str">
        <f>IF($C25="","",$J25*'Cost &amp; Risk Inputs'!CS26)</f>
        <v/>
      </c>
      <c r="CG25" s="18" t="str">
        <f>IF($C25="","",$J25*'Cost &amp; Risk Inputs'!CT26)</f>
        <v/>
      </c>
      <c r="CH25" s="18" t="str">
        <f>IF($C25="","",$J25*'Cost &amp; Risk Inputs'!CU26)</f>
        <v/>
      </c>
      <c r="CI25" s="18" t="str">
        <f>IF($C25="","",$J25*'Cost &amp; Risk Inputs'!CV26)</f>
        <v/>
      </c>
      <c r="CJ25" s="18" t="str">
        <f>IF($C25="","",$J25*'Cost &amp; Risk Inputs'!CW26)</f>
        <v/>
      </c>
      <c r="CK25" s="18" t="str">
        <f>IF($C25="","",$J25*'Cost &amp; Risk Inputs'!CX26)</f>
        <v/>
      </c>
      <c r="CL25" s="18" t="str">
        <f>IF($C25="","",$J25*'Cost &amp; Risk Inputs'!CY26)</f>
        <v/>
      </c>
      <c r="CM25" s="18" t="str">
        <f>IF($C25="","",$J25*'Cost &amp; Risk Inputs'!CZ26)</f>
        <v/>
      </c>
      <c r="CN25" s="18" t="str">
        <f>IF($C25="","",$J25*'Cost &amp; Risk Inputs'!DA26)</f>
        <v/>
      </c>
      <c r="CO25" s="18" t="str">
        <f>IF($C25="","",$J25*'Cost &amp; Risk Inputs'!DB26)</f>
        <v/>
      </c>
      <c r="CP25" s="18" t="str">
        <f>IF($C25="","",$J25*'Cost &amp; Risk Inputs'!DC26)</f>
        <v/>
      </c>
      <c r="CQ25" s="18" t="str">
        <f>IF($C25="","",$J25*'Cost &amp; Risk Inputs'!DD26)</f>
        <v/>
      </c>
      <c r="CR25" s="18" t="str">
        <f>IF($C25="","",$J25*'Cost &amp; Risk Inputs'!DE26)</f>
        <v/>
      </c>
      <c r="CS25" s="18" t="str">
        <f>IF($C25="","",$J25*'Cost &amp; Risk Inputs'!DF26)</f>
        <v/>
      </c>
      <c r="CT25" s="18" t="str">
        <f>IF($C25="","",$J25*'Cost &amp; Risk Inputs'!DG26)</f>
        <v/>
      </c>
      <c r="CU25" s="18" t="str">
        <f>IF($C25="","",$J25*'Cost &amp; Risk Inputs'!DH26)</f>
        <v/>
      </c>
      <c r="CV25" s="18" t="str">
        <f>IF($C25="","",$J25*'Cost &amp; Risk Inputs'!DI26)</f>
        <v/>
      </c>
      <c r="CW25" s="18" t="str">
        <f>IF($C25="","",$J25*'Cost &amp; Risk Inputs'!DJ26)</f>
        <v/>
      </c>
      <c r="CX25" s="18" t="str">
        <f>IF($C25="","",$J25*'Cost &amp; Risk Inputs'!DK26)</f>
        <v/>
      </c>
      <c r="CZ25" s="18">
        <f t="shared" ca="1" si="1"/>
        <v>0</v>
      </c>
      <c r="DA25" s="18">
        <f t="shared" si="2"/>
        <v>0</v>
      </c>
    </row>
    <row r="26" spans="3:105" x14ac:dyDescent="0.3">
      <c r="C26" s="4" t="str">
        <f>IF('Cost &amp; Risk Inputs'!C27="","",'Cost &amp; Risk Inputs'!C27)</f>
        <v/>
      </c>
      <c r="D26" s="4" t="str">
        <f>IF(C26="","",'Cost &amp; Risk Inputs'!F27)</f>
        <v/>
      </c>
      <c r="E26" s="19" t="str">
        <f>IF(C26="","",'Cost &amp; Risk Inputs'!J27)</f>
        <v/>
      </c>
      <c r="F26" s="19" t="str">
        <f>IF(C26="","",'Cost &amp; Risk Inputs'!K27)</f>
        <v/>
      </c>
      <c r="G26" s="19" t="str">
        <f>IF(C26="","",'Cost &amp; Risk Inputs'!L27)</f>
        <v/>
      </c>
      <c r="I26" s="18" t="str">
        <f t="shared" si="0"/>
        <v/>
      </c>
      <c r="J26" s="23" t="str">
        <f>IF(C26="","",'Cost &amp; Risk Inputs'!U27/INDEX('Global Constants'!$F$24:$CQ$33,MATCH(D26,Inflation_List,0),MATCH(G26,FY,0)))</f>
        <v/>
      </c>
      <c r="M26" s="18" t="str">
        <f>IF($C26="","",$J26*'Cost &amp; Risk Inputs'!Z27)</f>
        <v/>
      </c>
      <c r="N26" s="18" t="str">
        <f>IF($C26="","",$J26*'Cost &amp; Risk Inputs'!AA27)</f>
        <v/>
      </c>
      <c r="O26" s="18" t="str">
        <f>IF($C26="","",$J26*'Cost &amp; Risk Inputs'!AB27)</f>
        <v/>
      </c>
      <c r="P26" s="18" t="str">
        <f>IF($C26="","",$J26*'Cost &amp; Risk Inputs'!AC27)</f>
        <v/>
      </c>
      <c r="Q26" s="18" t="str">
        <f>IF($C26="","",$J26*'Cost &amp; Risk Inputs'!AD27)</f>
        <v/>
      </c>
      <c r="R26" s="18" t="str">
        <f>IF($C26="","",$J26*'Cost &amp; Risk Inputs'!AE27)</f>
        <v/>
      </c>
      <c r="S26" s="18" t="str">
        <f>IF($C26="","",$J26*'Cost &amp; Risk Inputs'!AF27)</f>
        <v/>
      </c>
      <c r="T26" s="18" t="str">
        <f>IF($C26="","",$J26*'Cost &amp; Risk Inputs'!AG27)</f>
        <v/>
      </c>
      <c r="U26" s="18" t="str">
        <f>IF($C26="","",$J26*'Cost &amp; Risk Inputs'!AH27)</f>
        <v/>
      </c>
      <c r="V26" s="18" t="str">
        <f>IF($C26="","",$J26*'Cost &amp; Risk Inputs'!AI27)</f>
        <v/>
      </c>
      <c r="W26" s="18" t="str">
        <f>IF($C26="","",$J26*'Cost &amp; Risk Inputs'!AJ27)</f>
        <v/>
      </c>
      <c r="X26" s="18" t="str">
        <f>IF($C26="","",$J26*'Cost &amp; Risk Inputs'!AK27)</f>
        <v/>
      </c>
      <c r="Y26" s="18" t="str">
        <f>IF($C26="","",$J26*'Cost &amp; Risk Inputs'!AL27)</f>
        <v/>
      </c>
      <c r="Z26" s="18" t="str">
        <f>IF($C26="","",$J26*'Cost &amp; Risk Inputs'!AM27)</f>
        <v/>
      </c>
      <c r="AA26" s="18" t="str">
        <f>IF($C26="","",$J26*'Cost &amp; Risk Inputs'!AN27)</f>
        <v/>
      </c>
      <c r="AB26" s="18" t="str">
        <f>IF($C26="","",$J26*'Cost &amp; Risk Inputs'!AO27)</f>
        <v/>
      </c>
      <c r="AC26" s="18" t="str">
        <f>IF($C26="","",$J26*'Cost &amp; Risk Inputs'!AP27)</f>
        <v/>
      </c>
      <c r="AD26" s="18" t="str">
        <f>IF($C26="","",$J26*'Cost &amp; Risk Inputs'!AQ27)</f>
        <v/>
      </c>
      <c r="AE26" s="18" t="str">
        <f>IF($C26="","",$J26*'Cost &amp; Risk Inputs'!AR27)</f>
        <v/>
      </c>
      <c r="AF26" s="18" t="str">
        <f>IF($C26="","",$J26*'Cost &amp; Risk Inputs'!AS27)</f>
        <v/>
      </c>
      <c r="AG26" s="18" t="str">
        <f>IF($C26="","",$J26*'Cost &amp; Risk Inputs'!AT27)</f>
        <v/>
      </c>
      <c r="AH26" s="18" t="str">
        <f>IF($C26="","",$J26*'Cost &amp; Risk Inputs'!AU27)</f>
        <v/>
      </c>
      <c r="AI26" s="18" t="str">
        <f>IF($C26="","",$J26*'Cost &amp; Risk Inputs'!AV27)</f>
        <v/>
      </c>
      <c r="AJ26" s="18" t="str">
        <f>IF($C26="","",$J26*'Cost &amp; Risk Inputs'!AW27)</f>
        <v/>
      </c>
      <c r="AK26" s="18" t="str">
        <f>IF($C26="","",$J26*'Cost &amp; Risk Inputs'!AX27)</f>
        <v/>
      </c>
      <c r="AL26" s="18" t="str">
        <f>IF($C26="","",$J26*'Cost &amp; Risk Inputs'!AY27)</f>
        <v/>
      </c>
      <c r="AM26" s="18" t="str">
        <f>IF($C26="","",$J26*'Cost &amp; Risk Inputs'!AZ27)</f>
        <v/>
      </c>
      <c r="AN26" s="18" t="str">
        <f>IF($C26="","",$J26*'Cost &amp; Risk Inputs'!BA27)</f>
        <v/>
      </c>
      <c r="AO26" s="18" t="str">
        <f>IF($C26="","",$J26*'Cost &amp; Risk Inputs'!BB27)</f>
        <v/>
      </c>
      <c r="AP26" s="18" t="str">
        <f>IF($C26="","",$J26*'Cost &amp; Risk Inputs'!BC27)</f>
        <v/>
      </c>
      <c r="AQ26" s="18" t="str">
        <f>IF($C26="","",$J26*'Cost &amp; Risk Inputs'!BD27)</f>
        <v/>
      </c>
      <c r="AR26" s="18" t="str">
        <f>IF($C26="","",$J26*'Cost &amp; Risk Inputs'!BE27)</f>
        <v/>
      </c>
      <c r="AS26" s="18" t="str">
        <f>IF($C26="","",$J26*'Cost &amp; Risk Inputs'!BF27)</f>
        <v/>
      </c>
      <c r="AT26" s="18" t="str">
        <f>IF($C26="","",$J26*'Cost &amp; Risk Inputs'!BG27)</f>
        <v/>
      </c>
      <c r="AU26" s="18" t="str">
        <f>IF($C26="","",$J26*'Cost &amp; Risk Inputs'!BH27)</f>
        <v/>
      </c>
      <c r="AV26" s="18" t="str">
        <f>IF($C26="","",$J26*'Cost &amp; Risk Inputs'!BI27)</f>
        <v/>
      </c>
      <c r="AW26" s="18" t="str">
        <f>IF($C26="","",$J26*'Cost &amp; Risk Inputs'!BJ27)</f>
        <v/>
      </c>
      <c r="AX26" s="18" t="str">
        <f>IF($C26="","",$J26*'Cost &amp; Risk Inputs'!BK27)</f>
        <v/>
      </c>
      <c r="AY26" s="18" t="str">
        <f>IF($C26="","",$J26*'Cost &amp; Risk Inputs'!BL27)</f>
        <v/>
      </c>
      <c r="AZ26" s="18" t="str">
        <f>IF($C26="","",$J26*'Cost &amp; Risk Inputs'!BM27)</f>
        <v/>
      </c>
      <c r="BA26" s="18" t="str">
        <f>IF($C26="","",$J26*'Cost &amp; Risk Inputs'!BN27)</f>
        <v/>
      </c>
      <c r="BB26" s="18" t="str">
        <f>IF($C26="","",$J26*'Cost &amp; Risk Inputs'!BO27)</f>
        <v/>
      </c>
      <c r="BC26" s="18" t="str">
        <f>IF($C26="","",$J26*'Cost &amp; Risk Inputs'!BP27)</f>
        <v/>
      </c>
      <c r="BD26" s="18" t="str">
        <f>IF($C26="","",$J26*'Cost &amp; Risk Inputs'!BQ27)</f>
        <v/>
      </c>
      <c r="BE26" s="18" t="str">
        <f>IF($C26="","",$J26*'Cost &amp; Risk Inputs'!BR27)</f>
        <v/>
      </c>
      <c r="BF26" s="18" t="str">
        <f>IF($C26="","",$J26*'Cost &amp; Risk Inputs'!BS27)</f>
        <v/>
      </c>
      <c r="BG26" s="18" t="str">
        <f>IF($C26="","",$J26*'Cost &amp; Risk Inputs'!BT27)</f>
        <v/>
      </c>
      <c r="BH26" s="18" t="str">
        <f>IF($C26="","",$J26*'Cost &amp; Risk Inputs'!BU27)</f>
        <v/>
      </c>
      <c r="BI26" s="18" t="str">
        <f>IF($C26="","",$J26*'Cost &amp; Risk Inputs'!BV27)</f>
        <v/>
      </c>
      <c r="BJ26" s="18" t="str">
        <f>IF($C26="","",$J26*'Cost &amp; Risk Inputs'!BW27)</f>
        <v/>
      </c>
      <c r="BK26" s="18" t="str">
        <f>IF($C26="","",$J26*'Cost &amp; Risk Inputs'!BX27)</f>
        <v/>
      </c>
      <c r="BL26" s="18" t="str">
        <f>IF($C26="","",$J26*'Cost &amp; Risk Inputs'!BY27)</f>
        <v/>
      </c>
      <c r="BM26" s="18" t="str">
        <f>IF($C26="","",$J26*'Cost &amp; Risk Inputs'!BZ27)</f>
        <v/>
      </c>
      <c r="BN26" s="18" t="str">
        <f>IF($C26="","",$J26*'Cost &amp; Risk Inputs'!CA27)</f>
        <v/>
      </c>
      <c r="BO26" s="18" t="str">
        <f>IF($C26="","",$J26*'Cost &amp; Risk Inputs'!CB27)</f>
        <v/>
      </c>
      <c r="BP26" s="18" t="str">
        <f>IF($C26="","",$J26*'Cost &amp; Risk Inputs'!CC27)</f>
        <v/>
      </c>
      <c r="BQ26" s="18" t="str">
        <f>IF($C26="","",$J26*'Cost &amp; Risk Inputs'!CD27)</f>
        <v/>
      </c>
      <c r="BR26" s="18" t="str">
        <f>IF($C26="","",$J26*'Cost &amp; Risk Inputs'!CE27)</f>
        <v/>
      </c>
      <c r="BS26" s="18" t="str">
        <f>IF($C26="","",$J26*'Cost &amp; Risk Inputs'!CF27)</f>
        <v/>
      </c>
      <c r="BT26" s="18" t="str">
        <f>IF($C26="","",$J26*'Cost &amp; Risk Inputs'!CG27)</f>
        <v/>
      </c>
      <c r="BU26" s="18" t="str">
        <f>IF($C26="","",$J26*'Cost &amp; Risk Inputs'!CH27)</f>
        <v/>
      </c>
      <c r="BV26" s="18" t="str">
        <f>IF($C26="","",$J26*'Cost &amp; Risk Inputs'!CI27)</f>
        <v/>
      </c>
      <c r="BW26" s="18" t="str">
        <f>IF($C26="","",$J26*'Cost &amp; Risk Inputs'!CJ27)</f>
        <v/>
      </c>
      <c r="BX26" s="18" t="str">
        <f>IF($C26="","",$J26*'Cost &amp; Risk Inputs'!CK27)</f>
        <v/>
      </c>
      <c r="BY26" s="18" t="str">
        <f>IF($C26="","",$J26*'Cost &amp; Risk Inputs'!CL27)</f>
        <v/>
      </c>
      <c r="BZ26" s="18" t="str">
        <f>IF($C26="","",$J26*'Cost &amp; Risk Inputs'!CM27)</f>
        <v/>
      </c>
      <c r="CA26" s="18" t="str">
        <f>IF($C26="","",$J26*'Cost &amp; Risk Inputs'!CN27)</f>
        <v/>
      </c>
      <c r="CB26" s="18" t="str">
        <f>IF($C26="","",$J26*'Cost &amp; Risk Inputs'!CO27)</f>
        <v/>
      </c>
      <c r="CC26" s="18" t="str">
        <f>IF($C26="","",$J26*'Cost &amp; Risk Inputs'!CP27)</f>
        <v/>
      </c>
      <c r="CD26" s="18" t="str">
        <f>IF($C26="","",$J26*'Cost &amp; Risk Inputs'!CQ27)</f>
        <v/>
      </c>
      <c r="CE26" s="18" t="str">
        <f>IF($C26="","",$J26*'Cost &amp; Risk Inputs'!CR27)</f>
        <v/>
      </c>
      <c r="CF26" s="18" t="str">
        <f>IF($C26="","",$J26*'Cost &amp; Risk Inputs'!CS27)</f>
        <v/>
      </c>
      <c r="CG26" s="18" t="str">
        <f>IF($C26="","",$J26*'Cost &amp; Risk Inputs'!CT27)</f>
        <v/>
      </c>
      <c r="CH26" s="18" t="str">
        <f>IF($C26="","",$J26*'Cost &amp; Risk Inputs'!CU27)</f>
        <v/>
      </c>
      <c r="CI26" s="18" t="str">
        <f>IF($C26="","",$J26*'Cost &amp; Risk Inputs'!CV27)</f>
        <v/>
      </c>
      <c r="CJ26" s="18" t="str">
        <f>IF($C26="","",$J26*'Cost &amp; Risk Inputs'!CW27)</f>
        <v/>
      </c>
      <c r="CK26" s="18" t="str">
        <f>IF($C26="","",$J26*'Cost &amp; Risk Inputs'!CX27)</f>
        <v/>
      </c>
      <c r="CL26" s="18" t="str">
        <f>IF($C26="","",$J26*'Cost &amp; Risk Inputs'!CY27)</f>
        <v/>
      </c>
      <c r="CM26" s="18" t="str">
        <f>IF($C26="","",$J26*'Cost &amp; Risk Inputs'!CZ27)</f>
        <v/>
      </c>
      <c r="CN26" s="18" t="str">
        <f>IF($C26="","",$J26*'Cost &amp; Risk Inputs'!DA27)</f>
        <v/>
      </c>
      <c r="CO26" s="18" t="str">
        <f>IF($C26="","",$J26*'Cost &amp; Risk Inputs'!DB27)</f>
        <v/>
      </c>
      <c r="CP26" s="18" t="str">
        <f>IF($C26="","",$J26*'Cost &amp; Risk Inputs'!DC27)</f>
        <v/>
      </c>
      <c r="CQ26" s="18" t="str">
        <f>IF($C26="","",$J26*'Cost &amp; Risk Inputs'!DD27)</f>
        <v/>
      </c>
      <c r="CR26" s="18" t="str">
        <f>IF($C26="","",$J26*'Cost &amp; Risk Inputs'!DE27)</f>
        <v/>
      </c>
      <c r="CS26" s="18" t="str">
        <f>IF($C26="","",$J26*'Cost &amp; Risk Inputs'!DF27)</f>
        <v/>
      </c>
      <c r="CT26" s="18" t="str">
        <f>IF($C26="","",$J26*'Cost &amp; Risk Inputs'!DG27)</f>
        <v/>
      </c>
      <c r="CU26" s="18" t="str">
        <f>IF($C26="","",$J26*'Cost &amp; Risk Inputs'!DH27)</f>
        <v/>
      </c>
      <c r="CV26" s="18" t="str">
        <f>IF($C26="","",$J26*'Cost &amp; Risk Inputs'!DI27)</f>
        <v/>
      </c>
      <c r="CW26" s="18" t="str">
        <f>IF($C26="","",$J26*'Cost &amp; Risk Inputs'!DJ27)</f>
        <v/>
      </c>
      <c r="CX26" s="18" t="str">
        <f>IF($C26="","",$J26*'Cost &amp; Risk Inputs'!DK27)</f>
        <v/>
      </c>
      <c r="CZ26" s="18">
        <f t="shared" ca="1" si="1"/>
        <v>0</v>
      </c>
      <c r="DA26" s="18">
        <f t="shared" si="2"/>
        <v>0</v>
      </c>
    </row>
    <row r="27" spans="3:105" x14ac:dyDescent="0.3">
      <c r="C27" s="4" t="str">
        <f>IF('Cost &amp; Risk Inputs'!C28="","",'Cost &amp; Risk Inputs'!C28)</f>
        <v/>
      </c>
      <c r="D27" s="4" t="str">
        <f>IF(C27="","",'Cost &amp; Risk Inputs'!F28)</f>
        <v/>
      </c>
      <c r="E27" s="19" t="str">
        <f>IF(C27="","",'Cost &amp; Risk Inputs'!J28)</f>
        <v/>
      </c>
      <c r="F27" s="19" t="str">
        <f>IF(C27="","",'Cost &amp; Risk Inputs'!K28)</f>
        <v/>
      </c>
      <c r="G27" s="19" t="str">
        <f>IF(C27="","",'Cost &amp; Risk Inputs'!L28)</f>
        <v/>
      </c>
      <c r="I27" s="18" t="str">
        <f t="shared" si="0"/>
        <v/>
      </c>
      <c r="J27" s="23" t="str">
        <f>IF(C27="","",'Cost &amp; Risk Inputs'!U28/INDEX('Global Constants'!$F$24:$CQ$33,MATCH(D27,Inflation_List,0),MATCH(G27,FY,0)))</f>
        <v/>
      </c>
      <c r="M27" s="18" t="str">
        <f>IF($C27="","",$J27*'Cost &amp; Risk Inputs'!Z28)</f>
        <v/>
      </c>
      <c r="N27" s="18" t="str">
        <f>IF($C27="","",$J27*'Cost &amp; Risk Inputs'!AA28)</f>
        <v/>
      </c>
      <c r="O27" s="18" t="str">
        <f>IF($C27="","",$J27*'Cost &amp; Risk Inputs'!AB28)</f>
        <v/>
      </c>
      <c r="P27" s="18" t="str">
        <f>IF($C27="","",$J27*'Cost &amp; Risk Inputs'!AC28)</f>
        <v/>
      </c>
      <c r="Q27" s="18" t="str">
        <f>IF($C27="","",$J27*'Cost &amp; Risk Inputs'!AD28)</f>
        <v/>
      </c>
      <c r="R27" s="18" t="str">
        <f>IF($C27="","",$J27*'Cost &amp; Risk Inputs'!AE28)</f>
        <v/>
      </c>
      <c r="S27" s="18" t="str">
        <f>IF($C27="","",$J27*'Cost &amp; Risk Inputs'!AF28)</f>
        <v/>
      </c>
      <c r="T27" s="18" t="str">
        <f>IF($C27="","",$J27*'Cost &amp; Risk Inputs'!AG28)</f>
        <v/>
      </c>
      <c r="U27" s="18" t="str">
        <f>IF($C27="","",$J27*'Cost &amp; Risk Inputs'!AH28)</f>
        <v/>
      </c>
      <c r="V27" s="18" t="str">
        <f>IF($C27="","",$J27*'Cost &amp; Risk Inputs'!AI28)</f>
        <v/>
      </c>
      <c r="W27" s="18" t="str">
        <f>IF($C27="","",$J27*'Cost &amp; Risk Inputs'!AJ28)</f>
        <v/>
      </c>
      <c r="X27" s="18" t="str">
        <f>IF($C27="","",$J27*'Cost &amp; Risk Inputs'!AK28)</f>
        <v/>
      </c>
      <c r="Y27" s="18" t="str">
        <f>IF($C27="","",$J27*'Cost &amp; Risk Inputs'!AL28)</f>
        <v/>
      </c>
      <c r="Z27" s="18" t="str">
        <f>IF($C27="","",$J27*'Cost &amp; Risk Inputs'!AM28)</f>
        <v/>
      </c>
      <c r="AA27" s="18" t="str">
        <f>IF($C27="","",$J27*'Cost &amp; Risk Inputs'!AN28)</f>
        <v/>
      </c>
      <c r="AB27" s="18" t="str">
        <f>IF($C27="","",$J27*'Cost &amp; Risk Inputs'!AO28)</f>
        <v/>
      </c>
      <c r="AC27" s="18" t="str">
        <f>IF($C27="","",$J27*'Cost &amp; Risk Inputs'!AP28)</f>
        <v/>
      </c>
      <c r="AD27" s="18" t="str">
        <f>IF($C27="","",$J27*'Cost &amp; Risk Inputs'!AQ28)</f>
        <v/>
      </c>
      <c r="AE27" s="18" t="str">
        <f>IF($C27="","",$J27*'Cost &amp; Risk Inputs'!AR28)</f>
        <v/>
      </c>
      <c r="AF27" s="18" t="str">
        <f>IF($C27="","",$J27*'Cost &amp; Risk Inputs'!AS28)</f>
        <v/>
      </c>
      <c r="AG27" s="18" t="str">
        <f>IF($C27="","",$J27*'Cost &amp; Risk Inputs'!AT28)</f>
        <v/>
      </c>
      <c r="AH27" s="18" t="str">
        <f>IF($C27="","",$J27*'Cost &amp; Risk Inputs'!AU28)</f>
        <v/>
      </c>
      <c r="AI27" s="18" t="str">
        <f>IF($C27="","",$J27*'Cost &amp; Risk Inputs'!AV28)</f>
        <v/>
      </c>
      <c r="AJ27" s="18" t="str">
        <f>IF($C27="","",$J27*'Cost &amp; Risk Inputs'!AW28)</f>
        <v/>
      </c>
      <c r="AK27" s="18" t="str">
        <f>IF($C27="","",$J27*'Cost &amp; Risk Inputs'!AX28)</f>
        <v/>
      </c>
      <c r="AL27" s="18" t="str">
        <f>IF($C27="","",$J27*'Cost &amp; Risk Inputs'!AY28)</f>
        <v/>
      </c>
      <c r="AM27" s="18" t="str">
        <f>IF($C27="","",$J27*'Cost &amp; Risk Inputs'!AZ28)</f>
        <v/>
      </c>
      <c r="AN27" s="18" t="str">
        <f>IF($C27="","",$J27*'Cost &amp; Risk Inputs'!BA28)</f>
        <v/>
      </c>
      <c r="AO27" s="18" t="str">
        <f>IF($C27="","",$J27*'Cost &amp; Risk Inputs'!BB28)</f>
        <v/>
      </c>
      <c r="AP27" s="18" t="str">
        <f>IF($C27="","",$J27*'Cost &amp; Risk Inputs'!BC28)</f>
        <v/>
      </c>
      <c r="AQ27" s="18" t="str">
        <f>IF($C27="","",$J27*'Cost &amp; Risk Inputs'!BD28)</f>
        <v/>
      </c>
      <c r="AR27" s="18" t="str">
        <f>IF($C27="","",$J27*'Cost &amp; Risk Inputs'!BE28)</f>
        <v/>
      </c>
      <c r="AS27" s="18" t="str">
        <f>IF($C27="","",$J27*'Cost &amp; Risk Inputs'!BF28)</f>
        <v/>
      </c>
      <c r="AT27" s="18" t="str">
        <f>IF($C27="","",$J27*'Cost &amp; Risk Inputs'!BG28)</f>
        <v/>
      </c>
      <c r="AU27" s="18" t="str">
        <f>IF($C27="","",$J27*'Cost &amp; Risk Inputs'!BH28)</f>
        <v/>
      </c>
      <c r="AV27" s="18" t="str">
        <f>IF($C27="","",$J27*'Cost &amp; Risk Inputs'!BI28)</f>
        <v/>
      </c>
      <c r="AW27" s="18" t="str">
        <f>IF($C27="","",$J27*'Cost &amp; Risk Inputs'!BJ28)</f>
        <v/>
      </c>
      <c r="AX27" s="18" t="str">
        <f>IF($C27="","",$J27*'Cost &amp; Risk Inputs'!BK28)</f>
        <v/>
      </c>
      <c r="AY27" s="18" t="str">
        <f>IF($C27="","",$J27*'Cost &amp; Risk Inputs'!BL28)</f>
        <v/>
      </c>
      <c r="AZ27" s="18" t="str">
        <f>IF($C27="","",$J27*'Cost &amp; Risk Inputs'!BM28)</f>
        <v/>
      </c>
      <c r="BA27" s="18" t="str">
        <f>IF($C27="","",$J27*'Cost &amp; Risk Inputs'!BN28)</f>
        <v/>
      </c>
      <c r="BB27" s="18" t="str">
        <f>IF($C27="","",$J27*'Cost &amp; Risk Inputs'!BO28)</f>
        <v/>
      </c>
      <c r="BC27" s="18" t="str">
        <f>IF($C27="","",$J27*'Cost &amp; Risk Inputs'!BP28)</f>
        <v/>
      </c>
      <c r="BD27" s="18" t="str">
        <f>IF($C27="","",$J27*'Cost &amp; Risk Inputs'!BQ28)</f>
        <v/>
      </c>
      <c r="BE27" s="18" t="str">
        <f>IF($C27="","",$J27*'Cost &amp; Risk Inputs'!BR28)</f>
        <v/>
      </c>
      <c r="BF27" s="18" t="str">
        <f>IF($C27="","",$J27*'Cost &amp; Risk Inputs'!BS28)</f>
        <v/>
      </c>
      <c r="BG27" s="18" t="str">
        <f>IF($C27="","",$J27*'Cost &amp; Risk Inputs'!BT28)</f>
        <v/>
      </c>
      <c r="BH27" s="18" t="str">
        <f>IF($C27="","",$J27*'Cost &amp; Risk Inputs'!BU28)</f>
        <v/>
      </c>
      <c r="BI27" s="18" t="str">
        <f>IF($C27="","",$J27*'Cost &amp; Risk Inputs'!BV28)</f>
        <v/>
      </c>
      <c r="BJ27" s="18" t="str">
        <f>IF($C27="","",$J27*'Cost &amp; Risk Inputs'!BW28)</f>
        <v/>
      </c>
      <c r="BK27" s="18" t="str">
        <f>IF($C27="","",$J27*'Cost &amp; Risk Inputs'!BX28)</f>
        <v/>
      </c>
      <c r="BL27" s="18" t="str">
        <f>IF($C27="","",$J27*'Cost &amp; Risk Inputs'!BY28)</f>
        <v/>
      </c>
      <c r="BM27" s="18" t="str">
        <f>IF($C27="","",$J27*'Cost &amp; Risk Inputs'!BZ28)</f>
        <v/>
      </c>
      <c r="BN27" s="18" t="str">
        <f>IF($C27="","",$J27*'Cost &amp; Risk Inputs'!CA28)</f>
        <v/>
      </c>
      <c r="BO27" s="18" t="str">
        <f>IF($C27="","",$J27*'Cost &amp; Risk Inputs'!CB28)</f>
        <v/>
      </c>
      <c r="BP27" s="18" t="str">
        <f>IF($C27="","",$J27*'Cost &amp; Risk Inputs'!CC28)</f>
        <v/>
      </c>
      <c r="BQ27" s="18" t="str">
        <f>IF($C27="","",$J27*'Cost &amp; Risk Inputs'!CD28)</f>
        <v/>
      </c>
      <c r="BR27" s="18" t="str">
        <f>IF($C27="","",$J27*'Cost &amp; Risk Inputs'!CE28)</f>
        <v/>
      </c>
      <c r="BS27" s="18" t="str">
        <f>IF($C27="","",$J27*'Cost &amp; Risk Inputs'!CF28)</f>
        <v/>
      </c>
      <c r="BT27" s="18" t="str">
        <f>IF($C27="","",$J27*'Cost &amp; Risk Inputs'!CG28)</f>
        <v/>
      </c>
      <c r="BU27" s="18" t="str">
        <f>IF($C27="","",$J27*'Cost &amp; Risk Inputs'!CH28)</f>
        <v/>
      </c>
      <c r="BV27" s="18" t="str">
        <f>IF($C27="","",$J27*'Cost &amp; Risk Inputs'!CI28)</f>
        <v/>
      </c>
      <c r="BW27" s="18" t="str">
        <f>IF($C27="","",$J27*'Cost &amp; Risk Inputs'!CJ28)</f>
        <v/>
      </c>
      <c r="BX27" s="18" t="str">
        <f>IF($C27="","",$J27*'Cost &amp; Risk Inputs'!CK28)</f>
        <v/>
      </c>
      <c r="BY27" s="18" t="str">
        <f>IF($C27="","",$J27*'Cost &amp; Risk Inputs'!CL28)</f>
        <v/>
      </c>
      <c r="BZ27" s="18" t="str">
        <f>IF($C27="","",$J27*'Cost &amp; Risk Inputs'!CM28)</f>
        <v/>
      </c>
      <c r="CA27" s="18" t="str">
        <f>IF($C27="","",$J27*'Cost &amp; Risk Inputs'!CN28)</f>
        <v/>
      </c>
      <c r="CB27" s="18" t="str">
        <f>IF($C27="","",$J27*'Cost &amp; Risk Inputs'!CO28)</f>
        <v/>
      </c>
      <c r="CC27" s="18" t="str">
        <f>IF($C27="","",$J27*'Cost &amp; Risk Inputs'!CP28)</f>
        <v/>
      </c>
      <c r="CD27" s="18" t="str">
        <f>IF($C27="","",$J27*'Cost &amp; Risk Inputs'!CQ28)</f>
        <v/>
      </c>
      <c r="CE27" s="18" t="str">
        <f>IF($C27="","",$J27*'Cost &amp; Risk Inputs'!CR28)</f>
        <v/>
      </c>
      <c r="CF27" s="18" t="str">
        <f>IF($C27="","",$J27*'Cost &amp; Risk Inputs'!CS28)</f>
        <v/>
      </c>
      <c r="CG27" s="18" t="str">
        <f>IF($C27="","",$J27*'Cost &amp; Risk Inputs'!CT28)</f>
        <v/>
      </c>
      <c r="CH27" s="18" t="str">
        <f>IF($C27="","",$J27*'Cost &amp; Risk Inputs'!CU28)</f>
        <v/>
      </c>
      <c r="CI27" s="18" t="str">
        <f>IF($C27="","",$J27*'Cost &amp; Risk Inputs'!CV28)</f>
        <v/>
      </c>
      <c r="CJ27" s="18" t="str">
        <f>IF($C27="","",$J27*'Cost &amp; Risk Inputs'!CW28)</f>
        <v/>
      </c>
      <c r="CK27" s="18" t="str">
        <f>IF($C27="","",$J27*'Cost &amp; Risk Inputs'!CX28)</f>
        <v/>
      </c>
      <c r="CL27" s="18" t="str">
        <f>IF($C27="","",$J27*'Cost &amp; Risk Inputs'!CY28)</f>
        <v/>
      </c>
      <c r="CM27" s="18" t="str">
        <f>IF($C27="","",$J27*'Cost &amp; Risk Inputs'!CZ28)</f>
        <v/>
      </c>
      <c r="CN27" s="18" t="str">
        <f>IF($C27="","",$J27*'Cost &amp; Risk Inputs'!DA28)</f>
        <v/>
      </c>
      <c r="CO27" s="18" t="str">
        <f>IF($C27="","",$J27*'Cost &amp; Risk Inputs'!DB28)</f>
        <v/>
      </c>
      <c r="CP27" s="18" t="str">
        <f>IF($C27="","",$J27*'Cost &amp; Risk Inputs'!DC28)</f>
        <v/>
      </c>
      <c r="CQ27" s="18" t="str">
        <f>IF($C27="","",$J27*'Cost &amp; Risk Inputs'!DD28)</f>
        <v/>
      </c>
      <c r="CR27" s="18" t="str">
        <f>IF($C27="","",$J27*'Cost &amp; Risk Inputs'!DE28)</f>
        <v/>
      </c>
      <c r="CS27" s="18" t="str">
        <f>IF($C27="","",$J27*'Cost &amp; Risk Inputs'!DF28)</f>
        <v/>
      </c>
      <c r="CT27" s="18" t="str">
        <f>IF($C27="","",$J27*'Cost &amp; Risk Inputs'!DG28)</f>
        <v/>
      </c>
      <c r="CU27" s="18" t="str">
        <f>IF($C27="","",$J27*'Cost &amp; Risk Inputs'!DH28)</f>
        <v/>
      </c>
      <c r="CV27" s="18" t="str">
        <f>IF($C27="","",$J27*'Cost &amp; Risk Inputs'!DI28)</f>
        <v/>
      </c>
      <c r="CW27" s="18" t="str">
        <f>IF($C27="","",$J27*'Cost &amp; Risk Inputs'!DJ28)</f>
        <v/>
      </c>
      <c r="CX27" s="18" t="str">
        <f>IF($C27="","",$J27*'Cost &amp; Risk Inputs'!DK28)</f>
        <v/>
      </c>
      <c r="CZ27" s="18">
        <f t="shared" ca="1" si="1"/>
        <v>0</v>
      </c>
      <c r="DA27" s="18">
        <f t="shared" si="2"/>
        <v>0</v>
      </c>
    </row>
    <row r="28" spans="3:105" x14ac:dyDescent="0.3">
      <c r="C28" s="4" t="str">
        <f>IF('Cost &amp; Risk Inputs'!C29="","",'Cost &amp; Risk Inputs'!C29)</f>
        <v/>
      </c>
      <c r="D28" s="4" t="str">
        <f>IF(C28="","",'Cost &amp; Risk Inputs'!F29)</f>
        <v/>
      </c>
      <c r="E28" s="19" t="str">
        <f>IF(C28="","",'Cost &amp; Risk Inputs'!J29)</f>
        <v/>
      </c>
      <c r="F28" s="19" t="str">
        <f>IF(C28="","",'Cost &amp; Risk Inputs'!K29)</f>
        <v/>
      </c>
      <c r="G28" s="19" t="str">
        <f>IF(C28="","",'Cost &amp; Risk Inputs'!L29)</f>
        <v/>
      </c>
      <c r="I28" s="18" t="str">
        <f t="shared" si="0"/>
        <v/>
      </c>
      <c r="J28" s="23" t="str">
        <f>IF(C28="","",'Cost &amp; Risk Inputs'!U29/INDEX('Global Constants'!$F$24:$CQ$33,MATCH(D28,Inflation_List,0),MATCH(G28,FY,0)))</f>
        <v/>
      </c>
      <c r="M28" s="18" t="str">
        <f>IF($C28="","",$J28*'Cost &amp; Risk Inputs'!Z29)</f>
        <v/>
      </c>
      <c r="N28" s="18" t="str">
        <f>IF($C28="","",$J28*'Cost &amp; Risk Inputs'!AA29)</f>
        <v/>
      </c>
      <c r="O28" s="18" t="str">
        <f>IF($C28="","",$J28*'Cost &amp; Risk Inputs'!AB29)</f>
        <v/>
      </c>
      <c r="P28" s="18" t="str">
        <f>IF($C28="","",$J28*'Cost &amp; Risk Inputs'!AC29)</f>
        <v/>
      </c>
      <c r="Q28" s="18" t="str">
        <f>IF($C28="","",$J28*'Cost &amp; Risk Inputs'!AD29)</f>
        <v/>
      </c>
      <c r="R28" s="18" t="str">
        <f>IF($C28="","",$J28*'Cost &amp; Risk Inputs'!AE29)</f>
        <v/>
      </c>
      <c r="S28" s="18" t="str">
        <f>IF($C28="","",$J28*'Cost &amp; Risk Inputs'!AF29)</f>
        <v/>
      </c>
      <c r="T28" s="18" t="str">
        <f>IF($C28="","",$J28*'Cost &amp; Risk Inputs'!AG29)</f>
        <v/>
      </c>
      <c r="U28" s="18" t="str">
        <f>IF($C28="","",$J28*'Cost &amp; Risk Inputs'!AH29)</f>
        <v/>
      </c>
      <c r="V28" s="18" t="str">
        <f>IF($C28="","",$J28*'Cost &amp; Risk Inputs'!AI29)</f>
        <v/>
      </c>
      <c r="W28" s="18" t="str">
        <f>IF($C28="","",$J28*'Cost &amp; Risk Inputs'!AJ29)</f>
        <v/>
      </c>
      <c r="X28" s="18" t="str">
        <f>IF($C28="","",$J28*'Cost &amp; Risk Inputs'!AK29)</f>
        <v/>
      </c>
      <c r="Y28" s="18" t="str">
        <f>IF($C28="","",$J28*'Cost &amp; Risk Inputs'!AL29)</f>
        <v/>
      </c>
      <c r="Z28" s="18" t="str">
        <f>IF($C28="","",$J28*'Cost &amp; Risk Inputs'!AM29)</f>
        <v/>
      </c>
      <c r="AA28" s="18" t="str">
        <f>IF($C28="","",$J28*'Cost &amp; Risk Inputs'!AN29)</f>
        <v/>
      </c>
      <c r="AB28" s="18" t="str">
        <f>IF($C28="","",$J28*'Cost &amp; Risk Inputs'!AO29)</f>
        <v/>
      </c>
      <c r="AC28" s="18" t="str">
        <f>IF($C28="","",$J28*'Cost &amp; Risk Inputs'!AP29)</f>
        <v/>
      </c>
      <c r="AD28" s="18" t="str">
        <f>IF($C28="","",$J28*'Cost &amp; Risk Inputs'!AQ29)</f>
        <v/>
      </c>
      <c r="AE28" s="18" t="str">
        <f>IF($C28="","",$J28*'Cost &amp; Risk Inputs'!AR29)</f>
        <v/>
      </c>
      <c r="AF28" s="18" t="str">
        <f>IF($C28="","",$J28*'Cost &amp; Risk Inputs'!AS29)</f>
        <v/>
      </c>
      <c r="AG28" s="18" t="str">
        <f>IF($C28="","",$J28*'Cost &amp; Risk Inputs'!AT29)</f>
        <v/>
      </c>
      <c r="AH28" s="18" t="str">
        <f>IF($C28="","",$J28*'Cost &amp; Risk Inputs'!AU29)</f>
        <v/>
      </c>
      <c r="AI28" s="18" t="str">
        <f>IF($C28="","",$J28*'Cost &amp; Risk Inputs'!AV29)</f>
        <v/>
      </c>
      <c r="AJ28" s="18" t="str">
        <f>IF($C28="","",$J28*'Cost &amp; Risk Inputs'!AW29)</f>
        <v/>
      </c>
      <c r="AK28" s="18" t="str">
        <f>IF($C28="","",$J28*'Cost &amp; Risk Inputs'!AX29)</f>
        <v/>
      </c>
      <c r="AL28" s="18" t="str">
        <f>IF($C28="","",$J28*'Cost &amp; Risk Inputs'!AY29)</f>
        <v/>
      </c>
      <c r="AM28" s="18" t="str">
        <f>IF($C28="","",$J28*'Cost &amp; Risk Inputs'!AZ29)</f>
        <v/>
      </c>
      <c r="AN28" s="18" t="str">
        <f>IF($C28="","",$J28*'Cost &amp; Risk Inputs'!BA29)</f>
        <v/>
      </c>
      <c r="AO28" s="18" t="str">
        <f>IF($C28="","",$J28*'Cost &amp; Risk Inputs'!BB29)</f>
        <v/>
      </c>
      <c r="AP28" s="18" t="str">
        <f>IF($C28="","",$J28*'Cost &amp; Risk Inputs'!BC29)</f>
        <v/>
      </c>
      <c r="AQ28" s="18" t="str">
        <f>IF($C28="","",$J28*'Cost &amp; Risk Inputs'!BD29)</f>
        <v/>
      </c>
      <c r="AR28" s="18" t="str">
        <f>IF($C28="","",$J28*'Cost &amp; Risk Inputs'!BE29)</f>
        <v/>
      </c>
      <c r="AS28" s="18" t="str">
        <f>IF($C28="","",$J28*'Cost &amp; Risk Inputs'!BF29)</f>
        <v/>
      </c>
      <c r="AT28" s="18" t="str">
        <f>IF($C28="","",$J28*'Cost &amp; Risk Inputs'!BG29)</f>
        <v/>
      </c>
      <c r="AU28" s="18" t="str">
        <f>IF($C28="","",$J28*'Cost &amp; Risk Inputs'!BH29)</f>
        <v/>
      </c>
      <c r="AV28" s="18" t="str">
        <f>IF($C28="","",$J28*'Cost &amp; Risk Inputs'!BI29)</f>
        <v/>
      </c>
      <c r="AW28" s="18" t="str">
        <f>IF($C28="","",$J28*'Cost &amp; Risk Inputs'!BJ29)</f>
        <v/>
      </c>
      <c r="AX28" s="18" t="str">
        <f>IF($C28="","",$J28*'Cost &amp; Risk Inputs'!BK29)</f>
        <v/>
      </c>
      <c r="AY28" s="18" t="str">
        <f>IF($C28="","",$J28*'Cost &amp; Risk Inputs'!BL29)</f>
        <v/>
      </c>
      <c r="AZ28" s="18" t="str">
        <f>IF($C28="","",$J28*'Cost &amp; Risk Inputs'!BM29)</f>
        <v/>
      </c>
      <c r="BA28" s="18" t="str">
        <f>IF($C28="","",$J28*'Cost &amp; Risk Inputs'!BN29)</f>
        <v/>
      </c>
      <c r="BB28" s="18" t="str">
        <f>IF($C28="","",$J28*'Cost &amp; Risk Inputs'!BO29)</f>
        <v/>
      </c>
      <c r="BC28" s="18" t="str">
        <f>IF($C28="","",$J28*'Cost &amp; Risk Inputs'!BP29)</f>
        <v/>
      </c>
      <c r="BD28" s="18" t="str">
        <f>IF($C28="","",$J28*'Cost &amp; Risk Inputs'!BQ29)</f>
        <v/>
      </c>
      <c r="BE28" s="18" t="str">
        <f>IF($C28="","",$J28*'Cost &amp; Risk Inputs'!BR29)</f>
        <v/>
      </c>
      <c r="BF28" s="18" t="str">
        <f>IF($C28="","",$J28*'Cost &amp; Risk Inputs'!BS29)</f>
        <v/>
      </c>
      <c r="BG28" s="18" t="str">
        <f>IF($C28="","",$J28*'Cost &amp; Risk Inputs'!BT29)</f>
        <v/>
      </c>
      <c r="BH28" s="18" t="str">
        <f>IF($C28="","",$J28*'Cost &amp; Risk Inputs'!BU29)</f>
        <v/>
      </c>
      <c r="BI28" s="18" t="str">
        <f>IF($C28="","",$J28*'Cost &amp; Risk Inputs'!BV29)</f>
        <v/>
      </c>
      <c r="BJ28" s="18" t="str">
        <f>IF($C28="","",$J28*'Cost &amp; Risk Inputs'!BW29)</f>
        <v/>
      </c>
      <c r="BK28" s="18" t="str">
        <f>IF($C28="","",$J28*'Cost &amp; Risk Inputs'!BX29)</f>
        <v/>
      </c>
      <c r="BL28" s="18" t="str">
        <f>IF($C28="","",$J28*'Cost &amp; Risk Inputs'!BY29)</f>
        <v/>
      </c>
      <c r="BM28" s="18" t="str">
        <f>IF($C28="","",$J28*'Cost &amp; Risk Inputs'!BZ29)</f>
        <v/>
      </c>
      <c r="BN28" s="18" t="str">
        <f>IF($C28="","",$J28*'Cost &amp; Risk Inputs'!CA29)</f>
        <v/>
      </c>
      <c r="BO28" s="18" t="str">
        <f>IF($C28="","",$J28*'Cost &amp; Risk Inputs'!CB29)</f>
        <v/>
      </c>
      <c r="BP28" s="18" t="str">
        <f>IF($C28="","",$J28*'Cost &amp; Risk Inputs'!CC29)</f>
        <v/>
      </c>
      <c r="BQ28" s="18" t="str">
        <f>IF($C28="","",$J28*'Cost &amp; Risk Inputs'!CD29)</f>
        <v/>
      </c>
      <c r="BR28" s="18" t="str">
        <f>IF($C28="","",$J28*'Cost &amp; Risk Inputs'!CE29)</f>
        <v/>
      </c>
      <c r="BS28" s="18" t="str">
        <f>IF($C28="","",$J28*'Cost &amp; Risk Inputs'!CF29)</f>
        <v/>
      </c>
      <c r="BT28" s="18" t="str">
        <f>IF($C28="","",$J28*'Cost &amp; Risk Inputs'!CG29)</f>
        <v/>
      </c>
      <c r="BU28" s="18" t="str">
        <f>IF($C28="","",$J28*'Cost &amp; Risk Inputs'!CH29)</f>
        <v/>
      </c>
      <c r="BV28" s="18" t="str">
        <f>IF($C28="","",$J28*'Cost &amp; Risk Inputs'!CI29)</f>
        <v/>
      </c>
      <c r="BW28" s="18" t="str">
        <f>IF($C28="","",$J28*'Cost &amp; Risk Inputs'!CJ29)</f>
        <v/>
      </c>
      <c r="BX28" s="18" t="str">
        <f>IF($C28="","",$J28*'Cost &amp; Risk Inputs'!CK29)</f>
        <v/>
      </c>
      <c r="BY28" s="18" t="str">
        <f>IF($C28="","",$J28*'Cost &amp; Risk Inputs'!CL29)</f>
        <v/>
      </c>
      <c r="BZ28" s="18" t="str">
        <f>IF($C28="","",$J28*'Cost &amp; Risk Inputs'!CM29)</f>
        <v/>
      </c>
      <c r="CA28" s="18" t="str">
        <f>IF($C28="","",$J28*'Cost &amp; Risk Inputs'!CN29)</f>
        <v/>
      </c>
      <c r="CB28" s="18" t="str">
        <f>IF($C28="","",$J28*'Cost &amp; Risk Inputs'!CO29)</f>
        <v/>
      </c>
      <c r="CC28" s="18" t="str">
        <f>IF($C28="","",$J28*'Cost &amp; Risk Inputs'!CP29)</f>
        <v/>
      </c>
      <c r="CD28" s="18" t="str">
        <f>IF($C28="","",$J28*'Cost &amp; Risk Inputs'!CQ29)</f>
        <v/>
      </c>
      <c r="CE28" s="18" t="str">
        <f>IF($C28="","",$J28*'Cost &amp; Risk Inputs'!CR29)</f>
        <v/>
      </c>
      <c r="CF28" s="18" t="str">
        <f>IF($C28="","",$J28*'Cost &amp; Risk Inputs'!CS29)</f>
        <v/>
      </c>
      <c r="CG28" s="18" t="str">
        <f>IF($C28="","",$J28*'Cost &amp; Risk Inputs'!CT29)</f>
        <v/>
      </c>
      <c r="CH28" s="18" t="str">
        <f>IF($C28="","",$J28*'Cost &amp; Risk Inputs'!CU29)</f>
        <v/>
      </c>
      <c r="CI28" s="18" t="str">
        <f>IF($C28="","",$J28*'Cost &amp; Risk Inputs'!CV29)</f>
        <v/>
      </c>
      <c r="CJ28" s="18" t="str">
        <f>IF($C28="","",$J28*'Cost &amp; Risk Inputs'!CW29)</f>
        <v/>
      </c>
      <c r="CK28" s="18" t="str">
        <f>IF($C28="","",$J28*'Cost &amp; Risk Inputs'!CX29)</f>
        <v/>
      </c>
      <c r="CL28" s="18" t="str">
        <f>IF($C28="","",$J28*'Cost &amp; Risk Inputs'!CY29)</f>
        <v/>
      </c>
      <c r="CM28" s="18" t="str">
        <f>IF($C28="","",$J28*'Cost &amp; Risk Inputs'!CZ29)</f>
        <v/>
      </c>
      <c r="CN28" s="18" t="str">
        <f>IF($C28="","",$J28*'Cost &amp; Risk Inputs'!DA29)</f>
        <v/>
      </c>
      <c r="CO28" s="18" t="str">
        <f>IF($C28="","",$J28*'Cost &amp; Risk Inputs'!DB29)</f>
        <v/>
      </c>
      <c r="CP28" s="18" t="str">
        <f>IF($C28="","",$J28*'Cost &amp; Risk Inputs'!DC29)</f>
        <v/>
      </c>
      <c r="CQ28" s="18" t="str">
        <f>IF($C28="","",$J28*'Cost &amp; Risk Inputs'!DD29)</f>
        <v/>
      </c>
      <c r="CR28" s="18" t="str">
        <f>IF($C28="","",$J28*'Cost &amp; Risk Inputs'!DE29)</f>
        <v/>
      </c>
      <c r="CS28" s="18" t="str">
        <f>IF($C28="","",$J28*'Cost &amp; Risk Inputs'!DF29)</f>
        <v/>
      </c>
      <c r="CT28" s="18" t="str">
        <f>IF($C28="","",$J28*'Cost &amp; Risk Inputs'!DG29)</f>
        <v/>
      </c>
      <c r="CU28" s="18" t="str">
        <f>IF($C28="","",$J28*'Cost &amp; Risk Inputs'!DH29)</f>
        <v/>
      </c>
      <c r="CV28" s="18" t="str">
        <f>IF($C28="","",$J28*'Cost &amp; Risk Inputs'!DI29)</f>
        <v/>
      </c>
      <c r="CW28" s="18" t="str">
        <f>IF($C28="","",$J28*'Cost &amp; Risk Inputs'!DJ29)</f>
        <v/>
      </c>
      <c r="CX28" s="18" t="str">
        <f>IF($C28="","",$J28*'Cost &amp; Risk Inputs'!DK29)</f>
        <v/>
      </c>
      <c r="CZ28" s="18">
        <f t="shared" ca="1" si="1"/>
        <v>0</v>
      </c>
      <c r="DA28" s="18">
        <f t="shared" si="2"/>
        <v>0</v>
      </c>
    </row>
    <row r="29" spans="3:105" x14ac:dyDescent="0.3">
      <c r="C29" s="4" t="str">
        <f>IF('Cost &amp; Risk Inputs'!C30="","",'Cost &amp; Risk Inputs'!C30)</f>
        <v/>
      </c>
      <c r="D29" s="4" t="str">
        <f>IF(C29="","",'Cost &amp; Risk Inputs'!F30)</f>
        <v/>
      </c>
      <c r="E29" s="19" t="str">
        <f>IF(C29="","",'Cost &amp; Risk Inputs'!J30)</f>
        <v/>
      </c>
      <c r="F29" s="19" t="str">
        <f>IF(C29="","",'Cost &amp; Risk Inputs'!K30)</f>
        <v/>
      </c>
      <c r="G29" s="19" t="str">
        <f>IF(C29="","",'Cost &amp; Risk Inputs'!L30)</f>
        <v/>
      </c>
      <c r="I29" s="18" t="str">
        <f t="shared" si="0"/>
        <v/>
      </c>
      <c r="J29" s="23" t="str">
        <f>IF(C29="","",'Cost &amp; Risk Inputs'!U30/INDEX('Global Constants'!$F$24:$CQ$33,MATCH(D29,Inflation_List,0),MATCH(G29,FY,0)))</f>
        <v/>
      </c>
      <c r="M29" s="18" t="str">
        <f>IF($C29="","",$J29*'Cost &amp; Risk Inputs'!Z30)</f>
        <v/>
      </c>
      <c r="N29" s="18" t="str">
        <f>IF($C29="","",$J29*'Cost &amp; Risk Inputs'!AA30)</f>
        <v/>
      </c>
      <c r="O29" s="18" t="str">
        <f>IF($C29="","",$J29*'Cost &amp; Risk Inputs'!AB30)</f>
        <v/>
      </c>
      <c r="P29" s="18" t="str">
        <f>IF($C29="","",$J29*'Cost &amp; Risk Inputs'!AC30)</f>
        <v/>
      </c>
      <c r="Q29" s="18" t="str">
        <f>IF($C29="","",$J29*'Cost &amp; Risk Inputs'!AD30)</f>
        <v/>
      </c>
      <c r="R29" s="18" t="str">
        <f>IF($C29="","",$J29*'Cost &amp; Risk Inputs'!AE30)</f>
        <v/>
      </c>
      <c r="S29" s="18" t="str">
        <f>IF($C29="","",$J29*'Cost &amp; Risk Inputs'!AF30)</f>
        <v/>
      </c>
      <c r="T29" s="18" t="str">
        <f>IF($C29="","",$J29*'Cost &amp; Risk Inputs'!AG30)</f>
        <v/>
      </c>
      <c r="U29" s="18" t="str">
        <f>IF($C29="","",$J29*'Cost &amp; Risk Inputs'!AH30)</f>
        <v/>
      </c>
      <c r="V29" s="18" t="str">
        <f>IF($C29="","",$J29*'Cost &amp; Risk Inputs'!AI30)</f>
        <v/>
      </c>
      <c r="W29" s="18" t="str">
        <f>IF($C29="","",$J29*'Cost &amp; Risk Inputs'!AJ30)</f>
        <v/>
      </c>
      <c r="X29" s="18" t="str">
        <f>IF($C29="","",$J29*'Cost &amp; Risk Inputs'!AK30)</f>
        <v/>
      </c>
      <c r="Y29" s="18" t="str">
        <f>IF($C29="","",$J29*'Cost &amp; Risk Inputs'!AL30)</f>
        <v/>
      </c>
      <c r="Z29" s="18" t="str">
        <f>IF($C29="","",$J29*'Cost &amp; Risk Inputs'!AM30)</f>
        <v/>
      </c>
      <c r="AA29" s="18" t="str">
        <f>IF($C29="","",$J29*'Cost &amp; Risk Inputs'!AN30)</f>
        <v/>
      </c>
      <c r="AB29" s="18" t="str">
        <f>IF($C29="","",$J29*'Cost &amp; Risk Inputs'!AO30)</f>
        <v/>
      </c>
      <c r="AC29" s="18" t="str">
        <f>IF($C29="","",$J29*'Cost &amp; Risk Inputs'!AP30)</f>
        <v/>
      </c>
      <c r="AD29" s="18" t="str">
        <f>IF($C29="","",$J29*'Cost &amp; Risk Inputs'!AQ30)</f>
        <v/>
      </c>
      <c r="AE29" s="18" t="str">
        <f>IF($C29="","",$J29*'Cost &amp; Risk Inputs'!AR30)</f>
        <v/>
      </c>
      <c r="AF29" s="18" t="str">
        <f>IF($C29="","",$J29*'Cost &amp; Risk Inputs'!AS30)</f>
        <v/>
      </c>
      <c r="AG29" s="18" t="str">
        <f>IF($C29="","",$J29*'Cost &amp; Risk Inputs'!AT30)</f>
        <v/>
      </c>
      <c r="AH29" s="18" t="str">
        <f>IF($C29="","",$J29*'Cost &amp; Risk Inputs'!AU30)</f>
        <v/>
      </c>
      <c r="AI29" s="18" t="str">
        <f>IF($C29="","",$J29*'Cost &amp; Risk Inputs'!AV30)</f>
        <v/>
      </c>
      <c r="AJ29" s="18" t="str">
        <f>IF($C29="","",$J29*'Cost &amp; Risk Inputs'!AW30)</f>
        <v/>
      </c>
      <c r="AK29" s="18" t="str">
        <f>IF($C29="","",$J29*'Cost &amp; Risk Inputs'!AX30)</f>
        <v/>
      </c>
      <c r="AL29" s="18" t="str">
        <f>IF($C29="","",$J29*'Cost &amp; Risk Inputs'!AY30)</f>
        <v/>
      </c>
      <c r="AM29" s="18" t="str">
        <f>IF($C29="","",$J29*'Cost &amp; Risk Inputs'!AZ30)</f>
        <v/>
      </c>
      <c r="AN29" s="18" t="str">
        <f>IF($C29="","",$J29*'Cost &amp; Risk Inputs'!BA30)</f>
        <v/>
      </c>
      <c r="AO29" s="18" t="str">
        <f>IF($C29="","",$J29*'Cost &amp; Risk Inputs'!BB30)</f>
        <v/>
      </c>
      <c r="AP29" s="18" t="str">
        <f>IF($C29="","",$J29*'Cost &amp; Risk Inputs'!BC30)</f>
        <v/>
      </c>
      <c r="AQ29" s="18" t="str">
        <f>IF($C29="","",$J29*'Cost &amp; Risk Inputs'!BD30)</f>
        <v/>
      </c>
      <c r="AR29" s="18" t="str">
        <f>IF($C29="","",$J29*'Cost &amp; Risk Inputs'!BE30)</f>
        <v/>
      </c>
      <c r="AS29" s="18" t="str">
        <f>IF($C29="","",$J29*'Cost &amp; Risk Inputs'!BF30)</f>
        <v/>
      </c>
      <c r="AT29" s="18" t="str">
        <f>IF($C29="","",$J29*'Cost &amp; Risk Inputs'!BG30)</f>
        <v/>
      </c>
      <c r="AU29" s="18" t="str">
        <f>IF($C29="","",$J29*'Cost &amp; Risk Inputs'!BH30)</f>
        <v/>
      </c>
      <c r="AV29" s="18" t="str">
        <f>IF($C29="","",$J29*'Cost &amp; Risk Inputs'!BI30)</f>
        <v/>
      </c>
      <c r="AW29" s="18" t="str">
        <f>IF($C29="","",$J29*'Cost &amp; Risk Inputs'!BJ30)</f>
        <v/>
      </c>
      <c r="AX29" s="18" t="str">
        <f>IF($C29="","",$J29*'Cost &amp; Risk Inputs'!BK30)</f>
        <v/>
      </c>
      <c r="AY29" s="18" t="str">
        <f>IF($C29="","",$J29*'Cost &amp; Risk Inputs'!BL30)</f>
        <v/>
      </c>
      <c r="AZ29" s="18" t="str">
        <f>IF($C29="","",$J29*'Cost &amp; Risk Inputs'!BM30)</f>
        <v/>
      </c>
      <c r="BA29" s="18" t="str">
        <f>IF($C29="","",$J29*'Cost &amp; Risk Inputs'!BN30)</f>
        <v/>
      </c>
      <c r="BB29" s="18" t="str">
        <f>IF($C29="","",$J29*'Cost &amp; Risk Inputs'!BO30)</f>
        <v/>
      </c>
      <c r="BC29" s="18" t="str">
        <f>IF($C29="","",$J29*'Cost &amp; Risk Inputs'!BP30)</f>
        <v/>
      </c>
      <c r="BD29" s="18" t="str">
        <f>IF($C29="","",$J29*'Cost &amp; Risk Inputs'!BQ30)</f>
        <v/>
      </c>
      <c r="BE29" s="18" t="str">
        <f>IF($C29="","",$J29*'Cost &amp; Risk Inputs'!BR30)</f>
        <v/>
      </c>
      <c r="BF29" s="18" t="str">
        <f>IF($C29="","",$J29*'Cost &amp; Risk Inputs'!BS30)</f>
        <v/>
      </c>
      <c r="BG29" s="18" t="str">
        <f>IF($C29="","",$J29*'Cost &amp; Risk Inputs'!BT30)</f>
        <v/>
      </c>
      <c r="BH29" s="18" t="str">
        <f>IF($C29="","",$J29*'Cost &amp; Risk Inputs'!BU30)</f>
        <v/>
      </c>
      <c r="BI29" s="18" t="str">
        <f>IF($C29="","",$J29*'Cost &amp; Risk Inputs'!BV30)</f>
        <v/>
      </c>
      <c r="BJ29" s="18" t="str">
        <f>IF($C29="","",$J29*'Cost &amp; Risk Inputs'!BW30)</f>
        <v/>
      </c>
      <c r="BK29" s="18" t="str">
        <f>IF($C29="","",$J29*'Cost &amp; Risk Inputs'!BX30)</f>
        <v/>
      </c>
      <c r="BL29" s="18" t="str">
        <f>IF($C29="","",$J29*'Cost &amp; Risk Inputs'!BY30)</f>
        <v/>
      </c>
      <c r="BM29" s="18" t="str">
        <f>IF($C29="","",$J29*'Cost &amp; Risk Inputs'!BZ30)</f>
        <v/>
      </c>
      <c r="BN29" s="18" t="str">
        <f>IF($C29="","",$J29*'Cost &amp; Risk Inputs'!CA30)</f>
        <v/>
      </c>
      <c r="BO29" s="18" t="str">
        <f>IF($C29="","",$J29*'Cost &amp; Risk Inputs'!CB30)</f>
        <v/>
      </c>
      <c r="BP29" s="18" t="str">
        <f>IF($C29="","",$J29*'Cost &amp; Risk Inputs'!CC30)</f>
        <v/>
      </c>
      <c r="BQ29" s="18" t="str">
        <f>IF($C29="","",$J29*'Cost &amp; Risk Inputs'!CD30)</f>
        <v/>
      </c>
      <c r="BR29" s="18" t="str">
        <f>IF($C29="","",$J29*'Cost &amp; Risk Inputs'!CE30)</f>
        <v/>
      </c>
      <c r="BS29" s="18" t="str">
        <f>IF($C29="","",$J29*'Cost &amp; Risk Inputs'!CF30)</f>
        <v/>
      </c>
      <c r="BT29" s="18" t="str">
        <f>IF($C29="","",$J29*'Cost &amp; Risk Inputs'!CG30)</f>
        <v/>
      </c>
      <c r="BU29" s="18" t="str">
        <f>IF($C29="","",$J29*'Cost &amp; Risk Inputs'!CH30)</f>
        <v/>
      </c>
      <c r="BV29" s="18" t="str">
        <f>IF($C29="","",$J29*'Cost &amp; Risk Inputs'!CI30)</f>
        <v/>
      </c>
      <c r="BW29" s="18" t="str">
        <f>IF($C29="","",$J29*'Cost &amp; Risk Inputs'!CJ30)</f>
        <v/>
      </c>
      <c r="BX29" s="18" t="str">
        <f>IF($C29="","",$J29*'Cost &amp; Risk Inputs'!CK30)</f>
        <v/>
      </c>
      <c r="BY29" s="18" t="str">
        <f>IF($C29="","",$J29*'Cost &amp; Risk Inputs'!CL30)</f>
        <v/>
      </c>
      <c r="BZ29" s="18" t="str">
        <f>IF($C29="","",$J29*'Cost &amp; Risk Inputs'!CM30)</f>
        <v/>
      </c>
      <c r="CA29" s="18" t="str">
        <f>IF($C29="","",$J29*'Cost &amp; Risk Inputs'!CN30)</f>
        <v/>
      </c>
      <c r="CB29" s="18" t="str">
        <f>IF($C29="","",$J29*'Cost &amp; Risk Inputs'!CO30)</f>
        <v/>
      </c>
      <c r="CC29" s="18" t="str">
        <f>IF($C29="","",$J29*'Cost &amp; Risk Inputs'!CP30)</f>
        <v/>
      </c>
      <c r="CD29" s="18" t="str">
        <f>IF($C29="","",$J29*'Cost &amp; Risk Inputs'!CQ30)</f>
        <v/>
      </c>
      <c r="CE29" s="18" t="str">
        <f>IF($C29="","",$J29*'Cost &amp; Risk Inputs'!CR30)</f>
        <v/>
      </c>
      <c r="CF29" s="18" t="str">
        <f>IF($C29="","",$J29*'Cost &amp; Risk Inputs'!CS30)</f>
        <v/>
      </c>
      <c r="CG29" s="18" t="str">
        <f>IF($C29="","",$J29*'Cost &amp; Risk Inputs'!CT30)</f>
        <v/>
      </c>
      <c r="CH29" s="18" t="str">
        <f>IF($C29="","",$J29*'Cost &amp; Risk Inputs'!CU30)</f>
        <v/>
      </c>
      <c r="CI29" s="18" t="str">
        <f>IF($C29="","",$J29*'Cost &amp; Risk Inputs'!CV30)</f>
        <v/>
      </c>
      <c r="CJ29" s="18" t="str">
        <f>IF($C29="","",$J29*'Cost &amp; Risk Inputs'!CW30)</f>
        <v/>
      </c>
      <c r="CK29" s="18" t="str">
        <f>IF($C29="","",$J29*'Cost &amp; Risk Inputs'!CX30)</f>
        <v/>
      </c>
      <c r="CL29" s="18" t="str">
        <f>IF($C29="","",$J29*'Cost &amp; Risk Inputs'!CY30)</f>
        <v/>
      </c>
      <c r="CM29" s="18" t="str">
        <f>IF($C29="","",$J29*'Cost &amp; Risk Inputs'!CZ30)</f>
        <v/>
      </c>
      <c r="CN29" s="18" t="str">
        <f>IF($C29="","",$J29*'Cost &amp; Risk Inputs'!DA30)</f>
        <v/>
      </c>
      <c r="CO29" s="18" t="str">
        <f>IF($C29="","",$J29*'Cost &amp; Risk Inputs'!DB30)</f>
        <v/>
      </c>
      <c r="CP29" s="18" t="str">
        <f>IF($C29="","",$J29*'Cost &amp; Risk Inputs'!DC30)</f>
        <v/>
      </c>
      <c r="CQ29" s="18" t="str">
        <f>IF($C29="","",$J29*'Cost &amp; Risk Inputs'!DD30)</f>
        <v/>
      </c>
      <c r="CR29" s="18" t="str">
        <f>IF($C29="","",$J29*'Cost &amp; Risk Inputs'!DE30)</f>
        <v/>
      </c>
      <c r="CS29" s="18" t="str">
        <f>IF($C29="","",$J29*'Cost &amp; Risk Inputs'!DF30)</f>
        <v/>
      </c>
      <c r="CT29" s="18" t="str">
        <f>IF($C29="","",$J29*'Cost &amp; Risk Inputs'!DG30)</f>
        <v/>
      </c>
      <c r="CU29" s="18" t="str">
        <f>IF($C29="","",$J29*'Cost &amp; Risk Inputs'!DH30)</f>
        <v/>
      </c>
      <c r="CV29" s="18" t="str">
        <f>IF($C29="","",$J29*'Cost &amp; Risk Inputs'!DI30)</f>
        <v/>
      </c>
      <c r="CW29" s="18" t="str">
        <f>IF($C29="","",$J29*'Cost &amp; Risk Inputs'!DJ30)</f>
        <v/>
      </c>
      <c r="CX29" s="18" t="str">
        <f>IF($C29="","",$J29*'Cost &amp; Risk Inputs'!DK30)</f>
        <v/>
      </c>
      <c r="CZ29" s="18">
        <f t="shared" ca="1" si="1"/>
        <v>0</v>
      </c>
      <c r="DA29" s="18">
        <f t="shared" si="2"/>
        <v>0</v>
      </c>
    </row>
    <row r="30" spans="3:105" x14ac:dyDescent="0.3">
      <c r="C30" s="4" t="str">
        <f>IF('Cost &amp; Risk Inputs'!C31="","",'Cost &amp; Risk Inputs'!C31)</f>
        <v/>
      </c>
      <c r="D30" s="4" t="str">
        <f>IF(C30="","",'Cost &amp; Risk Inputs'!F31)</f>
        <v/>
      </c>
      <c r="E30" s="19" t="str">
        <f>IF(C30="","",'Cost &amp; Risk Inputs'!J31)</f>
        <v/>
      </c>
      <c r="F30" s="19" t="str">
        <f>IF(C30="","",'Cost &amp; Risk Inputs'!K31)</f>
        <v/>
      </c>
      <c r="G30" s="19" t="str">
        <f>IF(C30="","",'Cost &amp; Risk Inputs'!L31)</f>
        <v/>
      </c>
      <c r="I30" s="18" t="str">
        <f t="shared" si="0"/>
        <v/>
      </c>
      <c r="J30" s="23" t="str">
        <f>IF(C30="","",'Cost &amp; Risk Inputs'!U31/INDEX('Global Constants'!$F$24:$CQ$33,MATCH(D30,Inflation_List,0),MATCH(G30,FY,0)))</f>
        <v/>
      </c>
      <c r="M30" s="18" t="str">
        <f>IF($C30="","",$J30*'Cost &amp; Risk Inputs'!Z31)</f>
        <v/>
      </c>
      <c r="N30" s="18" t="str">
        <f>IF($C30="","",$J30*'Cost &amp; Risk Inputs'!AA31)</f>
        <v/>
      </c>
      <c r="O30" s="18" t="str">
        <f>IF($C30="","",$J30*'Cost &amp; Risk Inputs'!AB31)</f>
        <v/>
      </c>
      <c r="P30" s="18" t="str">
        <f>IF($C30="","",$J30*'Cost &amp; Risk Inputs'!AC31)</f>
        <v/>
      </c>
      <c r="Q30" s="18" t="str">
        <f>IF($C30="","",$J30*'Cost &amp; Risk Inputs'!AD31)</f>
        <v/>
      </c>
      <c r="R30" s="18" t="str">
        <f>IF($C30="","",$J30*'Cost &amp; Risk Inputs'!AE31)</f>
        <v/>
      </c>
      <c r="S30" s="18" t="str">
        <f>IF($C30="","",$J30*'Cost &amp; Risk Inputs'!AF31)</f>
        <v/>
      </c>
      <c r="T30" s="18" t="str">
        <f>IF($C30="","",$J30*'Cost &amp; Risk Inputs'!AG31)</f>
        <v/>
      </c>
      <c r="U30" s="18" t="str">
        <f>IF($C30="","",$J30*'Cost &amp; Risk Inputs'!AH31)</f>
        <v/>
      </c>
      <c r="V30" s="18" t="str">
        <f>IF($C30="","",$J30*'Cost &amp; Risk Inputs'!AI31)</f>
        <v/>
      </c>
      <c r="W30" s="18" t="str">
        <f>IF($C30="","",$J30*'Cost &amp; Risk Inputs'!AJ31)</f>
        <v/>
      </c>
      <c r="X30" s="18" t="str">
        <f>IF($C30="","",$J30*'Cost &amp; Risk Inputs'!AK31)</f>
        <v/>
      </c>
      <c r="Y30" s="18" t="str">
        <f>IF($C30="","",$J30*'Cost &amp; Risk Inputs'!AL31)</f>
        <v/>
      </c>
      <c r="Z30" s="18" t="str">
        <f>IF($C30="","",$J30*'Cost &amp; Risk Inputs'!AM31)</f>
        <v/>
      </c>
      <c r="AA30" s="18" t="str">
        <f>IF($C30="","",$J30*'Cost &amp; Risk Inputs'!AN31)</f>
        <v/>
      </c>
      <c r="AB30" s="18" t="str">
        <f>IF($C30="","",$J30*'Cost &amp; Risk Inputs'!AO31)</f>
        <v/>
      </c>
      <c r="AC30" s="18" t="str">
        <f>IF($C30="","",$J30*'Cost &amp; Risk Inputs'!AP31)</f>
        <v/>
      </c>
      <c r="AD30" s="18" t="str">
        <f>IF($C30="","",$J30*'Cost &amp; Risk Inputs'!AQ31)</f>
        <v/>
      </c>
      <c r="AE30" s="18" t="str">
        <f>IF($C30="","",$J30*'Cost &amp; Risk Inputs'!AR31)</f>
        <v/>
      </c>
      <c r="AF30" s="18" t="str">
        <f>IF($C30="","",$J30*'Cost &amp; Risk Inputs'!AS31)</f>
        <v/>
      </c>
      <c r="AG30" s="18" t="str">
        <f>IF($C30="","",$J30*'Cost &amp; Risk Inputs'!AT31)</f>
        <v/>
      </c>
      <c r="AH30" s="18" t="str">
        <f>IF($C30="","",$J30*'Cost &amp; Risk Inputs'!AU31)</f>
        <v/>
      </c>
      <c r="AI30" s="18" t="str">
        <f>IF($C30="","",$J30*'Cost &amp; Risk Inputs'!AV31)</f>
        <v/>
      </c>
      <c r="AJ30" s="18" t="str">
        <f>IF($C30="","",$J30*'Cost &amp; Risk Inputs'!AW31)</f>
        <v/>
      </c>
      <c r="AK30" s="18" t="str">
        <f>IF($C30="","",$J30*'Cost &amp; Risk Inputs'!AX31)</f>
        <v/>
      </c>
      <c r="AL30" s="18" t="str">
        <f>IF($C30="","",$J30*'Cost &amp; Risk Inputs'!AY31)</f>
        <v/>
      </c>
      <c r="AM30" s="18" t="str">
        <f>IF($C30="","",$J30*'Cost &amp; Risk Inputs'!AZ31)</f>
        <v/>
      </c>
      <c r="AN30" s="18" t="str">
        <f>IF($C30="","",$J30*'Cost &amp; Risk Inputs'!BA31)</f>
        <v/>
      </c>
      <c r="AO30" s="18" t="str">
        <f>IF($C30="","",$J30*'Cost &amp; Risk Inputs'!BB31)</f>
        <v/>
      </c>
      <c r="AP30" s="18" t="str">
        <f>IF($C30="","",$J30*'Cost &amp; Risk Inputs'!BC31)</f>
        <v/>
      </c>
      <c r="AQ30" s="18" t="str">
        <f>IF($C30="","",$J30*'Cost &amp; Risk Inputs'!BD31)</f>
        <v/>
      </c>
      <c r="AR30" s="18" t="str">
        <f>IF($C30="","",$J30*'Cost &amp; Risk Inputs'!BE31)</f>
        <v/>
      </c>
      <c r="AS30" s="18" t="str">
        <f>IF($C30="","",$J30*'Cost &amp; Risk Inputs'!BF31)</f>
        <v/>
      </c>
      <c r="AT30" s="18" t="str">
        <f>IF($C30="","",$J30*'Cost &amp; Risk Inputs'!BG31)</f>
        <v/>
      </c>
      <c r="AU30" s="18" t="str">
        <f>IF($C30="","",$J30*'Cost &amp; Risk Inputs'!BH31)</f>
        <v/>
      </c>
      <c r="AV30" s="18" t="str">
        <f>IF($C30="","",$J30*'Cost &amp; Risk Inputs'!BI31)</f>
        <v/>
      </c>
      <c r="AW30" s="18" t="str">
        <f>IF($C30="","",$J30*'Cost &amp; Risk Inputs'!BJ31)</f>
        <v/>
      </c>
      <c r="AX30" s="18" t="str">
        <f>IF($C30="","",$J30*'Cost &amp; Risk Inputs'!BK31)</f>
        <v/>
      </c>
      <c r="AY30" s="18" t="str">
        <f>IF($C30="","",$J30*'Cost &amp; Risk Inputs'!BL31)</f>
        <v/>
      </c>
      <c r="AZ30" s="18" t="str">
        <f>IF($C30="","",$J30*'Cost &amp; Risk Inputs'!BM31)</f>
        <v/>
      </c>
      <c r="BA30" s="18" t="str">
        <f>IF($C30="","",$J30*'Cost &amp; Risk Inputs'!BN31)</f>
        <v/>
      </c>
      <c r="BB30" s="18" t="str">
        <f>IF($C30="","",$J30*'Cost &amp; Risk Inputs'!BO31)</f>
        <v/>
      </c>
      <c r="BC30" s="18" t="str">
        <f>IF($C30="","",$J30*'Cost &amp; Risk Inputs'!BP31)</f>
        <v/>
      </c>
      <c r="BD30" s="18" t="str">
        <f>IF($C30="","",$J30*'Cost &amp; Risk Inputs'!BQ31)</f>
        <v/>
      </c>
      <c r="BE30" s="18" t="str">
        <f>IF($C30="","",$J30*'Cost &amp; Risk Inputs'!BR31)</f>
        <v/>
      </c>
      <c r="BF30" s="18" t="str">
        <f>IF($C30="","",$J30*'Cost &amp; Risk Inputs'!BS31)</f>
        <v/>
      </c>
      <c r="BG30" s="18" t="str">
        <f>IF($C30="","",$J30*'Cost &amp; Risk Inputs'!BT31)</f>
        <v/>
      </c>
      <c r="BH30" s="18" t="str">
        <f>IF($C30="","",$J30*'Cost &amp; Risk Inputs'!BU31)</f>
        <v/>
      </c>
      <c r="BI30" s="18" t="str">
        <f>IF($C30="","",$J30*'Cost &amp; Risk Inputs'!BV31)</f>
        <v/>
      </c>
      <c r="BJ30" s="18" t="str">
        <f>IF($C30="","",$J30*'Cost &amp; Risk Inputs'!BW31)</f>
        <v/>
      </c>
      <c r="BK30" s="18" t="str">
        <f>IF($C30="","",$J30*'Cost &amp; Risk Inputs'!BX31)</f>
        <v/>
      </c>
      <c r="BL30" s="18" t="str">
        <f>IF($C30="","",$J30*'Cost &amp; Risk Inputs'!BY31)</f>
        <v/>
      </c>
      <c r="BM30" s="18" t="str">
        <f>IF($C30="","",$J30*'Cost &amp; Risk Inputs'!BZ31)</f>
        <v/>
      </c>
      <c r="BN30" s="18" t="str">
        <f>IF($C30="","",$J30*'Cost &amp; Risk Inputs'!CA31)</f>
        <v/>
      </c>
      <c r="BO30" s="18" t="str">
        <f>IF($C30="","",$J30*'Cost &amp; Risk Inputs'!CB31)</f>
        <v/>
      </c>
      <c r="BP30" s="18" t="str">
        <f>IF($C30="","",$J30*'Cost &amp; Risk Inputs'!CC31)</f>
        <v/>
      </c>
      <c r="BQ30" s="18" t="str">
        <f>IF($C30="","",$J30*'Cost &amp; Risk Inputs'!CD31)</f>
        <v/>
      </c>
      <c r="BR30" s="18" t="str">
        <f>IF($C30="","",$J30*'Cost &amp; Risk Inputs'!CE31)</f>
        <v/>
      </c>
      <c r="BS30" s="18" t="str">
        <f>IF($C30="","",$J30*'Cost &amp; Risk Inputs'!CF31)</f>
        <v/>
      </c>
      <c r="BT30" s="18" t="str">
        <f>IF($C30="","",$J30*'Cost &amp; Risk Inputs'!CG31)</f>
        <v/>
      </c>
      <c r="BU30" s="18" t="str">
        <f>IF($C30="","",$J30*'Cost &amp; Risk Inputs'!CH31)</f>
        <v/>
      </c>
      <c r="BV30" s="18" t="str">
        <f>IF($C30="","",$J30*'Cost &amp; Risk Inputs'!CI31)</f>
        <v/>
      </c>
      <c r="BW30" s="18" t="str">
        <f>IF($C30="","",$J30*'Cost &amp; Risk Inputs'!CJ31)</f>
        <v/>
      </c>
      <c r="BX30" s="18" t="str">
        <f>IF($C30="","",$J30*'Cost &amp; Risk Inputs'!CK31)</f>
        <v/>
      </c>
      <c r="BY30" s="18" t="str">
        <f>IF($C30="","",$J30*'Cost &amp; Risk Inputs'!CL31)</f>
        <v/>
      </c>
      <c r="BZ30" s="18" t="str">
        <f>IF($C30="","",$J30*'Cost &amp; Risk Inputs'!CM31)</f>
        <v/>
      </c>
      <c r="CA30" s="18" t="str">
        <f>IF($C30="","",$J30*'Cost &amp; Risk Inputs'!CN31)</f>
        <v/>
      </c>
      <c r="CB30" s="18" t="str">
        <f>IF($C30="","",$J30*'Cost &amp; Risk Inputs'!CO31)</f>
        <v/>
      </c>
      <c r="CC30" s="18" t="str">
        <f>IF($C30="","",$J30*'Cost &amp; Risk Inputs'!CP31)</f>
        <v/>
      </c>
      <c r="CD30" s="18" t="str">
        <f>IF($C30="","",$J30*'Cost &amp; Risk Inputs'!CQ31)</f>
        <v/>
      </c>
      <c r="CE30" s="18" t="str">
        <f>IF($C30="","",$J30*'Cost &amp; Risk Inputs'!CR31)</f>
        <v/>
      </c>
      <c r="CF30" s="18" t="str">
        <f>IF($C30="","",$J30*'Cost &amp; Risk Inputs'!CS31)</f>
        <v/>
      </c>
      <c r="CG30" s="18" t="str">
        <f>IF($C30="","",$J30*'Cost &amp; Risk Inputs'!CT31)</f>
        <v/>
      </c>
      <c r="CH30" s="18" t="str">
        <f>IF($C30="","",$J30*'Cost &amp; Risk Inputs'!CU31)</f>
        <v/>
      </c>
      <c r="CI30" s="18" t="str">
        <f>IF($C30="","",$J30*'Cost &amp; Risk Inputs'!CV31)</f>
        <v/>
      </c>
      <c r="CJ30" s="18" t="str">
        <f>IF($C30="","",$J30*'Cost &amp; Risk Inputs'!CW31)</f>
        <v/>
      </c>
      <c r="CK30" s="18" t="str">
        <f>IF($C30="","",$J30*'Cost &amp; Risk Inputs'!CX31)</f>
        <v/>
      </c>
      <c r="CL30" s="18" t="str">
        <f>IF($C30="","",$J30*'Cost &amp; Risk Inputs'!CY31)</f>
        <v/>
      </c>
      <c r="CM30" s="18" t="str">
        <f>IF($C30="","",$J30*'Cost &amp; Risk Inputs'!CZ31)</f>
        <v/>
      </c>
      <c r="CN30" s="18" t="str">
        <f>IF($C30="","",$J30*'Cost &amp; Risk Inputs'!DA31)</f>
        <v/>
      </c>
      <c r="CO30" s="18" t="str">
        <f>IF($C30="","",$J30*'Cost &amp; Risk Inputs'!DB31)</f>
        <v/>
      </c>
      <c r="CP30" s="18" t="str">
        <f>IF($C30="","",$J30*'Cost &amp; Risk Inputs'!DC31)</f>
        <v/>
      </c>
      <c r="CQ30" s="18" t="str">
        <f>IF($C30="","",$J30*'Cost &amp; Risk Inputs'!DD31)</f>
        <v/>
      </c>
      <c r="CR30" s="18" t="str">
        <f>IF($C30="","",$J30*'Cost &amp; Risk Inputs'!DE31)</f>
        <v/>
      </c>
      <c r="CS30" s="18" t="str">
        <f>IF($C30="","",$J30*'Cost &amp; Risk Inputs'!DF31)</f>
        <v/>
      </c>
      <c r="CT30" s="18" t="str">
        <f>IF($C30="","",$J30*'Cost &amp; Risk Inputs'!DG31)</f>
        <v/>
      </c>
      <c r="CU30" s="18" t="str">
        <f>IF($C30="","",$J30*'Cost &amp; Risk Inputs'!DH31)</f>
        <v/>
      </c>
      <c r="CV30" s="18" t="str">
        <f>IF($C30="","",$J30*'Cost &amp; Risk Inputs'!DI31)</f>
        <v/>
      </c>
      <c r="CW30" s="18" t="str">
        <f>IF($C30="","",$J30*'Cost &amp; Risk Inputs'!DJ31)</f>
        <v/>
      </c>
      <c r="CX30" s="18" t="str">
        <f>IF($C30="","",$J30*'Cost &amp; Risk Inputs'!DK31)</f>
        <v/>
      </c>
      <c r="CZ30" s="18">
        <f t="shared" ca="1" si="1"/>
        <v>0</v>
      </c>
      <c r="DA30" s="18">
        <f t="shared" si="2"/>
        <v>0</v>
      </c>
    </row>
    <row r="31" spans="3:105" x14ac:dyDescent="0.3">
      <c r="C31" s="4" t="str">
        <f>IF('Cost &amp; Risk Inputs'!C32="","",'Cost &amp; Risk Inputs'!C32)</f>
        <v/>
      </c>
      <c r="D31" s="4" t="str">
        <f>IF(C31="","",'Cost &amp; Risk Inputs'!F32)</f>
        <v/>
      </c>
      <c r="E31" s="19" t="str">
        <f>IF(C31="","",'Cost &amp; Risk Inputs'!J32)</f>
        <v/>
      </c>
      <c r="F31" s="19" t="str">
        <f>IF(C31="","",'Cost &amp; Risk Inputs'!K32)</f>
        <v/>
      </c>
      <c r="G31" s="19" t="str">
        <f>IF(C31="","",'Cost &amp; Risk Inputs'!L32)</f>
        <v/>
      </c>
      <c r="I31" s="18" t="str">
        <f t="shared" si="0"/>
        <v/>
      </c>
      <c r="J31" s="23" t="str">
        <f>IF(C31="","",'Cost &amp; Risk Inputs'!U32/INDEX('Global Constants'!$F$24:$CQ$33,MATCH(D31,Inflation_List,0),MATCH(G31,FY,0)))</f>
        <v/>
      </c>
      <c r="M31" s="18" t="str">
        <f>IF($C31="","",$J31*'Cost &amp; Risk Inputs'!Z32)</f>
        <v/>
      </c>
      <c r="N31" s="18" t="str">
        <f>IF($C31="","",$J31*'Cost &amp; Risk Inputs'!AA32)</f>
        <v/>
      </c>
      <c r="O31" s="18" t="str">
        <f>IF($C31="","",$J31*'Cost &amp; Risk Inputs'!AB32)</f>
        <v/>
      </c>
      <c r="P31" s="18" t="str">
        <f>IF($C31="","",$J31*'Cost &amp; Risk Inputs'!AC32)</f>
        <v/>
      </c>
      <c r="Q31" s="18" t="str">
        <f>IF($C31="","",$J31*'Cost &amp; Risk Inputs'!AD32)</f>
        <v/>
      </c>
      <c r="R31" s="18" t="str">
        <f>IF($C31="","",$J31*'Cost &amp; Risk Inputs'!AE32)</f>
        <v/>
      </c>
      <c r="S31" s="18" t="str">
        <f>IF($C31="","",$J31*'Cost &amp; Risk Inputs'!AF32)</f>
        <v/>
      </c>
      <c r="T31" s="18" t="str">
        <f>IF($C31="","",$J31*'Cost &amp; Risk Inputs'!AG32)</f>
        <v/>
      </c>
      <c r="U31" s="18" t="str">
        <f>IF($C31="","",$J31*'Cost &amp; Risk Inputs'!AH32)</f>
        <v/>
      </c>
      <c r="V31" s="18" t="str">
        <f>IF($C31="","",$J31*'Cost &amp; Risk Inputs'!AI32)</f>
        <v/>
      </c>
      <c r="W31" s="18" t="str">
        <f>IF($C31="","",$J31*'Cost &amp; Risk Inputs'!AJ32)</f>
        <v/>
      </c>
      <c r="X31" s="18" t="str">
        <f>IF($C31="","",$J31*'Cost &amp; Risk Inputs'!AK32)</f>
        <v/>
      </c>
      <c r="Y31" s="18" t="str">
        <f>IF($C31="","",$J31*'Cost &amp; Risk Inputs'!AL32)</f>
        <v/>
      </c>
      <c r="Z31" s="18" t="str">
        <f>IF($C31="","",$J31*'Cost &amp; Risk Inputs'!AM32)</f>
        <v/>
      </c>
      <c r="AA31" s="18" t="str">
        <f>IF($C31="","",$J31*'Cost &amp; Risk Inputs'!AN32)</f>
        <v/>
      </c>
      <c r="AB31" s="18" t="str">
        <f>IF($C31="","",$J31*'Cost &amp; Risk Inputs'!AO32)</f>
        <v/>
      </c>
      <c r="AC31" s="18" t="str">
        <f>IF($C31="","",$J31*'Cost &amp; Risk Inputs'!AP32)</f>
        <v/>
      </c>
      <c r="AD31" s="18" t="str">
        <f>IF($C31="","",$J31*'Cost &amp; Risk Inputs'!AQ32)</f>
        <v/>
      </c>
      <c r="AE31" s="18" t="str">
        <f>IF($C31="","",$J31*'Cost &amp; Risk Inputs'!AR32)</f>
        <v/>
      </c>
      <c r="AF31" s="18" t="str">
        <f>IF($C31="","",$J31*'Cost &amp; Risk Inputs'!AS32)</f>
        <v/>
      </c>
      <c r="AG31" s="18" t="str">
        <f>IF($C31="","",$J31*'Cost &amp; Risk Inputs'!AT32)</f>
        <v/>
      </c>
      <c r="AH31" s="18" t="str">
        <f>IF($C31="","",$J31*'Cost &amp; Risk Inputs'!AU32)</f>
        <v/>
      </c>
      <c r="AI31" s="18" t="str">
        <f>IF($C31="","",$J31*'Cost &amp; Risk Inputs'!AV32)</f>
        <v/>
      </c>
      <c r="AJ31" s="18" t="str">
        <f>IF($C31="","",$J31*'Cost &amp; Risk Inputs'!AW32)</f>
        <v/>
      </c>
      <c r="AK31" s="18" t="str">
        <f>IF($C31="","",$J31*'Cost &amp; Risk Inputs'!AX32)</f>
        <v/>
      </c>
      <c r="AL31" s="18" t="str">
        <f>IF($C31="","",$J31*'Cost &amp; Risk Inputs'!AY32)</f>
        <v/>
      </c>
      <c r="AM31" s="18" t="str">
        <f>IF($C31="","",$J31*'Cost &amp; Risk Inputs'!AZ32)</f>
        <v/>
      </c>
      <c r="AN31" s="18" t="str">
        <f>IF($C31="","",$J31*'Cost &amp; Risk Inputs'!BA32)</f>
        <v/>
      </c>
      <c r="AO31" s="18" t="str">
        <f>IF($C31="","",$J31*'Cost &amp; Risk Inputs'!BB32)</f>
        <v/>
      </c>
      <c r="AP31" s="18" t="str">
        <f>IF($C31="","",$J31*'Cost &amp; Risk Inputs'!BC32)</f>
        <v/>
      </c>
      <c r="AQ31" s="18" t="str">
        <f>IF($C31="","",$J31*'Cost &amp; Risk Inputs'!BD32)</f>
        <v/>
      </c>
      <c r="AR31" s="18" t="str">
        <f>IF($C31="","",$J31*'Cost &amp; Risk Inputs'!BE32)</f>
        <v/>
      </c>
      <c r="AS31" s="18" t="str">
        <f>IF($C31="","",$J31*'Cost &amp; Risk Inputs'!BF32)</f>
        <v/>
      </c>
      <c r="AT31" s="18" t="str">
        <f>IF($C31="","",$J31*'Cost &amp; Risk Inputs'!BG32)</f>
        <v/>
      </c>
      <c r="AU31" s="18" t="str">
        <f>IF($C31="","",$J31*'Cost &amp; Risk Inputs'!BH32)</f>
        <v/>
      </c>
      <c r="AV31" s="18" t="str">
        <f>IF($C31="","",$J31*'Cost &amp; Risk Inputs'!BI32)</f>
        <v/>
      </c>
      <c r="AW31" s="18" t="str">
        <f>IF($C31="","",$J31*'Cost &amp; Risk Inputs'!BJ32)</f>
        <v/>
      </c>
      <c r="AX31" s="18" t="str">
        <f>IF($C31="","",$J31*'Cost &amp; Risk Inputs'!BK32)</f>
        <v/>
      </c>
      <c r="AY31" s="18" t="str">
        <f>IF($C31="","",$J31*'Cost &amp; Risk Inputs'!BL32)</f>
        <v/>
      </c>
      <c r="AZ31" s="18" t="str">
        <f>IF($C31="","",$J31*'Cost &amp; Risk Inputs'!BM32)</f>
        <v/>
      </c>
      <c r="BA31" s="18" t="str">
        <f>IF($C31="","",$J31*'Cost &amp; Risk Inputs'!BN32)</f>
        <v/>
      </c>
      <c r="BB31" s="18" t="str">
        <f>IF($C31="","",$J31*'Cost &amp; Risk Inputs'!BO32)</f>
        <v/>
      </c>
      <c r="BC31" s="18" t="str">
        <f>IF($C31="","",$J31*'Cost &amp; Risk Inputs'!BP32)</f>
        <v/>
      </c>
      <c r="BD31" s="18" t="str">
        <f>IF($C31="","",$J31*'Cost &amp; Risk Inputs'!BQ32)</f>
        <v/>
      </c>
      <c r="BE31" s="18" t="str">
        <f>IF($C31="","",$J31*'Cost &amp; Risk Inputs'!BR32)</f>
        <v/>
      </c>
      <c r="BF31" s="18" t="str">
        <f>IF($C31="","",$J31*'Cost &amp; Risk Inputs'!BS32)</f>
        <v/>
      </c>
      <c r="BG31" s="18" t="str">
        <f>IF($C31="","",$J31*'Cost &amp; Risk Inputs'!BT32)</f>
        <v/>
      </c>
      <c r="BH31" s="18" t="str">
        <f>IF($C31="","",$J31*'Cost &amp; Risk Inputs'!BU32)</f>
        <v/>
      </c>
      <c r="BI31" s="18" t="str">
        <f>IF($C31="","",$J31*'Cost &amp; Risk Inputs'!BV32)</f>
        <v/>
      </c>
      <c r="BJ31" s="18" t="str">
        <f>IF($C31="","",$J31*'Cost &amp; Risk Inputs'!BW32)</f>
        <v/>
      </c>
      <c r="BK31" s="18" t="str">
        <f>IF($C31="","",$J31*'Cost &amp; Risk Inputs'!BX32)</f>
        <v/>
      </c>
      <c r="BL31" s="18" t="str">
        <f>IF($C31="","",$J31*'Cost &amp; Risk Inputs'!BY32)</f>
        <v/>
      </c>
      <c r="BM31" s="18" t="str">
        <f>IF($C31="","",$J31*'Cost &amp; Risk Inputs'!BZ32)</f>
        <v/>
      </c>
      <c r="BN31" s="18" t="str">
        <f>IF($C31="","",$J31*'Cost &amp; Risk Inputs'!CA32)</f>
        <v/>
      </c>
      <c r="BO31" s="18" t="str">
        <f>IF($C31="","",$J31*'Cost &amp; Risk Inputs'!CB32)</f>
        <v/>
      </c>
      <c r="BP31" s="18" t="str">
        <f>IF($C31="","",$J31*'Cost &amp; Risk Inputs'!CC32)</f>
        <v/>
      </c>
      <c r="BQ31" s="18" t="str">
        <f>IF($C31="","",$J31*'Cost &amp; Risk Inputs'!CD32)</f>
        <v/>
      </c>
      <c r="BR31" s="18" t="str">
        <f>IF($C31="","",$J31*'Cost &amp; Risk Inputs'!CE32)</f>
        <v/>
      </c>
      <c r="BS31" s="18" t="str">
        <f>IF($C31="","",$J31*'Cost &amp; Risk Inputs'!CF32)</f>
        <v/>
      </c>
      <c r="BT31" s="18" t="str">
        <f>IF($C31="","",$J31*'Cost &amp; Risk Inputs'!CG32)</f>
        <v/>
      </c>
      <c r="BU31" s="18" t="str">
        <f>IF($C31="","",$J31*'Cost &amp; Risk Inputs'!CH32)</f>
        <v/>
      </c>
      <c r="BV31" s="18" t="str">
        <f>IF($C31="","",$J31*'Cost &amp; Risk Inputs'!CI32)</f>
        <v/>
      </c>
      <c r="BW31" s="18" t="str">
        <f>IF($C31="","",$J31*'Cost &amp; Risk Inputs'!CJ32)</f>
        <v/>
      </c>
      <c r="BX31" s="18" t="str">
        <f>IF($C31="","",$J31*'Cost &amp; Risk Inputs'!CK32)</f>
        <v/>
      </c>
      <c r="BY31" s="18" t="str">
        <f>IF($C31="","",$J31*'Cost &amp; Risk Inputs'!CL32)</f>
        <v/>
      </c>
      <c r="BZ31" s="18" t="str">
        <f>IF($C31="","",$J31*'Cost &amp; Risk Inputs'!CM32)</f>
        <v/>
      </c>
      <c r="CA31" s="18" t="str">
        <f>IF($C31="","",$J31*'Cost &amp; Risk Inputs'!CN32)</f>
        <v/>
      </c>
      <c r="CB31" s="18" t="str">
        <f>IF($C31="","",$J31*'Cost &amp; Risk Inputs'!CO32)</f>
        <v/>
      </c>
      <c r="CC31" s="18" t="str">
        <f>IF($C31="","",$J31*'Cost &amp; Risk Inputs'!CP32)</f>
        <v/>
      </c>
      <c r="CD31" s="18" t="str">
        <f>IF($C31="","",$J31*'Cost &amp; Risk Inputs'!CQ32)</f>
        <v/>
      </c>
      <c r="CE31" s="18" t="str">
        <f>IF($C31="","",$J31*'Cost &amp; Risk Inputs'!CR32)</f>
        <v/>
      </c>
      <c r="CF31" s="18" t="str">
        <f>IF($C31="","",$J31*'Cost &amp; Risk Inputs'!CS32)</f>
        <v/>
      </c>
      <c r="CG31" s="18" t="str">
        <f>IF($C31="","",$J31*'Cost &amp; Risk Inputs'!CT32)</f>
        <v/>
      </c>
      <c r="CH31" s="18" t="str">
        <f>IF($C31="","",$J31*'Cost &amp; Risk Inputs'!CU32)</f>
        <v/>
      </c>
      <c r="CI31" s="18" t="str">
        <f>IF($C31="","",$J31*'Cost &amp; Risk Inputs'!CV32)</f>
        <v/>
      </c>
      <c r="CJ31" s="18" t="str">
        <f>IF($C31="","",$J31*'Cost &amp; Risk Inputs'!CW32)</f>
        <v/>
      </c>
      <c r="CK31" s="18" t="str">
        <f>IF($C31="","",$J31*'Cost &amp; Risk Inputs'!CX32)</f>
        <v/>
      </c>
      <c r="CL31" s="18" t="str">
        <f>IF($C31="","",$J31*'Cost &amp; Risk Inputs'!CY32)</f>
        <v/>
      </c>
      <c r="CM31" s="18" t="str">
        <f>IF($C31="","",$J31*'Cost &amp; Risk Inputs'!CZ32)</f>
        <v/>
      </c>
      <c r="CN31" s="18" t="str">
        <f>IF($C31="","",$J31*'Cost &amp; Risk Inputs'!DA32)</f>
        <v/>
      </c>
      <c r="CO31" s="18" t="str">
        <f>IF($C31="","",$J31*'Cost &amp; Risk Inputs'!DB32)</f>
        <v/>
      </c>
      <c r="CP31" s="18" t="str">
        <f>IF($C31="","",$J31*'Cost &amp; Risk Inputs'!DC32)</f>
        <v/>
      </c>
      <c r="CQ31" s="18" t="str">
        <f>IF($C31="","",$J31*'Cost &amp; Risk Inputs'!DD32)</f>
        <v/>
      </c>
      <c r="CR31" s="18" t="str">
        <f>IF($C31="","",$J31*'Cost &amp; Risk Inputs'!DE32)</f>
        <v/>
      </c>
      <c r="CS31" s="18" t="str">
        <f>IF($C31="","",$J31*'Cost &amp; Risk Inputs'!DF32)</f>
        <v/>
      </c>
      <c r="CT31" s="18" t="str">
        <f>IF($C31="","",$J31*'Cost &amp; Risk Inputs'!DG32)</f>
        <v/>
      </c>
      <c r="CU31" s="18" t="str">
        <f>IF($C31="","",$J31*'Cost &amp; Risk Inputs'!DH32)</f>
        <v/>
      </c>
      <c r="CV31" s="18" t="str">
        <f>IF($C31="","",$J31*'Cost &amp; Risk Inputs'!DI32)</f>
        <v/>
      </c>
      <c r="CW31" s="18" t="str">
        <f>IF($C31="","",$J31*'Cost &amp; Risk Inputs'!DJ32)</f>
        <v/>
      </c>
      <c r="CX31" s="18" t="str">
        <f>IF($C31="","",$J31*'Cost &amp; Risk Inputs'!DK32)</f>
        <v/>
      </c>
      <c r="CZ31" s="18">
        <f t="shared" ca="1" si="1"/>
        <v>0</v>
      </c>
      <c r="DA31" s="18">
        <f t="shared" si="2"/>
        <v>0</v>
      </c>
    </row>
    <row r="32" spans="3:105" x14ac:dyDescent="0.3">
      <c r="C32" s="4" t="str">
        <f>IF('Cost &amp; Risk Inputs'!C33="","",'Cost &amp; Risk Inputs'!C33)</f>
        <v/>
      </c>
      <c r="D32" s="4" t="str">
        <f>IF(C32="","",'Cost &amp; Risk Inputs'!F33)</f>
        <v/>
      </c>
      <c r="E32" s="19" t="str">
        <f>IF(C32="","",'Cost &amp; Risk Inputs'!J33)</f>
        <v/>
      </c>
      <c r="F32" s="19" t="str">
        <f>IF(C32="","",'Cost &amp; Risk Inputs'!K33)</f>
        <v/>
      </c>
      <c r="G32" s="19" t="str">
        <f>IF(C32="","",'Cost &amp; Risk Inputs'!L33)</f>
        <v/>
      </c>
      <c r="I32" s="18" t="str">
        <f t="shared" si="0"/>
        <v/>
      </c>
      <c r="J32" s="23" t="str">
        <f>IF(C32="","",'Cost &amp; Risk Inputs'!U33/INDEX('Global Constants'!$F$24:$CQ$33,MATCH(D32,Inflation_List,0),MATCH(G32,FY,0)))</f>
        <v/>
      </c>
      <c r="M32" s="18" t="str">
        <f>IF($C32="","",$J32*'Cost &amp; Risk Inputs'!Z33)</f>
        <v/>
      </c>
      <c r="N32" s="18" t="str">
        <f>IF($C32="","",$J32*'Cost &amp; Risk Inputs'!AA33)</f>
        <v/>
      </c>
      <c r="O32" s="18" t="str">
        <f>IF($C32="","",$J32*'Cost &amp; Risk Inputs'!AB33)</f>
        <v/>
      </c>
      <c r="P32" s="18" t="str">
        <f>IF($C32="","",$J32*'Cost &amp; Risk Inputs'!AC33)</f>
        <v/>
      </c>
      <c r="Q32" s="18" t="str">
        <f>IF($C32="","",$J32*'Cost &amp; Risk Inputs'!AD33)</f>
        <v/>
      </c>
      <c r="R32" s="18" t="str">
        <f>IF($C32="","",$J32*'Cost &amp; Risk Inputs'!AE33)</f>
        <v/>
      </c>
      <c r="S32" s="18" t="str">
        <f>IF($C32="","",$J32*'Cost &amp; Risk Inputs'!AF33)</f>
        <v/>
      </c>
      <c r="T32" s="18" t="str">
        <f>IF($C32="","",$J32*'Cost &amp; Risk Inputs'!AG33)</f>
        <v/>
      </c>
      <c r="U32" s="18" t="str">
        <f>IF($C32="","",$J32*'Cost &amp; Risk Inputs'!AH33)</f>
        <v/>
      </c>
      <c r="V32" s="18" t="str">
        <f>IF($C32="","",$J32*'Cost &amp; Risk Inputs'!AI33)</f>
        <v/>
      </c>
      <c r="W32" s="18" t="str">
        <f>IF($C32="","",$J32*'Cost &amp; Risk Inputs'!AJ33)</f>
        <v/>
      </c>
      <c r="X32" s="18" t="str">
        <f>IF($C32="","",$J32*'Cost &amp; Risk Inputs'!AK33)</f>
        <v/>
      </c>
      <c r="Y32" s="18" t="str">
        <f>IF($C32="","",$J32*'Cost &amp; Risk Inputs'!AL33)</f>
        <v/>
      </c>
      <c r="Z32" s="18" t="str">
        <f>IF($C32="","",$J32*'Cost &amp; Risk Inputs'!AM33)</f>
        <v/>
      </c>
      <c r="AA32" s="18" t="str">
        <f>IF($C32="","",$J32*'Cost &amp; Risk Inputs'!AN33)</f>
        <v/>
      </c>
      <c r="AB32" s="18" t="str">
        <f>IF($C32="","",$J32*'Cost &amp; Risk Inputs'!AO33)</f>
        <v/>
      </c>
      <c r="AC32" s="18" t="str">
        <f>IF($C32="","",$J32*'Cost &amp; Risk Inputs'!AP33)</f>
        <v/>
      </c>
      <c r="AD32" s="18" t="str">
        <f>IF($C32="","",$J32*'Cost &amp; Risk Inputs'!AQ33)</f>
        <v/>
      </c>
      <c r="AE32" s="18" t="str">
        <f>IF($C32="","",$J32*'Cost &amp; Risk Inputs'!AR33)</f>
        <v/>
      </c>
      <c r="AF32" s="18" t="str">
        <f>IF($C32="","",$J32*'Cost &amp; Risk Inputs'!AS33)</f>
        <v/>
      </c>
      <c r="AG32" s="18" t="str">
        <f>IF($C32="","",$J32*'Cost &amp; Risk Inputs'!AT33)</f>
        <v/>
      </c>
      <c r="AH32" s="18" t="str">
        <f>IF($C32="","",$J32*'Cost &amp; Risk Inputs'!AU33)</f>
        <v/>
      </c>
      <c r="AI32" s="18" t="str">
        <f>IF($C32="","",$J32*'Cost &amp; Risk Inputs'!AV33)</f>
        <v/>
      </c>
      <c r="AJ32" s="18" t="str">
        <f>IF($C32="","",$J32*'Cost &amp; Risk Inputs'!AW33)</f>
        <v/>
      </c>
      <c r="AK32" s="18" t="str">
        <f>IF($C32="","",$J32*'Cost &amp; Risk Inputs'!AX33)</f>
        <v/>
      </c>
      <c r="AL32" s="18" t="str">
        <f>IF($C32="","",$J32*'Cost &amp; Risk Inputs'!AY33)</f>
        <v/>
      </c>
      <c r="AM32" s="18" t="str">
        <f>IF($C32="","",$J32*'Cost &amp; Risk Inputs'!AZ33)</f>
        <v/>
      </c>
      <c r="AN32" s="18" t="str">
        <f>IF($C32="","",$J32*'Cost &amp; Risk Inputs'!BA33)</f>
        <v/>
      </c>
      <c r="AO32" s="18" t="str">
        <f>IF($C32="","",$J32*'Cost &amp; Risk Inputs'!BB33)</f>
        <v/>
      </c>
      <c r="AP32" s="18" t="str">
        <f>IF($C32="","",$J32*'Cost &amp; Risk Inputs'!BC33)</f>
        <v/>
      </c>
      <c r="AQ32" s="18" t="str">
        <f>IF($C32="","",$J32*'Cost &amp; Risk Inputs'!BD33)</f>
        <v/>
      </c>
      <c r="AR32" s="18" t="str">
        <f>IF($C32="","",$J32*'Cost &amp; Risk Inputs'!BE33)</f>
        <v/>
      </c>
      <c r="AS32" s="18" t="str">
        <f>IF($C32="","",$J32*'Cost &amp; Risk Inputs'!BF33)</f>
        <v/>
      </c>
      <c r="AT32" s="18" t="str">
        <f>IF($C32="","",$J32*'Cost &amp; Risk Inputs'!BG33)</f>
        <v/>
      </c>
      <c r="AU32" s="18" t="str">
        <f>IF($C32="","",$J32*'Cost &amp; Risk Inputs'!BH33)</f>
        <v/>
      </c>
      <c r="AV32" s="18" t="str">
        <f>IF($C32="","",$J32*'Cost &amp; Risk Inputs'!BI33)</f>
        <v/>
      </c>
      <c r="AW32" s="18" t="str">
        <f>IF($C32="","",$J32*'Cost &amp; Risk Inputs'!BJ33)</f>
        <v/>
      </c>
      <c r="AX32" s="18" t="str">
        <f>IF($C32="","",$J32*'Cost &amp; Risk Inputs'!BK33)</f>
        <v/>
      </c>
      <c r="AY32" s="18" t="str">
        <f>IF($C32="","",$J32*'Cost &amp; Risk Inputs'!BL33)</f>
        <v/>
      </c>
      <c r="AZ32" s="18" t="str">
        <f>IF($C32="","",$J32*'Cost &amp; Risk Inputs'!BM33)</f>
        <v/>
      </c>
      <c r="BA32" s="18" t="str">
        <f>IF($C32="","",$J32*'Cost &amp; Risk Inputs'!BN33)</f>
        <v/>
      </c>
      <c r="BB32" s="18" t="str">
        <f>IF($C32="","",$J32*'Cost &amp; Risk Inputs'!BO33)</f>
        <v/>
      </c>
      <c r="BC32" s="18" t="str">
        <f>IF($C32="","",$J32*'Cost &amp; Risk Inputs'!BP33)</f>
        <v/>
      </c>
      <c r="BD32" s="18" t="str">
        <f>IF($C32="","",$J32*'Cost &amp; Risk Inputs'!BQ33)</f>
        <v/>
      </c>
      <c r="BE32" s="18" t="str">
        <f>IF($C32="","",$J32*'Cost &amp; Risk Inputs'!BR33)</f>
        <v/>
      </c>
      <c r="BF32" s="18" t="str">
        <f>IF($C32="","",$J32*'Cost &amp; Risk Inputs'!BS33)</f>
        <v/>
      </c>
      <c r="BG32" s="18" t="str">
        <f>IF($C32="","",$J32*'Cost &amp; Risk Inputs'!BT33)</f>
        <v/>
      </c>
      <c r="BH32" s="18" t="str">
        <f>IF($C32="","",$J32*'Cost &amp; Risk Inputs'!BU33)</f>
        <v/>
      </c>
      <c r="BI32" s="18" t="str">
        <f>IF($C32="","",$J32*'Cost &amp; Risk Inputs'!BV33)</f>
        <v/>
      </c>
      <c r="BJ32" s="18" t="str">
        <f>IF($C32="","",$J32*'Cost &amp; Risk Inputs'!BW33)</f>
        <v/>
      </c>
      <c r="BK32" s="18" t="str">
        <f>IF($C32="","",$J32*'Cost &amp; Risk Inputs'!BX33)</f>
        <v/>
      </c>
      <c r="BL32" s="18" t="str">
        <f>IF($C32="","",$J32*'Cost &amp; Risk Inputs'!BY33)</f>
        <v/>
      </c>
      <c r="BM32" s="18" t="str">
        <f>IF($C32="","",$J32*'Cost &amp; Risk Inputs'!BZ33)</f>
        <v/>
      </c>
      <c r="BN32" s="18" t="str">
        <f>IF($C32="","",$J32*'Cost &amp; Risk Inputs'!CA33)</f>
        <v/>
      </c>
      <c r="BO32" s="18" t="str">
        <f>IF($C32="","",$J32*'Cost &amp; Risk Inputs'!CB33)</f>
        <v/>
      </c>
      <c r="BP32" s="18" t="str">
        <f>IF($C32="","",$J32*'Cost &amp; Risk Inputs'!CC33)</f>
        <v/>
      </c>
      <c r="BQ32" s="18" t="str">
        <f>IF($C32="","",$J32*'Cost &amp; Risk Inputs'!CD33)</f>
        <v/>
      </c>
      <c r="BR32" s="18" t="str">
        <f>IF($C32="","",$J32*'Cost &amp; Risk Inputs'!CE33)</f>
        <v/>
      </c>
      <c r="BS32" s="18" t="str">
        <f>IF($C32="","",$J32*'Cost &amp; Risk Inputs'!CF33)</f>
        <v/>
      </c>
      <c r="BT32" s="18" t="str">
        <f>IF($C32="","",$J32*'Cost &amp; Risk Inputs'!CG33)</f>
        <v/>
      </c>
      <c r="BU32" s="18" t="str">
        <f>IF($C32="","",$J32*'Cost &amp; Risk Inputs'!CH33)</f>
        <v/>
      </c>
      <c r="BV32" s="18" t="str">
        <f>IF($C32="","",$J32*'Cost &amp; Risk Inputs'!CI33)</f>
        <v/>
      </c>
      <c r="BW32" s="18" t="str">
        <f>IF($C32="","",$J32*'Cost &amp; Risk Inputs'!CJ33)</f>
        <v/>
      </c>
      <c r="BX32" s="18" t="str">
        <f>IF($C32="","",$J32*'Cost &amp; Risk Inputs'!CK33)</f>
        <v/>
      </c>
      <c r="BY32" s="18" t="str">
        <f>IF($C32="","",$J32*'Cost &amp; Risk Inputs'!CL33)</f>
        <v/>
      </c>
      <c r="BZ32" s="18" t="str">
        <f>IF($C32="","",$J32*'Cost &amp; Risk Inputs'!CM33)</f>
        <v/>
      </c>
      <c r="CA32" s="18" t="str">
        <f>IF($C32="","",$J32*'Cost &amp; Risk Inputs'!CN33)</f>
        <v/>
      </c>
      <c r="CB32" s="18" t="str">
        <f>IF($C32="","",$J32*'Cost &amp; Risk Inputs'!CO33)</f>
        <v/>
      </c>
      <c r="CC32" s="18" t="str">
        <f>IF($C32="","",$J32*'Cost &amp; Risk Inputs'!CP33)</f>
        <v/>
      </c>
      <c r="CD32" s="18" t="str">
        <f>IF($C32="","",$J32*'Cost &amp; Risk Inputs'!CQ33)</f>
        <v/>
      </c>
      <c r="CE32" s="18" t="str">
        <f>IF($C32="","",$J32*'Cost &amp; Risk Inputs'!CR33)</f>
        <v/>
      </c>
      <c r="CF32" s="18" t="str">
        <f>IF($C32="","",$J32*'Cost &amp; Risk Inputs'!CS33)</f>
        <v/>
      </c>
      <c r="CG32" s="18" t="str">
        <f>IF($C32="","",$J32*'Cost &amp; Risk Inputs'!CT33)</f>
        <v/>
      </c>
      <c r="CH32" s="18" t="str">
        <f>IF($C32="","",$J32*'Cost &amp; Risk Inputs'!CU33)</f>
        <v/>
      </c>
      <c r="CI32" s="18" t="str">
        <f>IF($C32="","",$J32*'Cost &amp; Risk Inputs'!CV33)</f>
        <v/>
      </c>
      <c r="CJ32" s="18" t="str">
        <f>IF($C32="","",$J32*'Cost &amp; Risk Inputs'!CW33)</f>
        <v/>
      </c>
      <c r="CK32" s="18" t="str">
        <f>IF($C32="","",$J32*'Cost &amp; Risk Inputs'!CX33)</f>
        <v/>
      </c>
      <c r="CL32" s="18" t="str">
        <f>IF($C32="","",$J32*'Cost &amp; Risk Inputs'!CY33)</f>
        <v/>
      </c>
      <c r="CM32" s="18" t="str">
        <f>IF($C32="","",$J32*'Cost &amp; Risk Inputs'!CZ33)</f>
        <v/>
      </c>
      <c r="CN32" s="18" t="str">
        <f>IF($C32="","",$J32*'Cost &amp; Risk Inputs'!DA33)</f>
        <v/>
      </c>
      <c r="CO32" s="18" t="str">
        <f>IF($C32="","",$J32*'Cost &amp; Risk Inputs'!DB33)</f>
        <v/>
      </c>
      <c r="CP32" s="18" t="str">
        <f>IF($C32="","",$J32*'Cost &amp; Risk Inputs'!DC33)</f>
        <v/>
      </c>
      <c r="CQ32" s="18" t="str">
        <f>IF($C32="","",$J32*'Cost &amp; Risk Inputs'!DD33)</f>
        <v/>
      </c>
      <c r="CR32" s="18" t="str">
        <f>IF($C32="","",$J32*'Cost &amp; Risk Inputs'!DE33)</f>
        <v/>
      </c>
      <c r="CS32" s="18" t="str">
        <f>IF($C32="","",$J32*'Cost &amp; Risk Inputs'!DF33)</f>
        <v/>
      </c>
      <c r="CT32" s="18" t="str">
        <f>IF($C32="","",$J32*'Cost &amp; Risk Inputs'!DG33)</f>
        <v/>
      </c>
      <c r="CU32" s="18" t="str">
        <f>IF($C32="","",$J32*'Cost &amp; Risk Inputs'!DH33)</f>
        <v/>
      </c>
      <c r="CV32" s="18" t="str">
        <f>IF($C32="","",$J32*'Cost &amp; Risk Inputs'!DI33)</f>
        <v/>
      </c>
      <c r="CW32" s="18" t="str">
        <f>IF($C32="","",$J32*'Cost &amp; Risk Inputs'!DJ33)</f>
        <v/>
      </c>
      <c r="CX32" s="18" t="str">
        <f>IF($C32="","",$J32*'Cost &amp; Risk Inputs'!DK33)</f>
        <v/>
      </c>
      <c r="CZ32" s="18">
        <f t="shared" ca="1" si="1"/>
        <v>0</v>
      </c>
      <c r="DA32" s="18">
        <f t="shared" si="2"/>
        <v>0</v>
      </c>
    </row>
    <row r="33" spans="3:105" x14ac:dyDescent="0.3">
      <c r="C33" s="4" t="str">
        <f>IF('Cost &amp; Risk Inputs'!C34="","",'Cost &amp; Risk Inputs'!C34)</f>
        <v/>
      </c>
      <c r="D33" s="4" t="str">
        <f>IF(C33="","",'Cost &amp; Risk Inputs'!F34)</f>
        <v/>
      </c>
      <c r="E33" s="19" t="str">
        <f>IF(C33="","",'Cost &amp; Risk Inputs'!J34)</f>
        <v/>
      </c>
      <c r="F33" s="19" t="str">
        <f>IF(C33="","",'Cost &amp; Risk Inputs'!K34)</f>
        <v/>
      </c>
      <c r="G33" s="19" t="str">
        <f>IF(C33="","",'Cost &amp; Risk Inputs'!L34)</f>
        <v/>
      </c>
      <c r="I33" s="18" t="str">
        <f t="shared" si="0"/>
        <v/>
      </c>
      <c r="J33" s="23" t="str">
        <f>IF(C33="","",'Cost &amp; Risk Inputs'!U34/INDEX('Global Constants'!$F$24:$CQ$33,MATCH(D33,Inflation_List,0),MATCH(G33,FY,0)))</f>
        <v/>
      </c>
      <c r="M33" s="18" t="str">
        <f>IF($C33="","",$J33*'Cost &amp; Risk Inputs'!Z34)</f>
        <v/>
      </c>
      <c r="N33" s="18" t="str">
        <f>IF($C33="","",$J33*'Cost &amp; Risk Inputs'!AA34)</f>
        <v/>
      </c>
      <c r="O33" s="18" t="str">
        <f>IF($C33="","",$J33*'Cost &amp; Risk Inputs'!AB34)</f>
        <v/>
      </c>
      <c r="P33" s="18" t="str">
        <f>IF($C33="","",$J33*'Cost &amp; Risk Inputs'!AC34)</f>
        <v/>
      </c>
      <c r="Q33" s="18" t="str">
        <f>IF($C33="","",$J33*'Cost &amp; Risk Inputs'!AD34)</f>
        <v/>
      </c>
      <c r="R33" s="18" t="str">
        <f>IF($C33="","",$J33*'Cost &amp; Risk Inputs'!AE34)</f>
        <v/>
      </c>
      <c r="S33" s="18" t="str">
        <f>IF($C33="","",$J33*'Cost &amp; Risk Inputs'!AF34)</f>
        <v/>
      </c>
      <c r="T33" s="18" t="str">
        <f>IF($C33="","",$J33*'Cost &amp; Risk Inputs'!AG34)</f>
        <v/>
      </c>
      <c r="U33" s="18" t="str">
        <f>IF($C33="","",$J33*'Cost &amp; Risk Inputs'!AH34)</f>
        <v/>
      </c>
      <c r="V33" s="18" t="str">
        <f>IF($C33="","",$J33*'Cost &amp; Risk Inputs'!AI34)</f>
        <v/>
      </c>
      <c r="W33" s="18" t="str">
        <f>IF($C33="","",$J33*'Cost &amp; Risk Inputs'!AJ34)</f>
        <v/>
      </c>
      <c r="X33" s="18" t="str">
        <f>IF($C33="","",$J33*'Cost &amp; Risk Inputs'!AK34)</f>
        <v/>
      </c>
      <c r="Y33" s="18" t="str">
        <f>IF($C33="","",$J33*'Cost &amp; Risk Inputs'!AL34)</f>
        <v/>
      </c>
      <c r="Z33" s="18" t="str">
        <f>IF($C33="","",$J33*'Cost &amp; Risk Inputs'!AM34)</f>
        <v/>
      </c>
      <c r="AA33" s="18" t="str">
        <f>IF($C33="","",$J33*'Cost &amp; Risk Inputs'!AN34)</f>
        <v/>
      </c>
      <c r="AB33" s="18" t="str">
        <f>IF($C33="","",$J33*'Cost &amp; Risk Inputs'!AO34)</f>
        <v/>
      </c>
      <c r="AC33" s="18" t="str">
        <f>IF($C33="","",$J33*'Cost &amp; Risk Inputs'!AP34)</f>
        <v/>
      </c>
      <c r="AD33" s="18" t="str">
        <f>IF($C33="","",$J33*'Cost &amp; Risk Inputs'!AQ34)</f>
        <v/>
      </c>
      <c r="AE33" s="18" t="str">
        <f>IF($C33="","",$J33*'Cost &amp; Risk Inputs'!AR34)</f>
        <v/>
      </c>
      <c r="AF33" s="18" t="str">
        <f>IF($C33="","",$J33*'Cost &amp; Risk Inputs'!AS34)</f>
        <v/>
      </c>
      <c r="AG33" s="18" t="str">
        <f>IF($C33="","",$J33*'Cost &amp; Risk Inputs'!AT34)</f>
        <v/>
      </c>
      <c r="AH33" s="18" t="str">
        <f>IF($C33="","",$J33*'Cost &amp; Risk Inputs'!AU34)</f>
        <v/>
      </c>
      <c r="AI33" s="18" t="str">
        <f>IF($C33="","",$J33*'Cost &amp; Risk Inputs'!AV34)</f>
        <v/>
      </c>
      <c r="AJ33" s="18" t="str">
        <f>IF($C33="","",$J33*'Cost &amp; Risk Inputs'!AW34)</f>
        <v/>
      </c>
      <c r="AK33" s="18" t="str">
        <f>IF($C33="","",$J33*'Cost &amp; Risk Inputs'!AX34)</f>
        <v/>
      </c>
      <c r="AL33" s="18" t="str">
        <f>IF($C33="","",$J33*'Cost &amp; Risk Inputs'!AY34)</f>
        <v/>
      </c>
      <c r="AM33" s="18" t="str">
        <f>IF($C33="","",$J33*'Cost &amp; Risk Inputs'!AZ34)</f>
        <v/>
      </c>
      <c r="AN33" s="18" t="str">
        <f>IF($C33="","",$J33*'Cost &amp; Risk Inputs'!BA34)</f>
        <v/>
      </c>
      <c r="AO33" s="18" t="str">
        <f>IF($C33="","",$J33*'Cost &amp; Risk Inputs'!BB34)</f>
        <v/>
      </c>
      <c r="AP33" s="18" t="str">
        <f>IF($C33="","",$J33*'Cost &amp; Risk Inputs'!BC34)</f>
        <v/>
      </c>
      <c r="AQ33" s="18" t="str">
        <f>IF($C33="","",$J33*'Cost &amp; Risk Inputs'!BD34)</f>
        <v/>
      </c>
      <c r="AR33" s="18" t="str">
        <f>IF($C33="","",$J33*'Cost &amp; Risk Inputs'!BE34)</f>
        <v/>
      </c>
      <c r="AS33" s="18" t="str">
        <f>IF($C33="","",$J33*'Cost &amp; Risk Inputs'!BF34)</f>
        <v/>
      </c>
      <c r="AT33" s="18" t="str">
        <f>IF($C33="","",$J33*'Cost &amp; Risk Inputs'!BG34)</f>
        <v/>
      </c>
      <c r="AU33" s="18" t="str">
        <f>IF($C33="","",$J33*'Cost &amp; Risk Inputs'!BH34)</f>
        <v/>
      </c>
      <c r="AV33" s="18" t="str">
        <f>IF($C33="","",$J33*'Cost &amp; Risk Inputs'!BI34)</f>
        <v/>
      </c>
      <c r="AW33" s="18" t="str">
        <f>IF($C33="","",$J33*'Cost &amp; Risk Inputs'!BJ34)</f>
        <v/>
      </c>
      <c r="AX33" s="18" t="str">
        <f>IF($C33="","",$J33*'Cost &amp; Risk Inputs'!BK34)</f>
        <v/>
      </c>
      <c r="AY33" s="18" t="str">
        <f>IF($C33="","",$J33*'Cost &amp; Risk Inputs'!BL34)</f>
        <v/>
      </c>
      <c r="AZ33" s="18" t="str">
        <f>IF($C33="","",$J33*'Cost &amp; Risk Inputs'!BM34)</f>
        <v/>
      </c>
      <c r="BA33" s="18" t="str">
        <f>IF($C33="","",$J33*'Cost &amp; Risk Inputs'!BN34)</f>
        <v/>
      </c>
      <c r="BB33" s="18" t="str">
        <f>IF($C33="","",$J33*'Cost &amp; Risk Inputs'!BO34)</f>
        <v/>
      </c>
      <c r="BC33" s="18" t="str">
        <f>IF($C33="","",$J33*'Cost &amp; Risk Inputs'!BP34)</f>
        <v/>
      </c>
      <c r="BD33" s="18" t="str">
        <f>IF($C33="","",$J33*'Cost &amp; Risk Inputs'!BQ34)</f>
        <v/>
      </c>
      <c r="BE33" s="18" t="str">
        <f>IF($C33="","",$J33*'Cost &amp; Risk Inputs'!BR34)</f>
        <v/>
      </c>
      <c r="BF33" s="18" t="str">
        <f>IF($C33="","",$J33*'Cost &amp; Risk Inputs'!BS34)</f>
        <v/>
      </c>
      <c r="BG33" s="18" t="str">
        <f>IF($C33="","",$J33*'Cost &amp; Risk Inputs'!BT34)</f>
        <v/>
      </c>
      <c r="BH33" s="18" t="str">
        <f>IF($C33="","",$J33*'Cost &amp; Risk Inputs'!BU34)</f>
        <v/>
      </c>
      <c r="BI33" s="18" t="str">
        <f>IF($C33="","",$J33*'Cost &amp; Risk Inputs'!BV34)</f>
        <v/>
      </c>
      <c r="BJ33" s="18" t="str">
        <f>IF($C33="","",$J33*'Cost &amp; Risk Inputs'!BW34)</f>
        <v/>
      </c>
      <c r="BK33" s="18" t="str">
        <f>IF($C33="","",$J33*'Cost &amp; Risk Inputs'!BX34)</f>
        <v/>
      </c>
      <c r="BL33" s="18" t="str">
        <f>IF($C33="","",$J33*'Cost &amp; Risk Inputs'!BY34)</f>
        <v/>
      </c>
      <c r="BM33" s="18" t="str">
        <f>IF($C33="","",$J33*'Cost &amp; Risk Inputs'!BZ34)</f>
        <v/>
      </c>
      <c r="BN33" s="18" t="str">
        <f>IF($C33="","",$J33*'Cost &amp; Risk Inputs'!CA34)</f>
        <v/>
      </c>
      <c r="BO33" s="18" t="str">
        <f>IF($C33="","",$J33*'Cost &amp; Risk Inputs'!CB34)</f>
        <v/>
      </c>
      <c r="BP33" s="18" t="str">
        <f>IF($C33="","",$J33*'Cost &amp; Risk Inputs'!CC34)</f>
        <v/>
      </c>
      <c r="BQ33" s="18" t="str">
        <f>IF($C33="","",$J33*'Cost &amp; Risk Inputs'!CD34)</f>
        <v/>
      </c>
      <c r="BR33" s="18" t="str">
        <f>IF($C33="","",$J33*'Cost &amp; Risk Inputs'!CE34)</f>
        <v/>
      </c>
      <c r="BS33" s="18" t="str">
        <f>IF($C33="","",$J33*'Cost &amp; Risk Inputs'!CF34)</f>
        <v/>
      </c>
      <c r="BT33" s="18" t="str">
        <f>IF($C33="","",$J33*'Cost &amp; Risk Inputs'!CG34)</f>
        <v/>
      </c>
      <c r="BU33" s="18" t="str">
        <f>IF($C33="","",$J33*'Cost &amp; Risk Inputs'!CH34)</f>
        <v/>
      </c>
      <c r="BV33" s="18" t="str">
        <f>IF($C33="","",$J33*'Cost &amp; Risk Inputs'!CI34)</f>
        <v/>
      </c>
      <c r="BW33" s="18" t="str">
        <f>IF($C33="","",$J33*'Cost &amp; Risk Inputs'!CJ34)</f>
        <v/>
      </c>
      <c r="BX33" s="18" t="str">
        <f>IF($C33="","",$J33*'Cost &amp; Risk Inputs'!CK34)</f>
        <v/>
      </c>
      <c r="BY33" s="18" t="str">
        <f>IF($C33="","",$J33*'Cost &amp; Risk Inputs'!CL34)</f>
        <v/>
      </c>
      <c r="BZ33" s="18" t="str">
        <f>IF($C33="","",$J33*'Cost &amp; Risk Inputs'!CM34)</f>
        <v/>
      </c>
      <c r="CA33" s="18" t="str">
        <f>IF($C33="","",$J33*'Cost &amp; Risk Inputs'!CN34)</f>
        <v/>
      </c>
      <c r="CB33" s="18" t="str">
        <f>IF($C33="","",$J33*'Cost &amp; Risk Inputs'!CO34)</f>
        <v/>
      </c>
      <c r="CC33" s="18" t="str">
        <f>IF($C33="","",$J33*'Cost &amp; Risk Inputs'!CP34)</f>
        <v/>
      </c>
      <c r="CD33" s="18" t="str">
        <f>IF($C33="","",$J33*'Cost &amp; Risk Inputs'!CQ34)</f>
        <v/>
      </c>
      <c r="CE33" s="18" t="str">
        <f>IF($C33="","",$J33*'Cost &amp; Risk Inputs'!CR34)</f>
        <v/>
      </c>
      <c r="CF33" s="18" t="str">
        <f>IF($C33="","",$J33*'Cost &amp; Risk Inputs'!CS34)</f>
        <v/>
      </c>
      <c r="CG33" s="18" t="str">
        <f>IF($C33="","",$J33*'Cost &amp; Risk Inputs'!CT34)</f>
        <v/>
      </c>
      <c r="CH33" s="18" t="str">
        <f>IF($C33="","",$J33*'Cost &amp; Risk Inputs'!CU34)</f>
        <v/>
      </c>
      <c r="CI33" s="18" t="str">
        <f>IF($C33="","",$J33*'Cost &amp; Risk Inputs'!CV34)</f>
        <v/>
      </c>
      <c r="CJ33" s="18" t="str">
        <f>IF($C33="","",$J33*'Cost &amp; Risk Inputs'!CW34)</f>
        <v/>
      </c>
      <c r="CK33" s="18" t="str">
        <f>IF($C33="","",$J33*'Cost &amp; Risk Inputs'!CX34)</f>
        <v/>
      </c>
      <c r="CL33" s="18" t="str">
        <f>IF($C33="","",$J33*'Cost &amp; Risk Inputs'!CY34)</f>
        <v/>
      </c>
      <c r="CM33" s="18" t="str">
        <f>IF($C33="","",$J33*'Cost &amp; Risk Inputs'!CZ34)</f>
        <v/>
      </c>
      <c r="CN33" s="18" t="str">
        <f>IF($C33="","",$J33*'Cost &amp; Risk Inputs'!DA34)</f>
        <v/>
      </c>
      <c r="CO33" s="18" t="str">
        <f>IF($C33="","",$J33*'Cost &amp; Risk Inputs'!DB34)</f>
        <v/>
      </c>
      <c r="CP33" s="18" t="str">
        <f>IF($C33="","",$J33*'Cost &amp; Risk Inputs'!DC34)</f>
        <v/>
      </c>
      <c r="CQ33" s="18" t="str">
        <f>IF($C33="","",$J33*'Cost &amp; Risk Inputs'!DD34)</f>
        <v/>
      </c>
      <c r="CR33" s="18" t="str">
        <f>IF($C33="","",$J33*'Cost &amp; Risk Inputs'!DE34)</f>
        <v/>
      </c>
      <c r="CS33" s="18" t="str">
        <f>IF($C33="","",$J33*'Cost &amp; Risk Inputs'!DF34)</f>
        <v/>
      </c>
      <c r="CT33" s="18" t="str">
        <f>IF($C33="","",$J33*'Cost &amp; Risk Inputs'!DG34)</f>
        <v/>
      </c>
      <c r="CU33" s="18" t="str">
        <f>IF($C33="","",$J33*'Cost &amp; Risk Inputs'!DH34)</f>
        <v/>
      </c>
      <c r="CV33" s="18" t="str">
        <f>IF($C33="","",$J33*'Cost &amp; Risk Inputs'!DI34)</f>
        <v/>
      </c>
      <c r="CW33" s="18" t="str">
        <f>IF($C33="","",$J33*'Cost &amp; Risk Inputs'!DJ34)</f>
        <v/>
      </c>
      <c r="CX33" s="18" t="str">
        <f>IF($C33="","",$J33*'Cost &amp; Risk Inputs'!DK34)</f>
        <v/>
      </c>
      <c r="CZ33" s="18">
        <f t="shared" ca="1" si="1"/>
        <v>0</v>
      </c>
      <c r="DA33" s="18">
        <f t="shared" si="2"/>
        <v>0</v>
      </c>
    </row>
    <row r="34" spans="3:105" x14ac:dyDescent="0.3">
      <c r="C34" s="4" t="str">
        <f>IF('Cost &amp; Risk Inputs'!C35="","",'Cost &amp; Risk Inputs'!C35)</f>
        <v/>
      </c>
      <c r="D34" s="4" t="str">
        <f>IF(C34="","",'Cost &amp; Risk Inputs'!F35)</f>
        <v/>
      </c>
      <c r="E34" s="19" t="str">
        <f>IF(C34="","",'Cost &amp; Risk Inputs'!J35)</f>
        <v/>
      </c>
      <c r="F34" s="19" t="str">
        <f>IF(C34="","",'Cost &amp; Risk Inputs'!K35)</f>
        <v/>
      </c>
      <c r="G34" s="19" t="str">
        <f>IF(C34="","",'Cost &amp; Risk Inputs'!L35)</f>
        <v/>
      </c>
      <c r="I34" s="18" t="str">
        <f t="shared" si="0"/>
        <v/>
      </c>
      <c r="J34" s="23" t="str">
        <f>IF(C34="","",'Cost &amp; Risk Inputs'!U35/INDEX('Global Constants'!$F$24:$CQ$33,MATCH(D34,Inflation_List,0),MATCH(G34,FY,0)))</f>
        <v/>
      </c>
      <c r="M34" s="18" t="str">
        <f>IF($C34="","",$J34*'Cost &amp; Risk Inputs'!Z35)</f>
        <v/>
      </c>
      <c r="N34" s="18" t="str">
        <f>IF($C34="","",$J34*'Cost &amp; Risk Inputs'!AA35)</f>
        <v/>
      </c>
      <c r="O34" s="18" t="str">
        <f>IF($C34="","",$J34*'Cost &amp; Risk Inputs'!AB35)</f>
        <v/>
      </c>
      <c r="P34" s="18" t="str">
        <f>IF($C34="","",$J34*'Cost &amp; Risk Inputs'!AC35)</f>
        <v/>
      </c>
      <c r="Q34" s="18" t="str">
        <f>IF($C34="","",$J34*'Cost &amp; Risk Inputs'!AD35)</f>
        <v/>
      </c>
      <c r="R34" s="18" t="str">
        <f>IF($C34="","",$J34*'Cost &amp; Risk Inputs'!AE35)</f>
        <v/>
      </c>
      <c r="S34" s="18" t="str">
        <f>IF($C34="","",$J34*'Cost &amp; Risk Inputs'!AF35)</f>
        <v/>
      </c>
      <c r="T34" s="18" t="str">
        <f>IF($C34="","",$J34*'Cost &amp; Risk Inputs'!AG35)</f>
        <v/>
      </c>
      <c r="U34" s="18" t="str">
        <f>IF($C34="","",$J34*'Cost &amp; Risk Inputs'!AH35)</f>
        <v/>
      </c>
      <c r="V34" s="18" t="str">
        <f>IF($C34="","",$J34*'Cost &amp; Risk Inputs'!AI35)</f>
        <v/>
      </c>
      <c r="W34" s="18" t="str">
        <f>IF($C34="","",$J34*'Cost &amp; Risk Inputs'!AJ35)</f>
        <v/>
      </c>
      <c r="X34" s="18" t="str">
        <f>IF($C34="","",$J34*'Cost &amp; Risk Inputs'!AK35)</f>
        <v/>
      </c>
      <c r="Y34" s="18" t="str">
        <f>IF($C34="","",$J34*'Cost &amp; Risk Inputs'!AL35)</f>
        <v/>
      </c>
      <c r="Z34" s="18" t="str">
        <f>IF($C34="","",$J34*'Cost &amp; Risk Inputs'!AM35)</f>
        <v/>
      </c>
      <c r="AA34" s="18" t="str">
        <f>IF($C34="","",$J34*'Cost &amp; Risk Inputs'!AN35)</f>
        <v/>
      </c>
      <c r="AB34" s="18" t="str">
        <f>IF($C34="","",$J34*'Cost &amp; Risk Inputs'!AO35)</f>
        <v/>
      </c>
      <c r="AC34" s="18" t="str">
        <f>IF($C34="","",$J34*'Cost &amp; Risk Inputs'!AP35)</f>
        <v/>
      </c>
      <c r="AD34" s="18" t="str">
        <f>IF($C34="","",$J34*'Cost &amp; Risk Inputs'!AQ35)</f>
        <v/>
      </c>
      <c r="AE34" s="18" t="str">
        <f>IF($C34="","",$J34*'Cost &amp; Risk Inputs'!AR35)</f>
        <v/>
      </c>
      <c r="AF34" s="18" t="str">
        <f>IF($C34="","",$J34*'Cost &amp; Risk Inputs'!AS35)</f>
        <v/>
      </c>
      <c r="AG34" s="18" t="str">
        <f>IF($C34="","",$J34*'Cost &amp; Risk Inputs'!AT35)</f>
        <v/>
      </c>
      <c r="AH34" s="18" t="str">
        <f>IF($C34="","",$J34*'Cost &amp; Risk Inputs'!AU35)</f>
        <v/>
      </c>
      <c r="AI34" s="18" t="str">
        <f>IF($C34="","",$J34*'Cost &amp; Risk Inputs'!AV35)</f>
        <v/>
      </c>
      <c r="AJ34" s="18" t="str">
        <f>IF($C34="","",$J34*'Cost &amp; Risk Inputs'!AW35)</f>
        <v/>
      </c>
      <c r="AK34" s="18" t="str">
        <f>IF($C34="","",$J34*'Cost &amp; Risk Inputs'!AX35)</f>
        <v/>
      </c>
      <c r="AL34" s="18" t="str">
        <f>IF($C34="","",$J34*'Cost &amp; Risk Inputs'!AY35)</f>
        <v/>
      </c>
      <c r="AM34" s="18" t="str">
        <f>IF($C34="","",$J34*'Cost &amp; Risk Inputs'!AZ35)</f>
        <v/>
      </c>
      <c r="AN34" s="18" t="str">
        <f>IF($C34="","",$J34*'Cost &amp; Risk Inputs'!BA35)</f>
        <v/>
      </c>
      <c r="AO34" s="18" t="str">
        <f>IF($C34="","",$J34*'Cost &amp; Risk Inputs'!BB35)</f>
        <v/>
      </c>
      <c r="AP34" s="18" t="str">
        <f>IF($C34="","",$J34*'Cost &amp; Risk Inputs'!BC35)</f>
        <v/>
      </c>
      <c r="AQ34" s="18" t="str">
        <f>IF($C34="","",$J34*'Cost &amp; Risk Inputs'!BD35)</f>
        <v/>
      </c>
      <c r="AR34" s="18" t="str">
        <f>IF($C34="","",$J34*'Cost &amp; Risk Inputs'!BE35)</f>
        <v/>
      </c>
      <c r="AS34" s="18" t="str">
        <f>IF($C34="","",$J34*'Cost &amp; Risk Inputs'!BF35)</f>
        <v/>
      </c>
      <c r="AT34" s="18" t="str">
        <f>IF($C34="","",$J34*'Cost &amp; Risk Inputs'!BG35)</f>
        <v/>
      </c>
      <c r="AU34" s="18" t="str">
        <f>IF($C34="","",$J34*'Cost &amp; Risk Inputs'!BH35)</f>
        <v/>
      </c>
      <c r="AV34" s="18" t="str">
        <f>IF($C34="","",$J34*'Cost &amp; Risk Inputs'!BI35)</f>
        <v/>
      </c>
      <c r="AW34" s="18" t="str">
        <f>IF($C34="","",$J34*'Cost &amp; Risk Inputs'!BJ35)</f>
        <v/>
      </c>
      <c r="AX34" s="18" t="str">
        <f>IF($C34="","",$J34*'Cost &amp; Risk Inputs'!BK35)</f>
        <v/>
      </c>
      <c r="AY34" s="18" t="str">
        <f>IF($C34="","",$J34*'Cost &amp; Risk Inputs'!BL35)</f>
        <v/>
      </c>
      <c r="AZ34" s="18" t="str">
        <f>IF($C34="","",$J34*'Cost &amp; Risk Inputs'!BM35)</f>
        <v/>
      </c>
      <c r="BA34" s="18" t="str">
        <f>IF($C34="","",$J34*'Cost &amp; Risk Inputs'!BN35)</f>
        <v/>
      </c>
      <c r="BB34" s="18" t="str">
        <f>IF($C34="","",$J34*'Cost &amp; Risk Inputs'!BO35)</f>
        <v/>
      </c>
      <c r="BC34" s="18" t="str">
        <f>IF($C34="","",$J34*'Cost &amp; Risk Inputs'!BP35)</f>
        <v/>
      </c>
      <c r="BD34" s="18" t="str">
        <f>IF($C34="","",$J34*'Cost &amp; Risk Inputs'!BQ35)</f>
        <v/>
      </c>
      <c r="BE34" s="18" t="str">
        <f>IF($C34="","",$J34*'Cost &amp; Risk Inputs'!BR35)</f>
        <v/>
      </c>
      <c r="BF34" s="18" t="str">
        <f>IF($C34="","",$J34*'Cost &amp; Risk Inputs'!BS35)</f>
        <v/>
      </c>
      <c r="BG34" s="18" t="str">
        <f>IF($C34="","",$J34*'Cost &amp; Risk Inputs'!BT35)</f>
        <v/>
      </c>
      <c r="BH34" s="18" t="str">
        <f>IF($C34="","",$J34*'Cost &amp; Risk Inputs'!BU35)</f>
        <v/>
      </c>
      <c r="BI34" s="18" t="str">
        <f>IF($C34="","",$J34*'Cost &amp; Risk Inputs'!BV35)</f>
        <v/>
      </c>
      <c r="BJ34" s="18" t="str">
        <f>IF($C34="","",$J34*'Cost &amp; Risk Inputs'!BW35)</f>
        <v/>
      </c>
      <c r="BK34" s="18" t="str">
        <f>IF($C34="","",$J34*'Cost &amp; Risk Inputs'!BX35)</f>
        <v/>
      </c>
      <c r="BL34" s="18" t="str">
        <f>IF($C34="","",$J34*'Cost &amp; Risk Inputs'!BY35)</f>
        <v/>
      </c>
      <c r="BM34" s="18" t="str">
        <f>IF($C34="","",$J34*'Cost &amp; Risk Inputs'!BZ35)</f>
        <v/>
      </c>
      <c r="BN34" s="18" t="str">
        <f>IF($C34="","",$J34*'Cost &amp; Risk Inputs'!CA35)</f>
        <v/>
      </c>
      <c r="BO34" s="18" t="str">
        <f>IF($C34="","",$J34*'Cost &amp; Risk Inputs'!CB35)</f>
        <v/>
      </c>
      <c r="BP34" s="18" t="str">
        <f>IF($C34="","",$J34*'Cost &amp; Risk Inputs'!CC35)</f>
        <v/>
      </c>
      <c r="BQ34" s="18" t="str">
        <f>IF($C34="","",$J34*'Cost &amp; Risk Inputs'!CD35)</f>
        <v/>
      </c>
      <c r="BR34" s="18" t="str">
        <f>IF($C34="","",$J34*'Cost &amp; Risk Inputs'!CE35)</f>
        <v/>
      </c>
      <c r="BS34" s="18" t="str">
        <f>IF($C34="","",$J34*'Cost &amp; Risk Inputs'!CF35)</f>
        <v/>
      </c>
      <c r="BT34" s="18" t="str">
        <f>IF($C34="","",$J34*'Cost &amp; Risk Inputs'!CG35)</f>
        <v/>
      </c>
      <c r="BU34" s="18" t="str">
        <f>IF($C34="","",$J34*'Cost &amp; Risk Inputs'!CH35)</f>
        <v/>
      </c>
      <c r="BV34" s="18" t="str">
        <f>IF($C34="","",$J34*'Cost &amp; Risk Inputs'!CI35)</f>
        <v/>
      </c>
      <c r="BW34" s="18" t="str">
        <f>IF($C34="","",$J34*'Cost &amp; Risk Inputs'!CJ35)</f>
        <v/>
      </c>
      <c r="BX34" s="18" t="str">
        <f>IF($C34="","",$J34*'Cost &amp; Risk Inputs'!CK35)</f>
        <v/>
      </c>
      <c r="BY34" s="18" t="str">
        <f>IF($C34="","",$J34*'Cost &amp; Risk Inputs'!CL35)</f>
        <v/>
      </c>
      <c r="BZ34" s="18" t="str">
        <f>IF($C34="","",$J34*'Cost &amp; Risk Inputs'!CM35)</f>
        <v/>
      </c>
      <c r="CA34" s="18" t="str">
        <f>IF($C34="","",$J34*'Cost &amp; Risk Inputs'!CN35)</f>
        <v/>
      </c>
      <c r="CB34" s="18" t="str">
        <f>IF($C34="","",$J34*'Cost &amp; Risk Inputs'!CO35)</f>
        <v/>
      </c>
      <c r="CC34" s="18" t="str">
        <f>IF($C34="","",$J34*'Cost &amp; Risk Inputs'!CP35)</f>
        <v/>
      </c>
      <c r="CD34" s="18" t="str">
        <f>IF($C34="","",$J34*'Cost &amp; Risk Inputs'!CQ35)</f>
        <v/>
      </c>
      <c r="CE34" s="18" t="str">
        <f>IF($C34="","",$J34*'Cost &amp; Risk Inputs'!CR35)</f>
        <v/>
      </c>
      <c r="CF34" s="18" t="str">
        <f>IF($C34="","",$J34*'Cost &amp; Risk Inputs'!CS35)</f>
        <v/>
      </c>
      <c r="CG34" s="18" t="str">
        <f>IF($C34="","",$J34*'Cost &amp; Risk Inputs'!CT35)</f>
        <v/>
      </c>
      <c r="CH34" s="18" t="str">
        <f>IF($C34="","",$J34*'Cost &amp; Risk Inputs'!CU35)</f>
        <v/>
      </c>
      <c r="CI34" s="18" t="str">
        <f>IF($C34="","",$J34*'Cost &amp; Risk Inputs'!CV35)</f>
        <v/>
      </c>
      <c r="CJ34" s="18" t="str">
        <f>IF($C34="","",$J34*'Cost &amp; Risk Inputs'!CW35)</f>
        <v/>
      </c>
      <c r="CK34" s="18" t="str">
        <f>IF($C34="","",$J34*'Cost &amp; Risk Inputs'!CX35)</f>
        <v/>
      </c>
      <c r="CL34" s="18" t="str">
        <f>IF($C34="","",$J34*'Cost &amp; Risk Inputs'!CY35)</f>
        <v/>
      </c>
      <c r="CM34" s="18" t="str">
        <f>IF($C34="","",$J34*'Cost &amp; Risk Inputs'!CZ35)</f>
        <v/>
      </c>
      <c r="CN34" s="18" t="str">
        <f>IF($C34="","",$J34*'Cost &amp; Risk Inputs'!DA35)</f>
        <v/>
      </c>
      <c r="CO34" s="18" t="str">
        <f>IF($C34="","",$J34*'Cost &amp; Risk Inputs'!DB35)</f>
        <v/>
      </c>
      <c r="CP34" s="18" t="str">
        <f>IF($C34="","",$J34*'Cost &amp; Risk Inputs'!DC35)</f>
        <v/>
      </c>
      <c r="CQ34" s="18" t="str">
        <f>IF($C34="","",$J34*'Cost &amp; Risk Inputs'!DD35)</f>
        <v/>
      </c>
      <c r="CR34" s="18" t="str">
        <f>IF($C34="","",$J34*'Cost &amp; Risk Inputs'!DE35)</f>
        <v/>
      </c>
      <c r="CS34" s="18" t="str">
        <f>IF($C34="","",$J34*'Cost &amp; Risk Inputs'!DF35)</f>
        <v/>
      </c>
      <c r="CT34" s="18" t="str">
        <f>IF($C34="","",$J34*'Cost &amp; Risk Inputs'!DG35)</f>
        <v/>
      </c>
      <c r="CU34" s="18" t="str">
        <f>IF($C34="","",$J34*'Cost &amp; Risk Inputs'!DH35)</f>
        <v/>
      </c>
      <c r="CV34" s="18" t="str">
        <f>IF($C34="","",$J34*'Cost &amp; Risk Inputs'!DI35)</f>
        <v/>
      </c>
      <c r="CW34" s="18" t="str">
        <f>IF($C34="","",$J34*'Cost &amp; Risk Inputs'!DJ35)</f>
        <v/>
      </c>
      <c r="CX34" s="18" t="str">
        <f>IF($C34="","",$J34*'Cost &amp; Risk Inputs'!DK35)</f>
        <v/>
      </c>
      <c r="CZ34" s="18">
        <f t="shared" ca="1" si="1"/>
        <v>0</v>
      </c>
      <c r="DA34" s="18">
        <f t="shared" si="2"/>
        <v>0</v>
      </c>
    </row>
    <row r="35" spans="3:105" x14ac:dyDescent="0.3">
      <c r="C35" s="4" t="str">
        <f>IF('Cost &amp; Risk Inputs'!C36="","",'Cost &amp; Risk Inputs'!C36)</f>
        <v/>
      </c>
      <c r="D35" s="4" t="str">
        <f>IF(C35="","",'Cost &amp; Risk Inputs'!F36)</f>
        <v/>
      </c>
      <c r="E35" s="19" t="str">
        <f>IF(C35="","",'Cost &amp; Risk Inputs'!J36)</f>
        <v/>
      </c>
      <c r="F35" s="19" t="str">
        <f>IF(C35="","",'Cost &amp; Risk Inputs'!K36)</f>
        <v/>
      </c>
      <c r="G35" s="19" t="str">
        <f>IF(C35="","",'Cost &amp; Risk Inputs'!L36)</f>
        <v/>
      </c>
      <c r="I35" s="18" t="str">
        <f t="shared" si="0"/>
        <v/>
      </c>
      <c r="J35" s="23" t="str">
        <f>IF(C35="","",'Cost &amp; Risk Inputs'!U36/INDEX('Global Constants'!$F$24:$CQ$33,MATCH(D35,Inflation_List,0),MATCH(G35,FY,0)))</f>
        <v/>
      </c>
      <c r="M35" s="18" t="str">
        <f>IF($C35="","",$J35*'Cost &amp; Risk Inputs'!Z36)</f>
        <v/>
      </c>
      <c r="N35" s="18" t="str">
        <f>IF($C35="","",$J35*'Cost &amp; Risk Inputs'!AA36)</f>
        <v/>
      </c>
      <c r="O35" s="18" t="str">
        <f>IF($C35="","",$J35*'Cost &amp; Risk Inputs'!AB36)</f>
        <v/>
      </c>
      <c r="P35" s="18" t="str">
        <f>IF($C35="","",$J35*'Cost &amp; Risk Inputs'!AC36)</f>
        <v/>
      </c>
      <c r="Q35" s="18" t="str">
        <f>IF($C35="","",$J35*'Cost &amp; Risk Inputs'!AD36)</f>
        <v/>
      </c>
      <c r="R35" s="18" t="str">
        <f>IF($C35="","",$J35*'Cost &amp; Risk Inputs'!AE36)</f>
        <v/>
      </c>
      <c r="S35" s="18" t="str">
        <f>IF($C35="","",$J35*'Cost &amp; Risk Inputs'!AF36)</f>
        <v/>
      </c>
      <c r="T35" s="18" t="str">
        <f>IF($C35="","",$J35*'Cost &amp; Risk Inputs'!AG36)</f>
        <v/>
      </c>
      <c r="U35" s="18" t="str">
        <f>IF($C35="","",$J35*'Cost &amp; Risk Inputs'!AH36)</f>
        <v/>
      </c>
      <c r="V35" s="18" t="str">
        <f>IF($C35="","",$J35*'Cost &amp; Risk Inputs'!AI36)</f>
        <v/>
      </c>
      <c r="W35" s="18" t="str">
        <f>IF($C35="","",$J35*'Cost &amp; Risk Inputs'!AJ36)</f>
        <v/>
      </c>
      <c r="X35" s="18" t="str">
        <f>IF($C35="","",$J35*'Cost &amp; Risk Inputs'!AK36)</f>
        <v/>
      </c>
      <c r="Y35" s="18" t="str">
        <f>IF($C35="","",$J35*'Cost &amp; Risk Inputs'!AL36)</f>
        <v/>
      </c>
      <c r="Z35" s="18" t="str">
        <f>IF($C35="","",$J35*'Cost &amp; Risk Inputs'!AM36)</f>
        <v/>
      </c>
      <c r="AA35" s="18" t="str">
        <f>IF($C35="","",$J35*'Cost &amp; Risk Inputs'!AN36)</f>
        <v/>
      </c>
      <c r="AB35" s="18" t="str">
        <f>IF($C35="","",$J35*'Cost &amp; Risk Inputs'!AO36)</f>
        <v/>
      </c>
      <c r="AC35" s="18" t="str">
        <f>IF($C35="","",$J35*'Cost &amp; Risk Inputs'!AP36)</f>
        <v/>
      </c>
      <c r="AD35" s="18" t="str">
        <f>IF($C35="","",$J35*'Cost &amp; Risk Inputs'!AQ36)</f>
        <v/>
      </c>
      <c r="AE35" s="18" t="str">
        <f>IF($C35="","",$J35*'Cost &amp; Risk Inputs'!AR36)</f>
        <v/>
      </c>
      <c r="AF35" s="18" t="str">
        <f>IF($C35="","",$J35*'Cost &amp; Risk Inputs'!AS36)</f>
        <v/>
      </c>
      <c r="AG35" s="18" t="str">
        <f>IF($C35="","",$J35*'Cost &amp; Risk Inputs'!AT36)</f>
        <v/>
      </c>
      <c r="AH35" s="18" t="str">
        <f>IF($C35="","",$J35*'Cost &amp; Risk Inputs'!AU36)</f>
        <v/>
      </c>
      <c r="AI35" s="18" t="str">
        <f>IF($C35="","",$J35*'Cost &amp; Risk Inputs'!AV36)</f>
        <v/>
      </c>
      <c r="AJ35" s="18" t="str">
        <f>IF($C35="","",$J35*'Cost &amp; Risk Inputs'!AW36)</f>
        <v/>
      </c>
      <c r="AK35" s="18" t="str">
        <f>IF($C35="","",$J35*'Cost &amp; Risk Inputs'!AX36)</f>
        <v/>
      </c>
      <c r="AL35" s="18" t="str">
        <f>IF($C35="","",$J35*'Cost &amp; Risk Inputs'!AY36)</f>
        <v/>
      </c>
      <c r="AM35" s="18" t="str">
        <f>IF($C35="","",$J35*'Cost &amp; Risk Inputs'!AZ36)</f>
        <v/>
      </c>
      <c r="AN35" s="18" t="str">
        <f>IF($C35="","",$J35*'Cost &amp; Risk Inputs'!BA36)</f>
        <v/>
      </c>
      <c r="AO35" s="18" t="str">
        <f>IF($C35="","",$J35*'Cost &amp; Risk Inputs'!BB36)</f>
        <v/>
      </c>
      <c r="AP35" s="18" t="str">
        <f>IF($C35="","",$J35*'Cost &amp; Risk Inputs'!BC36)</f>
        <v/>
      </c>
      <c r="AQ35" s="18" t="str">
        <f>IF($C35="","",$J35*'Cost &amp; Risk Inputs'!BD36)</f>
        <v/>
      </c>
      <c r="AR35" s="18" t="str">
        <f>IF($C35="","",$J35*'Cost &amp; Risk Inputs'!BE36)</f>
        <v/>
      </c>
      <c r="AS35" s="18" t="str">
        <f>IF($C35="","",$J35*'Cost &amp; Risk Inputs'!BF36)</f>
        <v/>
      </c>
      <c r="AT35" s="18" t="str">
        <f>IF($C35="","",$J35*'Cost &amp; Risk Inputs'!BG36)</f>
        <v/>
      </c>
      <c r="AU35" s="18" t="str">
        <f>IF($C35="","",$J35*'Cost &amp; Risk Inputs'!BH36)</f>
        <v/>
      </c>
      <c r="AV35" s="18" t="str">
        <f>IF($C35="","",$J35*'Cost &amp; Risk Inputs'!BI36)</f>
        <v/>
      </c>
      <c r="AW35" s="18" t="str">
        <f>IF($C35="","",$J35*'Cost &amp; Risk Inputs'!BJ36)</f>
        <v/>
      </c>
      <c r="AX35" s="18" t="str">
        <f>IF($C35="","",$J35*'Cost &amp; Risk Inputs'!BK36)</f>
        <v/>
      </c>
      <c r="AY35" s="18" t="str">
        <f>IF($C35="","",$J35*'Cost &amp; Risk Inputs'!BL36)</f>
        <v/>
      </c>
      <c r="AZ35" s="18" t="str">
        <f>IF($C35="","",$J35*'Cost &amp; Risk Inputs'!BM36)</f>
        <v/>
      </c>
      <c r="BA35" s="18" t="str">
        <f>IF($C35="","",$J35*'Cost &amp; Risk Inputs'!BN36)</f>
        <v/>
      </c>
      <c r="BB35" s="18" t="str">
        <f>IF($C35="","",$J35*'Cost &amp; Risk Inputs'!BO36)</f>
        <v/>
      </c>
      <c r="BC35" s="18" t="str">
        <f>IF($C35="","",$J35*'Cost &amp; Risk Inputs'!BP36)</f>
        <v/>
      </c>
      <c r="BD35" s="18" t="str">
        <f>IF($C35="","",$J35*'Cost &amp; Risk Inputs'!BQ36)</f>
        <v/>
      </c>
      <c r="BE35" s="18" t="str">
        <f>IF($C35="","",$J35*'Cost &amp; Risk Inputs'!BR36)</f>
        <v/>
      </c>
      <c r="BF35" s="18" t="str">
        <f>IF($C35="","",$J35*'Cost &amp; Risk Inputs'!BS36)</f>
        <v/>
      </c>
      <c r="BG35" s="18" t="str">
        <f>IF($C35="","",$J35*'Cost &amp; Risk Inputs'!BT36)</f>
        <v/>
      </c>
      <c r="BH35" s="18" t="str">
        <f>IF($C35="","",$J35*'Cost &amp; Risk Inputs'!BU36)</f>
        <v/>
      </c>
      <c r="BI35" s="18" t="str">
        <f>IF($C35="","",$J35*'Cost &amp; Risk Inputs'!BV36)</f>
        <v/>
      </c>
      <c r="BJ35" s="18" t="str">
        <f>IF($C35="","",$J35*'Cost &amp; Risk Inputs'!BW36)</f>
        <v/>
      </c>
      <c r="BK35" s="18" t="str">
        <f>IF($C35="","",$J35*'Cost &amp; Risk Inputs'!BX36)</f>
        <v/>
      </c>
      <c r="BL35" s="18" t="str">
        <f>IF($C35="","",$J35*'Cost &amp; Risk Inputs'!BY36)</f>
        <v/>
      </c>
      <c r="BM35" s="18" t="str">
        <f>IF($C35="","",$J35*'Cost &amp; Risk Inputs'!BZ36)</f>
        <v/>
      </c>
      <c r="BN35" s="18" t="str">
        <f>IF($C35="","",$J35*'Cost &amp; Risk Inputs'!CA36)</f>
        <v/>
      </c>
      <c r="BO35" s="18" t="str">
        <f>IF($C35="","",$J35*'Cost &amp; Risk Inputs'!CB36)</f>
        <v/>
      </c>
      <c r="BP35" s="18" t="str">
        <f>IF($C35="","",$J35*'Cost &amp; Risk Inputs'!CC36)</f>
        <v/>
      </c>
      <c r="BQ35" s="18" t="str">
        <f>IF($C35="","",$J35*'Cost &amp; Risk Inputs'!CD36)</f>
        <v/>
      </c>
      <c r="BR35" s="18" t="str">
        <f>IF($C35="","",$J35*'Cost &amp; Risk Inputs'!CE36)</f>
        <v/>
      </c>
      <c r="BS35" s="18" t="str">
        <f>IF($C35="","",$J35*'Cost &amp; Risk Inputs'!CF36)</f>
        <v/>
      </c>
      <c r="BT35" s="18" t="str">
        <f>IF($C35="","",$J35*'Cost &amp; Risk Inputs'!CG36)</f>
        <v/>
      </c>
      <c r="BU35" s="18" t="str">
        <f>IF($C35="","",$J35*'Cost &amp; Risk Inputs'!CH36)</f>
        <v/>
      </c>
      <c r="BV35" s="18" t="str">
        <f>IF($C35="","",$J35*'Cost &amp; Risk Inputs'!CI36)</f>
        <v/>
      </c>
      <c r="BW35" s="18" t="str">
        <f>IF($C35="","",$J35*'Cost &amp; Risk Inputs'!CJ36)</f>
        <v/>
      </c>
      <c r="BX35" s="18" t="str">
        <f>IF($C35="","",$J35*'Cost &amp; Risk Inputs'!CK36)</f>
        <v/>
      </c>
      <c r="BY35" s="18" t="str">
        <f>IF($C35="","",$J35*'Cost &amp; Risk Inputs'!CL36)</f>
        <v/>
      </c>
      <c r="BZ35" s="18" t="str">
        <f>IF($C35="","",$J35*'Cost &amp; Risk Inputs'!CM36)</f>
        <v/>
      </c>
      <c r="CA35" s="18" t="str">
        <f>IF($C35="","",$J35*'Cost &amp; Risk Inputs'!CN36)</f>
        <v/>
      </c>
      <c r="CB35" s="18" t="str">
        <f>IF($C35="","",$J35*'Cost &amp; Risk Inputs'!CO36)</f>
        <v/>
      </c>
      <c r="CC35" s="18" t="str">
        <f>IF($C35="","",$J35*'Cost &amp; Risk Inputs'!CP36)</f>
        <v/>
      </c>
      <c r="CD35" s="18" t="str">
        <f>IF($C35="","",$J35*'Cost &amp; Risk Inputs'!CQ36)</f>
        <v/>
      </c>
      <c r="CE35" s="18" t="str">
        <f>IF($C35="","",$J35*'Cost &amp; Risk Inputs'!CR36)</f>
        <v/>
      </c>
      <c r="CF35" s="18" t="str">
        <f>IF($C35="","",$J35*'Cost &amp; Risk Inputs'!CS36)</f>
        <v/>
      </c>
      <c r="CG35" s="18" t="str">
        <f>IF($C35="","",$J35*'Cost &amp; Risk Inputs'!CT36)</f>
        <v/>
      </c>
      <c r="CH35" s="18" t="str">
        <f>IF($C35="","",$J35*'Cost &amp; Risk Inputs'!CU36)</f>
        <v/>
      </c>
      <c r="CI35" s="18" t="str">
        <f>IF($C35="","",$J35*'Cost &amp; Risk Inputs'!CV36)</f>
        <v/>
      </c>
      <c r="CJ35" s="18" t="str">
        <f>IF($C35="","",$J35*'Cost &amp; Risk Inputs'!CW36)</f>
        <v/>
      </c>
      <c r="CK35" s="18" t="str">
        <f>IF($C35="","",$J35*'Cost &amp; Risk Inputs'!CX36)</f>
        <v/>
      </c>
      <c r="CL35" s="18" t="str">
        <f>IF($C35="","",$J35*'Cost &amp; Risk Inputs'!CY36)</f>
        <v/>
      </c>
      <c r="CM35" s="18" t="str">
        <f>IF($C35="","",$J35*'Cost &amp; Risk Inputs'!CZ36)</f>
        <v/>
      </c>
      <c r="CN35" s="18" t="str">
        <f>IF($C35="","",$J35*'Cost &amp; Risk Inputs'!DA36)</f>
        <v/>
      </c>
      <c r="CO35" s="18" t="str">
        <f>IF($C35="","",$J35*'Cost &amp; Risk Inputs'!DB36)</f>
        <v/>
      </c>
      <c r="CP35" s="18" t="str">
        <f>IF($C35="","",$J35*'Cost &amp; Risk Inputs'!DC36)</f>
        <v/>
      </c>
      <c r="CQ35" s="18" t="str">
        <f>IF($C35="","",$J35*'Cost &amp; Risk Inputs'!DD36)</f>
        <v/>
      </c>
      <c r="CR35" s="18" t="str">
        <f>IF($C35="","",$J35*'Cost &amp; Risk Inputs'!DE36)</f>
        <v/>
      </c>
      <c r="CS35" s="18" t="str">
        <f>IF($C35="","",$J35*'Cost &amp; Risk Inputs'!DF36)</f>
        <v/>
      </c>
      <c r="CT35" s="18" t="str">
        <f>IF($C35="","",$J35*'Cost &amp; Risk Inputs'!DG36)</f>
        <v/>
      </c>
      <c r="CU35" s="18" t="str">
        <f>IF($C35="","",$J35*'Cost &amp; Risk Inputs'!DH36)</f>
        <v/>
      </c>
      <c r="CV35" s="18" t="str">
        <f>IF($C35="","",$J35*'Cost &amp; Risk Inputs'!DI36)</f>
        <v/>
      </c>
      <c r="CW35" s="18" t="str">
        <f>IF($C35="","",$J35*'Cost &amp; Risk Inputs'!DJ36)</f>
        <v/>
      </c>
      <c r="CX35" s="18" t="str">
        <f>IF($C35="","",$J35*'Cost &amp; Risk Inputs'!DK36)</f>
        <v/>
      </c>
      <c r="CZ35" s="18">
        <f t="shared" ca="1" si="1"/>
        <v>0</v>
      </c>
      <c r="DA35" s="18">
        <f t="shared" si="2"/>
        <v>0</v>
      </c>
    </row>
    <row r="36" spans="3:105" x14ac:dyDescent="0.3">
      <c r="C36" s="4" t="str">
        <f>IF('Cost &amp; Risk Inputs'!C37="","",'Cost &amp; Risk Inputs'!C37)</f>
        <v/>
      </c>
      <c r="D36" s="4" t="str">
        <f>IF(C36="","",'Cost &amp; Risk Inputs'!F37)</f>
        <v/>
      </c>
      <c r="E36" s="19" t="str">
        <f>IF(C36="","",'Cost &amp; Risk Inputs'!J37)</f>
        <v/>
      </c>
      <c r="F36" s="19" t="str">
        <f>IF(C36="","",'Cost &amp; Risk Inputs'!K37)</f>
        <v/>
      </c>
      <c r="G36" s="19" t="str">
        <f>IF(C36="","",'Cost &amp; Risk Inputs'!L37)</f>
        <v/>
      </c>
      <c r="I36" s="18" t="str">
        <f t="shared" si="0"/>
        <v/>
      </c>
      <c r="J36" s="23" t="str">
        <f>IF(C36="","",'Cost &amp; Risk Inputs'!U37/INDEX('Global Constants'!$F$24:$CQ$33,MATCH(D36,Inflation_List,0),MATCH(G36,FY,0)))</f>
        <v/>
      </c>
      <c r="M36" s="18" t="str">
        <f>IF($C36="","",$J36*'Cost &amp; Risk Inputs'!Z37)</f>
        <v/>
      </c>
      <c r="N36" s="18" t="str">
        <f>IF($C36="","",$J36*'Cost &amp; Risk Inputs'!AA37)</f>
        <v/>
      </c>
      <c r="O36" s="18" t="str">
        <f>IF($C36="","",$J36*'Cost &amp; Risk Inputs'!AB37)</f>
        <v/>
      </c>
      <c r="P36" s="18" t="str">
        <f>IF($C36="","",$J36*'Cost &amp; Risk Inputs'!AC37)</f>
        <v/>
      </c>
      <c r="Q36" s="18" t="str">
        <f>IF($C36="","",$J36*'Cost &amp; Risk Inputs'!AD37)</f>
        <v/>
      </c>
      <c r="R36" s="18" t="str">
        <f>IF($C36="","",$J36*'Cost &amp; Risk Inputs'!AE37)</f>
        <v/>
      </c>
      <c r="S36" s="18" t="str">
        <f>IF($C36="","",$J36*'Cost &amp; Risk Inputs'!AF37)</f>
        <v/>
      </c>
      <c r="T36" s="18" t="str">
        <f>IF($C36="","",$J36*'Cost &amp; Risk Inputs'!AG37)</f>
        <v/>
      </c>
      <c r="U36" s="18" t="str">
        <f>IF($C36="","",$J36*'Cost &amp; Risk Inputs'!AH37)</f>
        <v/>
      </c>
      <c r="V36" s="18" t="str">
        <f>IF($C36="","",$J36*'Cost &amp; Risk Inputs'!AI37)</f>
        <v/>
      </c>
      <c r="W36" s="18" t="str">
        <f>IF($C36="","",$J36*'Cost &amp; Risk Inputs'!AJ37)</f>
        <v/>
      </c>
      <c r="X36" s="18" t="str">
        <f>IF($C36="","",$J36*'Cost &amp; Risk Inputs'!AK37)</f>
        <v/>
      </c>
      <c r="Y36" s="18" t="str">
        <f>IF($C36="","",$J36*'Cost &amp; Risk Inputs'!AL37)</f>
        <v/>
      </c>
      <c r="Z36" s="18" t="str">
        <f>IF($C36="","",$J36*'Cost &amp; Risk Inputs'!AM37)</f>
        <v/>
      </c>
      <c r="AA36" s="18" t="str">
        <f>IF($C36="","",$J36*'Cost &amp; Risk Inputs'!AN37)</f>
        <v/>
      </c>
      <c r="AB36" s="18" t="str">
        <f>IF($C36="","",$J36*'Cost &amp; Risk Inputs'!AO37)</f>
        <v/>
      </c>
      <c r="AC36" s="18" t="str">
        <f>IF($C36="","",$J36*'Cost &amp; Risk Inputs'!AP37)</f>
        <v/>
      </c>
      <c r="AD36" s="18" t="str">
        <f>IF($C36="","",$J36*'Cost &amp; Risk Inputs'!AQ37)</f>
        <v/>
      </c>
      <c r="AE36" s="18" t="str">
        <f>IF($C36="","",$J36*'Cost &amp; Risk Inputs'!AR37)</f>
        <v/>
      </c>
      <c r="AF36" s="18" t="str">
        <f>IF($C36="","",$J36*'Cost &amp; Risk Inputs'!AS37)</f>
        <v/>
      </c>
      <c r="AG36" s="18" t="str">
        <f>IF($C36="","",$J36*'Cost &amp; Risk Inputs'!AT37)</f>
        <v/>
      </c>
      <c r="AH36" s="18" t="str">
        <f>IF($C36="","",$J36*'Cost &amp; Risk Inputs'!AU37)</f>
        <v/>
      </c>
      <c r="AI36" s="18" t="str">
        <f>IF($C36="","",$J36*'Cost &amp; Risk Inputs'!AV37)</f>
        <v/>
      </c>
      <c r="AJ36" s="18" t="str">
        <f>IF($C36="","",$J36*'Cost &amp; Risk Inputs'!AW37)</f>
        <v/>
      </c>
      <c r="AK36" s="18" t="str">
        <f>IF($C36="","",$J36*'Cost &amp; Risk Inputs'!AX37)</f>
        <v/>
      </c>
      <c r="AL36" s="18" t="str">
        <f>IF($C36="","",$J36*'Cost &amp; Risk Inputs'!AY37)</f>
        <v/>
      </c>
      <c r="AM36" s="18" t="str">
        <f>IF($C36="","",$J36*'Cost &amp; Risk Inputs'!AZ37)</f>
        <v/>
      </c>
      <c r="AN36" s="18" t="str">
        <f>IF($C36="","",$J36*'Cost &amp; Risk Inputs'!BA37)</f>
        <v/>
      </c>
      <c r="AO36" s="18" t="str">
        <f>IF($C36="","",$J36*'Cost &amp; Risk Inputs'!BB37)</f>
        <v/>
      </c>
      <c r="AP36" s="18" t="str">
        <f>IF($C36="","",$J36*'Cost &amp; Risk Inputs'!BC37)</f>
        <v/>
      </c>
      <c r="AQ36" s="18" t="str">
        <f>IF($C36="","",$J36*'Cost &amp; Risk Inputs'!BD37)</f>
        <v/>
      </c>
      <c r="AR36" s="18" t="str">
        <f>IF($C36="","",$J36*'Cost &amp; Risk Inputs'!BE37)</f>
        <v/>
      </c>
      <c r="AS36" s="18" t="str">
        <f>IF($C36="","",$J36*'Cost &amp; Risk Inputs'!BF37)</f>
        <v/>
      </c>
      <c r="AT36" s="18" t="str">
        <f>IF($C36="","",$J36*'Cost &amp; Risk Inputs'!BG37)</f>
        <v/>
      </c>
      <c r="AU36" s="18" t="str">
        <f>IF($C36="","",$J36*'Cost &amp; Risk Inputs'!BH37)</f>
        <v/>
      </c>
      <c r="AV36" s="18" t="str">
        <f>IF($C36="","",$J36*'Cost &amp; Risk Inputs'!BI37)</f>
        <v/>
      </c>
      <c r="AW36" s="18" t="str">
        <f>IF($C36="","",$J36*'Cost &amp; Risk Inputs'!BJ37)</f>
        <v/>
      </c>
      <c r="AX36" s="18" t="str">
        <f>IF($C36="","",$J36*'Cost &amp; Risk Inputs'!BK37)</f>
        <v/>
      </c>
      <c r="AY36" s="18" t="str">
        <f>IF($C36="","",$J36*'Cost &amp; Risk Inputs'!BL37)</f>
        <v/>
      </c>
      <c r="AZ36" s="18" t="str">
        <f>IF($C36="","",$J36*'Cost &amp; Risk Inputs'!BM37)</f>
        <v/>
      </c>
      <c r="BA36" s="18" t="str">
        <f>IF($C36="","",$J36*'Cost &amp; Risk Inputs'!BN37)</f>
        <v/>
      </c>
      <c r="BB36" s="18" t="str">
        <f>IF($C36="","",$J36*'Cost &amp; Risk Inputs'!BO37)</f>
        <v/>
      </c>
      <c r="BC36" s="18" t="str">
        <f>IF($C36="","",$J36*'Cost &amp; Risk Inputs'!BP37)</f>
        <v/>
      </c>
      <c r="BD36" s="18" t="str">
        <f>IF($C36="","",$J36*'Cost &amp; Risk Inputs'!BQ37)</f>
        <v/>
      </c>
      <c r="BE36" s="18" t="str">
        <f>IF($C36="","",$J36*'Cost &amp; Risk Inputs'!BR37)</f>
        <v/>
      </c>
      <c r="BF36" s="18" t="str">
        <f>IF($C36="","",$J36*'Cost &amp; Risk Inputs'!BS37)</f>
        <v/>
      </c>
      <c r="BG36" s="18" t="str">
        <f>IF($C36="","",$J36*'Cost &amp; Risk Inputs'!BT37)</f>
        <v/>
      </c>
      <c r="BH36" s="18" t="str">
        <f>IF($C36="","",$J36*'Cost &amp; Risk Inputs'!BU37)</f>
        <v/>
      </c>
      <c r="BI36" s="18" t="str">
        <f>IF($C36="","",$J36*'Cost &amp; Risk Inputs'!BV37)</f>
        <v/>
      </c>
      <c r="BJ36" s="18" t="str">
        <f>IF($C36="","",$J36*'Cost &amp; Risk Inputs'!BW37)</f>
        <v/>
      </c>
      <c r="BK36" s="18" t="str">
        <f>IF($C36="","",$J36*'Cost &amp; Risk Inputs'!BX37)</f>
        <v/>
      </c>
      <c r="BL36" s="18" t="str">
        <f>IF($C36="","",$J36*'Cost &amp; Risk Inputs'!BY37)</f>
        <v/>
      </c>
      <c r="BM36" s="18" t="str">
        <f>IF($C36="","",$J36*'Cost &amp; Risk Inputs'!BZ37)</f>
        <v/>
      </c>
      <c r="BN36" s="18" t="str">
        <f>IF($C36="","",$J36*'Cost &amp; Risk Inputs'!CA37)</f>
        <v/>
      </c>
      <c r="BO36" s="18" t="str">
        <f>IF($C36="","",$J36*'Cost &amp; Risk Inputs'!CB37)</f>
        <v/>
      </c>
      <c r="BP36" s="18" t="str">
        <f>IF($C36="","",$J36*'Cost &amp; Risk Inputs'!CC37)</f>
        <v/>
      </c>
      <c r="BQ36" s="18" t="str">
        <f>IF($C36="","",$J36*'Cost &amp; Risk Inputs'!CD37)</f>
        <v/>
      </c>
      <c r="BR36" s="18" t="str">
        <f>IF($C36="","",$J36*'Cost &amp; Risk Inputs'!CE37)</f>
        <v/>
      </c>
      <c r="BS36" s="18" t="str">
        <f>IF($C36="","",$J36*'Cost &amp; Risk Inputs'!CF37)</f>
        <v/>
      </c>
      <c r="BT36" s="18" t="str">
        <f>IF($C36="","",$J36*'Cost &amp; Risk Inputs'!CG37)</f>
        <v/>
      </c>
      <c r="BU36" s="18" t="str">
        <f>IF($C36="","",$J36*'Cost &amp; Risk Inputs'!CH37)</f>
        <v/>
      </c>
      <c r="BV36" s="18" t="str">
        <f>IF($C36="","",$J36*'Cost &amp; Risk Inputs'!CI37)</f>
        <v/>
      </c>
      <c r="BW36" s="18" t="str">
        <f>IF($C36="","",$J36*'Cost &amp; Risk Inputs'!CJ37)</f>
        <v/>
      </c>
      <c r="BX36" s="18" t="str">
        <f>IF($C36="","",$J36*'Cost &amp; Risk Inputs'!CK37)</f>
        <v/>
      </c>
      <c r="BY36" s="18" t="str">
        <f>IF($C36="","",$J36*'Cost &amp; Risk Inputs'!CL37)</f>
        <v/>
      </c>
      <c r="BZ36" s="18" t="str">
        <f>IF($C36="","",$J36*'Cost &amp; Risk Inputs'!CM37)</f>
        <v/>
      </c>
      <c r="CA36" s="18" t="str">
        <f>IF($C36="","",$J36*'Cost &amp; Risk Inputs'!CN37)</f>
        <v/>
      </c>
      <c r="CB36" s="18" t="str">
        <f>IF($C36="","",$J36*'Cost &amp; Risk Inputs'!CO37)</f>
        <v/>
      </c>
      <c r="CC36" s="18" t="str">
        <f>IF($C36="","",$J36*'Cost &amp; Risk Inputs'!CP37)</f>
        <v/>
      </c>
      <c r="CD36" s="18" t="str">
        <f>IF($C36="","",$J36*'Cost &amp; Risk Inputs'!CQ37)</f>
        <v/>
      </c>
      <c r="CE36" s="18" t="str">
        <f>IF($C36="","",$J36*'Cost &amp; Risk Inputs'!CR37)</f>
        <v/>
      </c>
      <c r="CF36" s="18" t="str">
        <f>IF($C36="","",$J36*'Cost &amp; Risk Inputs'!CS37)</f>
        <v/>
      </c>
      <c r="CG36" s="18" t="str">
        <f>IF($C36="","",$J36*'Cost &amp; Risk Inputs'!CT37)</f>
        <v/>
      </c>
      <c r="CH36" s="18" t="str">
        <f>IF($C36="","",$J36*'Cost &amp; Risk Inputs'!CU37)</f>
        <v/>
      </c>
      <c r="CI36" s="18" t="str">
        <f>IF($C36="","",$J36*'Cost &amp; Risk Inputs'!CV37)</f>
        <v/>
      </c>
      <c r="CJ36" s="18" t="str">
        <f>IF($C36="","",$J36*'Cost &amp; Risk Inputs'!CW37)</f>
        <v/>
      </c>
      <c r="CK36" s="18" t="str">
        <f>IF($C36="","",$J36*'Cost &amp; Risk Inputs'!CX37)</f>
        <v/>
      </c>
      <c r="CL36" s="18" t="str">
        <f>IF($C36="","",$J36*'Cost &amp; Risk Inputs'!CY37)</f>
        <v/>
      </c>
      <c r="CM36" s="18" t="str">
        <f>IF($C36="","",$J36*'Cost &amp; Risk Inputs'!CZ37)</f>
        <v/>
      </c>
      <c r="CN36" s="18" t="str">
        <f>IF($C36="","",$J36*'Cost &amp; Risk Inputs'!DA37)</f>
        <v/>
      </c>
      <c r="CO36" s="18" t="str">
        <f>IF($C36="","",$J36*'Cost &amp; Risk Inputs'!DB37)</f>
        <v/>
      </c>
      <c r="CP36" s="18" t="str">
        <f>IF($C36="","",$J36*'Cost &amp; Risk Inputs'!DC37)</f>
        <v/>
      </c>
      <c r="CQ36" s="18" t="str">
        <f>IF($C36="","",$J36*'Cost &amp; Risk Inputs'!DD37)</f>
        <v/>
      </c>
      <c r="CR36" s="18" t="str">
        <f>IF($C36="","",$J36*'Cost &amp; Risk Inputs'!DE37)</f>
        <v/>
      </c>
      <c r="CS36" s="18" t="str">
        <f>IF($C36="","",$J36*'Cost &amp; Risk Inputs'!DF37)</f>
        <v/>
      </c>
      <c r="CT36" s="18" t="str">
        <f>IF($C36="","",$J36*'Cost &amp; Risk Inputs'!DG37)</f>
        <v/>
      </c>
      <c r="CU36" s="18" t="str">
        <f>IF($C36="","",$J36*'Cost &amp; Risk Inputs'!DH37)</f>
        <v/>
      </c>
      <c r="CV36" s="18" t="str">
        <f>IF($C36="","",$J36*'Cost &amp; Risk Inputs'!DI37)</f>
        <v/>
      </c>
      <c r="CW36" s="18" t="str">
        <f>IF($C36="","",$J36*'Cost &amp; Risk Inputs'!DJ37)</f>
        <v/>
      </c>
      <c r="CX36" s="18" t="str">
        <f>IF($C36="","",$J36*'Cost &amp; Risk Inputs'!DK37)</f>
        <v/>
      </c>
      <c r="CZ36" s="18">
        <f t="shared" ca="1" si="1"/>
        <v>0</v>
      </c>
      <c r="DA36" s="18">
        <f t="shared" si="2"/>
        <v>0</v>
      </c>
    </row>
    <row r="37" spans="3:105" x14ac:dyDescent="0.3">
      <c r="C37" s="4" t="str">
        <f>IF('Cost &amp; Risk Inputs'!C38="","",'Cost &amp; Risk Inputs'!C38)</f>
        <v/>
      </c>
      <c r="D37" s="4" t="str">
        <f>IF(C37="","",'Cost &amp; Risk Inputs'!F38)</f>
        <v/>
      </c>
      <c r="E37" s="19" t="str">
        <f>IF(C37="","",'Cost &amp; Risk Inputs'!J38)</f>
        <v/>
      </c>
      <c r="F37" s="19" t="str">
        <f>IF(C37="","",'Cost &amp; Risk Inputs'!K38)</f>
        <v/>
      </c>
      <c r="G37" s="19" t="str">
        <f>IF(C37="","",'Cost &amp; Risk Inputs'!L38)</f>
        <v/>
      </c>
      <c r="I37" s="18" t="str">
        <f t="shared" si="0"/>
        <v/>
      </c>
      <c r="J37" s="23" t="str">
        <f>IF(C37="","",'Cost &amp; Risk Inputs'!U38/INDEX('Global Constants'!$F$24:$CQ$33,MATCH(D37,Inflation_List,0),MATCH(G37,FY,0)))</f>
        <v/>
      </c>
      <c r="M37" s="18" t="str">
        <f>IF($C37="","",$J37*'Cost &amp; Risk Inputs'!Z38)</f>
        <v/>
      </c>
      <c r="N37" s="18" t="str">
        <f>IF($C37="","",$J37*'Cost &amp; Risk Inputs'!AA38)</f>
        <v/>
      </c>
      <c r="O37" s="18" t="str">
        <f>IF($C37="","",$J37*'Cost &amp; Risk Inputs'!AB38)</f>
        <v/>
      </c>
      <c r="P37" s="18" t="str">
        <f>IF($C37="","",$J37*'Cost &amp; Risk Inputs'!AC38)</f>
        <v/>
      </c>
      <c r="Q37" s="18" t="str">
        <f>IF($C37="","",$J37*'Cost &amp; Risk Inputs'!AD38)</f>
        <v/>
      </c>
      <c r="R37" s="18" t="str">
        <f>IF($C37="","",$J37*'Cost &amp; Risk Inputs'!AE38)</f>
        <v/>
      </c>
      <c r="S37" s="18" t="str">
        <f>IF($C37="","",$J37*'Cost &amp; Risk Inputs'!AF38)</f>
        <v/>
      </c>
      <c r="T37" s="18" t="str">
        <f>IF($C37="","",$J37*'Cost &amp; Risk Inputs'!AG38)</f>
        <v/>
      </c>
      <c r="U37" s="18" t="str">
        <f>IF($C37="","",$J37*'Cost &amp; Risk Inputs'!AH38)</f>
        <v/>
      </c>
      <c r="V37" s="18" t="str">
        <f>IF($C37="","",$J37*'Cost &amp; Risk Inputs'!AI38)</f>
        <v/>
      </c>
      <c r="W37" s="18" t="str">
        <f>IF($C37="","",$J37*'Cost &amp; Risk Inputs'!AJ38)</f>
        <v/>
      </c>
      <c r="X37" s="18" t="str">
        <f>IF($C37="","",$J37*'Cost &amp; Risk Inputs'!AK38)</f>
        <v/>
      </c>
      <c r="Y37" s="18" t="str">
        <f>IF($C37="","",$J37*'Cost &amp; Risk Inputs'!AL38)</f>
        <v/>
      </c>
      <c r="Z37" s="18" t="str">
        <f>IF($C37="","",$J37*'Cost &amp; Risk Inputs'!AM38)</f>
        <v/>
      </c>
      <c r="AA37" s="18" t="str">
        <f>IF($C37="","",$J37*'Cost &amp; Risk Inputs'!AN38)</f>
        <v/>
      </c>
      <c r="AB37" s="18" t="str">
        <f>IF($C37="","",$J37*'Cost &amp; Risk Inputs'!AO38)</f>
        <v/>
      </c>
      <c r="AC37" s="18" t="str">
        <f>IF($C37="","",$J37*'Cost &amp; Risk Inputs'!AP38)</f>
        <v/>
      </c>
      <c r="AD37" s="18" t="str">
        <f>IF($C37="","",$J37*'Cost &amp; Risk Inputs'!AQ38)</f>
        <v/>
      </c>
      <c r="AE37" s="18" t="str">
        <f>IF($C37="","",$J37*'Cost &amp; Risk Inputs'!AR38)</f>
        <v/>
      </c>
      <c r="AF37" s="18" t="str">
        <f>IF($C37="","",$J37*'Cost &amp; Risk Inputs'!AS38)</f>
        <v/>
      </c>
      <c r="AG37" s="18" t="str">
        <f>IF($C37="","",$J37*'Cost &amp; Risk Inputs'!AT38)</f>
        <v/>
      </c>
      <c r="AH37" s="18" t="str">
        <f>IF($C37="","",$J37*'Cost &amp; Risk Inputs'!AU38)</f>
        <v/>
      </c>
      <c r="AI37" s="18" t="str">
        <f>IF($C37="","",$J37*'Cost &amp; Risk Inputs'!AV38)</f>
        <v/>
      </c>
      <c r="AJ37" s="18" t="str">
        <f>IF($C37="","",$J37*'Cost &amp; Risk Inputs'!AW38)</f>
        <v/>
      </c>
      <c r="AK37" s="18" t="str">
        <f>IF($C37="","",$J37*'Cost &amp; Risk Inputs'!AX38)</f>
        <v/>
      </c>
      <c r="AL37" s="18" t="str">
        <f>IF($C37="","",$J37*'Cost &amp; Risk Inputs'!AY38)</f>
        <v/>
      </c>
      <c r="AM37" s="18" t="str">
        <f>IF($C37="","",$J37*'Cost &amp; Risk Inputs'!AZ38)</f>
        <v/>
      </c>
      <c r="AN37" s="18" t="str">
        <f>IF($C37="","",$J37*'Cost &amp; Risk Inputs'!BA38)</f>
        <v/>
      </c>
      <c r="AO37" s="18" t="str">
        <f>IF($C37="","",$J37*'Cost &amp; Risk Inputs'!BB38)</f>
        <v/>
      </c>
      <c r="AP37" s="18" t="str">
        <f>IF($C37="","",$J37*'Cost &amp; Risk Inputs'!BC38)</f>
        <v/>
      </c>
      <c r="AQ37" s="18" t="str">
        <f>IF($C37="","",$J37*'Cost &amp; Risk Inputs'!BD38)</f>
        <v/>
      </c>
      <c r="AR37" s="18" t="str">
        <f>IF($C37="","",$J37*'Cost &amp; Risk Inputs'!BE38)</f>
        <v/>
      </c>
      <c r="AS37" s="18" t="str">
        <f>IF($C37="","",$J37*'Cost &amp; Risk Inputs'!BF38)</f>
        <v/>
      </c>
      <c r="AT37" s="18" t="str">
        <f>IF($C37="","",$J37*'Cost &amp; Risk Inputs'!BG38)</f>
        <v/>
      </c>
      <c r="AU37" s="18" t="str">
        <f>IF($C37="","",$J37*'Cost &amp; Risk Inputs'!BH38)</f>
        <v/>
      </c>
      <c r="AV37" s="18" t="str">
        <f>IF($C37="","",$J37*'Cost &amp; Risk Inputs'!BI38)</f>
        <v/>
      </c>
      <c r="AW37" s="18" t="str">
        <f>IF($C37="","",$J37*'Cost &amp; Risk Inputs'!BJ38)</f>
        <v/>
      </c>
      <c r="AX37" s="18" t="str">
        <f>IF($C37="","",$J37*'Cost &amp; Risk Inputs'!BK38)</f>
        <v/>
      </c>
      <c r="AY37" s="18" t="str">
        <f>IF($C37="","",$J37*'Cost &amp; Risk Inputs'!BL38)</f>
        <v/>
      </c>
      <c r="AZ37" s="18" t="str">
        <f>IF($C37="","",$J37*'Cost &amp; Risk Inputs'!BM38)</f>
        <v/>
      </c>
      <c r="BA37" s="18" t="str">
        <f>IF($C37="","",$J37*'Cost &amp; Risk Inputs'!BN38)</f>
        <v/>
      </c>
      <c r="BB37" s="18" t="str">
        <f>IF($C37="","",$J37*'Cost &amp; Risk Inputs'!BO38)</f>
        <v/>
      </c>
      <c r="BC37" s="18" t="str">
        <f>IF($C37="","",$J37*'Cost &amp; Risk Inputs'!BP38)</f>
        <v/>
      </c>
      <c r="BD37" s="18" t="str">
        <f>IF($C37="","",$J37*'Cost &amp; Risk Inputs'!BQ38)</f>
        <v/>
      </c>
      <c r="BE37" s="18" t="str">
        <f>IF($C37="","",$J37*'Cost &amp; Risk Inputs'!BR38)</f>
        <v/>
      </c>
      <c r="BF37" s="18" t="str">
        <f>IF($C37="","",$J37*'Cost &amp; Risk Inputs'!BS38)</f>
        <v/>
      </c>
      <c r="BG37" s="18" t="str">
        <f>IF($C37="","",$J37*'Cost &amp; Risk Inputs'!BT38)</f>
        <v/>
      </c>
      <c r="BH37" s="18" t="str">
        <f>IF($C37="","",$J37*'Cost &amp; Risk Inputs'!BU38)</f>
        <v/>
      </c>
      <c r="BI37" s="18" t="str">
        <f>IF($C37="","",$J37*'Cost &amp; Risk Inputs'!BV38)</f>
        <v/>
      </c>
      <c r="BJ37" s="18" t="str">
        <f>IF($C37="","",$J37*'Cost &amp; Risk Inputs'!BW38)</f>
        <v/>
      </c>
      <c r="BK37" s="18" t="str">
        <f>IF($C37="","",$J37*'Cost &amp; Risk Inputs'!BX38)</f>
        <v/>
      </c>
      <c r="BL37" s="18" t="str">
        <f>IF($C37="","",$J37*'Cost &amp; Risk Inputs'!BY38)</f>
        <v/>
      </c>
      <c r="BM37" s="18" t="str">
        <f>IF($C37="","",$J37*'Cost &amp; Risk Inputs'!BZ38)</f>
        <v/>
      </c>
      <c r="BN37" s="18" t="str">
        <f>IF($C37="","",$J37*'Cost &amp; Risk Inputs'!CA38)</f>
        <v/>
      </c>
      <c r="BO37" s="18" t="str">
        <f>IF($C37="","",$J37*'Cost &amp; Risk Inputs'!CB38)</f>
        <v/>
      </c>
      <c r="BP37" s="18" t="str">
        <f>IF($C37="","",$J37*'Cost &amp; Risk Inputs'!CC38)</f>
        <v/>
      </c>
      <c r="BQ37" s="18" t="str">
        <f>IF($C37="","",$J37*'Cost &amp; Risk Inputs'!CD38)</f>
        <v/>
      </c>
      <c r="BR37" s="18" t="str">
        <f>IF($C37="","",$J37*'Cost &amp; Risk Inputs'!CE38)</f>
        <v/>
      </c>
      <c r="BS37" s="18" t="str">
        <f>IF($C37="","",$J37*'Cost &amp; Risk Inputs'!CF38)</f>
        <v/>
      </c>
      <c r="BT37" s="18" t="str">
        <f>IF($C37="","",$J37*'Cost &amp; Risk Inputs'!CG38)</f>
        <v/>
      </c>
      <c r="BU37" s="18" t="str">
        <f>IF($C37="","",$J37*'Cost &amp; Risk Inputs'!CH38)</f>
        <v/>
      </c>
      <c r="BV37" s="18" t="str">
        <f>IF($C37="","",$J37*'Cost &amp; Risk Inputs'!CI38)</f>
        <v/>
      </c>
      <c r="BW37" s="18" t="str">
        <f>IF($C37="","",$J37*'Cost &amp; Risk Inputs'!CJ38)</f>
        <v/>
      </c>
      <c r="BX37" s="18" t="str">
        <f>IF($C37="","",$J37*'Cost &amp; Risk Inputs'!CK38)</f>
        <v/>
      </c>
      <c r="BY37" s="18" t="str">
        <f>IF($C37="","",$J37*'Cost &amp; Risk Inputs'!CL38)</f>
        <v/>
      </c>
      <c r="BZ37" s="18" t="str">
        <f>IF($C37="","",$J37*'Cost &amp; Risk Inputs'!CM38)</f>
        <v/>
      </c>
      <c r="CA37" s="18" t="str">
        <f>IF($C37="","",$J37*'Cost &amp; Risk Inputs'!CN38)</f>
        <v/>
      </c>
      <c r="CB37" s="18" t="str">
        <f>IF($C37="","",$J37*'Cost &amp; Risk Inputs'!CO38)</f>
        <v/>
      </c>
      <c r="CC37" s="18" t="str">
        <f>IF($C37="","",$J37*'Cost &amp; Risk Inputs'!CP38)</f>
        <v/>
      </c>
      <c r="CD37" s="18" t="str">
        <f>IF($C37="","",$J37*'Cost &amp; Risk Inputs'!CQ38)</f>
        <v/>
      </c>
      <c r="CE37" s="18" t="str">
        <f>IF($C37="","",$J37*'Cost &amp; Risk Inputs'!CR38)</f>
        <v/>
      </c>
      <c r="CF37" s="18" t="str">
        <f>IF($C37="","",$J37*'Cost &amp; Risk Inputs'!CS38)</f>
        <v/>
      </c>
      <c r="CG37" s="18" t="str">
        <f>IF($C37="","",$J37*'Cost &amp; Risk Inputs'!CT38)</f>
        <v/>
      </c>
      <c r="CH37" s="18" t="str">
        <f>IF($C37="","",$J37*'Cost &amp; Risk Inputs'!CU38)</f>
        <v/>
      </c>
      <c r="CI37" s="18" t="str">
        <f>IF($C37="","",$J37*'Cost &amp; Risk Inputs'!CV38)</f>
        <v/>
      </c>
      <c r="CJ37" s="18" t="str">
        <f>IF($C37="","",$J37*'Cost &amp; Risk Inputs'!CW38)</f>
        <v/>
      </c>
      <c r="CK37" s="18" t="str">
        <f>IF($C37="","",$J37*'Cost &amp; Risk Inputs'!CX38)</f>
        <v/>
      </c>
      <c r="CL37" s="18" t="str">
        <f>IF($C37="","",$J37*'Cost &amp; Risk Inputs'!CY38)</f>
        <v/>
      </c>
      <c r="CM37" s="18" t="str">
        <f>IF($C37="","",$J37*'Cost &amp; Risk Inputs'!CZ38)</f>
        <v/>
      </c>
      <c r="CN37" s="18" t="str">
        <f>IF($C37="","",$J37*'Cost &amp; Risk Inputs'!DA38)</f>
        <v/>
      </c>
      <c r="CO37" s="18" t="str">
        <f>IF($C37="","",$J37*'Cost &amp; Risk Inputs'!DB38)</f>
        <v/>
      </c>
      <c r="CP37" s="18" t="str">
        <f>IF($C37="","",$J37*'Cost &amp; Risk Inputs'!DC38)</f>
        <v/>
      </c>
      <c r="CQ37" s="18" t="str">
        <f>IF($C37="","",$J37*'Cost &amp; Risk Inputs'!DD38)</f>
        <v/>
      </c>
      <c r="CR37" s="18" t="str">
        <f>IF($C37="","",$J37*'Cost &amp; Risk Inputs'!DE38)</f>
        <v/>
      </c>
      <c r="CS37" s="18" t="str">
        <f>IF($C37="","",$J37*'Cost &amp; Risk Inputs'!DF38)</f>
        <v/>
      </c>
      <c r="CT37" s="18" t="str">
        <f>IF($C37="","",$J37*'Cost &amp; Risk Inputs'!DG38)</f>
        <v/>
      </c>
      <c r="CU37" s="18" t="str">
        <f>IF($C37="","",$J37*'Cost &amp; Risk Inputs'!DH38)</f>
        <v/>
      </c>
      <c r="CV37" s="18" t="str">
        <f>IF($C37="","",$J37*'Cost &amp; Risk Inputs'!DI38)</f>
        <v/>
      </c>
      <c r="CW37" s="18" t="str">
        <f>IF($C37="","",$J37*'Cost &amp; Risk Inputs'!DJ38)</f>
        <v/>
      </c>
      <c r="CX37" s="18" t="str">
        <f>IF($C37="","",$J37*'Cost &amp; Risk Inputs'!DK38)</f>
        <v/>
      </c>
      <c r="CZ37" s="18">
        <f t="shared" ca="1" si="1"/>
        <v>0</v>
      </c>
      <c r="DA37" s="18">
        <f t="shared" si="2"/>
        <v>0</v>
      </c>
    </row>
    <row r="38" spans="3:105" x14ac:dyDescent="0.3">
      <c r="C38" s="4" t="str">
        <f>IF('Cost &amp; Risk Inputs'!C39="","",'Cost &amp; Risk Inputs'!C39)</f>
        <v/>
      </c>
      <c r="D38" s="4" t="str">
        <f>IF(C38="","",'Cost &amp; Risk Inputs'!F39)</f>
        <v/>
      </c>
      <c r="E38" s="19" t="str">
        <f>IF(C38="","",'Cost &amp; Risk Inputs'!J39)</f>
        <v/>
      </c>
      <c r="F38" s="19" t="str">
        <f>IF(C38="","",'Cost &amp; Risk Inputs'!K39)</f>
        <v/>
      </c>
      <c r="G38" s="19" t="str">
        <f>IF(C38="","",'Cost &amp; Risk Inputs'!L39)</f>
        <v/>
      </c>
      <c r="I38" s="18" t="str">
        <f t="shared" si="0"/>
        <v/>
      </c>
      <c r="J38" s="23" t="str">
        <f>IF(C38="","",'Cost &amp; Risk Inputs'!U39/INDEX('Global Constants'!$F$24:$CQ$33,MATCH(D38,Inflation_List,0),MATCH(G38,FY,0)))</f>
        <v/>
      </c>
      <c r="M38" s="18" t="str">
        <f>IF($C38="","",$J38*'Cost &amp; Risk Inputs'!Z39)</f>
        <v/>
      </c>
      <c r="N38" s="18" t="str">
        <f>IF($C38="","",$J38*'Cost &amp; Risk Inputs'!AA39)</f>
        <v/>
      </c>
      <c r="O38" s="18" t="str">
        <f>IF($C38="","",$J38*'Cost &amp; Risk Inputs'!AB39)</f>
        <v/>
      </c>
      <c r="P38" s="18" t="str">
        <f>IF($C38="","",$J38*'Cost &amp; Risk Inputs'!AC39)</f>
        <v/>
      </c>
      <c r="Q38" s="18" t="str">
        <f>IF($C38="","",$J38*'Cost &amp; Risk Inputs'!AD39)</f>
        <v/>
      </c>
      <c r="R38" s="18" t="str">
        <f>IF($C38="","",$J38*'Cost &amp; Risk Inputs'!AE39)</f>
        <v/>
      </c>
      <c r="S38" s="18" t="str">
        <f>IF($C38="","",$J38*'Cost &amp; Risk Inputs'!AF39)</f>
        <v/>
      </c>
      <c r="T38" s="18" t="str">
        <f>IF($C38="","",$J38*'Cost &amp; Risk Inputs'!AG39)</f>
        <v/>
      </c>
      <c r="U38" s="18" t="str">
        <f>IF($C38="","",$J38*'Cost &amp; Risk Inputs'!AH39)</f>
        <v/>
      </c>
      <c r="V38" s="18" t="str">
        <f>IF($C38="","",$J38*'Cost &amp; Risk Inputs'!AI39)</f>
        <v/>
      </c>
      <c r="W38" s="18" t="str">
        <f>IF($C38="","",$J38*'Cost &amp; Risk Inputs'!AJ39)</f>
        <v/>
      </c>
      <c r="X38" s="18" t="str">
        <f>IF($C38="","",$J38*'Cost &amp; Risk Inputs'!AK39)</f>
        <v/>
      </c>
      <c r="Y38" s="18" t="str">
        <f>IF($C38="","",$J38*'Cost &amp; Risk Inputs'!AL39)</f>
        <v/>
      </c>
      <c r="Z38" s="18" t="str">
        <f>IF($C38="","",$J38*'Cost &amp; Risk Inputs'!AM39)</f>
        <v/>
      </c>
      <c r="AA38" s="18" t="str">
        <f>IF($C38="","",$J38*'Cost &amp; Risk Inputs'!AN39)</f>
        <v/>
      </c>
      <c r="AB38" s="18" t="str">
        <f>IF($C38="","",$J38*'Cost &amp; Risk Inputs'!AO39)</f>
        <v/>
      </c>
      <c r="AC38" s="18" t="str">
        <f>IF($C38="","",$J38*'Cost &amp; Risk Inputs'!AP39)</f>
        <v/>
      </c>
      <c r="AD38" s="18" t="str">
        <f>IF($C38="","",$J38*'Cost &amp; Risk Inputs'!AQ39)</f>
        <v/>
      </c>
      <c r="AE38" s="18" t="str">
        <f>IF($C38="","",$J38*'Cost &amp; Risk Inputs'!AR39)</f>
        <v/>
      </c>
      <c r="AF38" s="18" t="str">
        <f>IF($C38="","",$J38*'Cost &amp; Risk Inputs'!AS39)</f>
        <v/>
      </c>
      <c r="AG38" s="18" t="str">
        <f>IF($C38="","",$J38*'Cost &amp; Risk Inputs'!AT39)</f>
        <v/>
      </c>
      <c r="AH38" s="18" t="str">
        <f>IF($C38="","",$J38*'Cost &amp; Risk Inputs'!AU39)</f>
        <v/>
      </c>
      <c r="AI38" s="18" t="str">
        <f>IF($C38="","",$J38*'Cost &amp; Risk Inputs'!AV39)</f>
        <v/>
      </c>
      <c r="AJ38" s="18" t="str">
        <f>IF($C38="","",$J38*'Cost &amp; Risk Inputs'!AW39)</f>
        <v/>
      </c>
      <c r="AK38" s="18" t="str">
        <f>IF($C38="","",$J38*'Cost &amp; Risk Inputs'!AX39)</f>
        <v/>
      </c>
      <c r="AL38" s="18" t="str">
        <f>IF($C38="","",$J38*'Cost &amp; Risk Inputs'!AY39)</f>
        <v/>
      </c>
      <c r="AM38" s="18" t="str">
        <f>IF($C38="","",$J38*'Cost &amp; Risk Inputs'!AZ39)</f>
        <v/>
      </c>
      <c r="AN38" s="18" t="str">
        <f>IF($C38="","",$J38*'Cost &amp; Risk Inputs'!BA39)</f>
        <v/>
      </c>
      <c r="AO38" s="18" t="str">
        <f>IF($C38="","",$J38*'Cost &amp; Risk Inputs'!BB39)</f>
        <v/>
      </c>
      <c r="AP38" s="18" t="str">
        <f>IF($C38="","",$J38*'Cost &amp; Risk Inputs'!BC39)</f>
        <v/>
      </c>
      <c r="AQ38" s="18" t="str">
        <f>IF($C38="","",$J38*'Cost &amp; Risk Inputs'!BD39)</f>
        <v/>
      </c>
      <c r="AR38" s="18" t="str">
        <f>IF($C38="","",$J38*'Cost &amp; Risk Inputs'!BE39)</f>
        <v/>
      </c>
      <c r="AS38" s="18" t="str">
        <f>IF($C38="","",$J38*'Cost &amp; Risk Inputs'!BF39)</f>
        <v/>
      </c>
      <c r="AT38" s="18" t="str">
        <f>IF($C38="","",$J38*'Cost &amp; Risk Inputs'!BG39)</f>
        <v/>
      </c>
      <c r="AU38" s="18" t="str">
        <f>IF($C38="","",$J38*'Cost &amp; Risk Inputs'!BH39)</f>
        <v/>
      </c>
      <c r="AV38" s="18" t="str">
        <f>IF($C38="","",$J38*'Cost &amp; Risk Inputs'!BI39)</f>
        <v/>
      </c>
      <c r="AW38" s="18" t="str">
        <f>IF($C38="","",$J38*'Cost &amp; Risk Inputs'!BJ39)</f>
        <v/>
      </c>
      <c r="AX38" s="18" t="str">
        <f>IF($C38="","",$J38*'Cost &amp; Risk Inputs'!BK39)</f>
        <v/>
      </c>
      <c r="AY38" s="18" t="str">
        <f>IF($C38="","",$J38*'Cost &amp; Risk Inputs'!BL39)</f>
        <v/>
      </c>
      <c r="AZ38" s="18" t="str">
        <f>IF($C38="","",$J38*'Cost &amp; Risk Inputs'!BM39)</f>
        <v/>
      </c>
      <c r="BA38" s="18" t="str">
        <f>IF($C38="","",$J38*'Cost &amp; Risk Inputs'!BN39)</f>
        <v/>
      </c>
      <c r="BB38" s="18" t="str">
        <f>IF($C38="","",$J38*'Cost &amp; Risk Inputs'!BO39)</f>
        <v/>
      </c>
      <c r="BC38" s="18" t="str">
        <f>IF($C38="","",$J38*'Cost &amp; Risk Inputs'!BP39)</f>
        <v/>
      </c>
      <c r="BD38" s="18" t="str">
        <f>IF($C38="","",$J38*'Cost &amp; Risk Inputs'!BQ39)</f>
        <v/>
      </c>
      <c r="BE38" s="18" t="str">
        <f>IF($C38="","",$J38*'Cost &amp; Risk Inputs'!BR39)</f>
        <v/>
      </c>
      <c r="BF38" s="18" t="str">
        <f>IF($C38="","",$J38*'Cost &amp; Risk Inputs'!BS39)</f>
        <v/>
      </c>
      <c r="BG38" s="18" t="str">
        <f>IF($C38="","",$J38*'Cost &amp; Risk Inputs'!BT39)</f>
        <v/>
      </c>
      <c r="BH38" s="18" t="str">
        <f>IF($C38="","",$J38*'Cost &amp; Risk Inputs'!BU39)</f>
        <v/>
      </c>
      <c r="BI38" s="18" t="str">
        <f>IF($C38="","",$J38*'Cost &amp; Risk Inputs'!BV39)</f>
        <v/>
      </c>
      <c r="BJ38" s="18" t="str">
        <f>IF($C38="","",$J38*'Cost &amp; Risk Inputs'!BW39)</f>
        <v/>
      </c>
      <c r="BK38" s="18" t="str">
        <f>IF($C38="","",$J38*'Cost &amp; Risk Inputs'!BX39)</f>
        <v/>
      </c>
      <c r="BL38" s="18" t="str">
        <f>IF($C38="","",$J38*'Cost &amp; Risk Inputs'!BY39)</f>
        <v/>
      </c>
      <c r="BM38" s="18" t="str">
        <f>IF($C38="","",$J38*'Cost &amp; Risk Inputs'!BZ39)</f>
        <v/>
      </c>
      <c r="BN38" s="18" t="str">
        <f>IF($C38="","",$J38*'Cost &amp; Risk Inputs'!CA39)</f>
        <v/>
      </c>
      <c r="BO38" s="18" t="str">
        <f>IF($C38="","",$J38*'Cost &amp; Risk Inputs'!CB39)</f>
        <v/>
      </c>
      <c r="BP38" s="18" t="str">
        <f>IF($C38="","",$J38*'Cost &amp; Risk Inputs'!CC39)</f>
        <v/>
      </c>
      <c r="BQ38" s="18" t="str">
        <f>IF($C38="","",$J38*'Cost &amp; Risk Inputs'!CD39)</f>
        <v/>
      </c>
      <c r="BR38" s="18" t="str">
        <f>IF($C38="","",$J38*'Cost &amp; Risk Inputs'!CE39)</f>
        <v/>
      </c>
      <c r="BS38" s="18" t="str">
        <f>IF($C38="","",$J38*'Cost &amp; Risk Inputs'!CF39)</f>
        <v/>
      </c>
      <c r="BT38" s="18" t="str">
        <f>IF($C38="","",$J38*'Cost &amp; Risk Inputs'!CG39)</f>
        <v/>
      </c>
      <c r="BU38" s="18" t="str">
        <f>IF($C38="","",$J38*'Cost &amp; Risk Inputs'!CH39)</f>
        <v/>
      </c>
      <c r="BV38" s="18" t="str">
        <f>IF($C38="","",$J38*'Cost &amp; Risk Inputs'!CI39)</f>
        <v/>
      </c>
      <c r="BW38" s="18" t="str">
        <f>IF($C38="","",$J38*'Cost &amp; Risk Inputs'!CJ39)</f>
        <v/>
      </c>
      <c r="BX38" s="18" t="str">
        <f>IF($C38="","",$J38*'Cost &amp; Risk Inputs'!CK39)</f>
        <v/>
      </c>
      <c r="BY38" s="18" t="str">
        <f>IF($C38="","",$J38*'Cost &amp; Risk Inputs'!CL39)</f>
        <v/>
      </c>
      <c r="BZ38" s="18" t="str">
        <f>IF($C38="","",$J38*'Cost &amp; Risk Inputs'!CM39)</f>
        <v/>
      </c>
      <c r="CA38" s="18" t="str">
        <f>IF($C38="","",$J38*'Cost &amp; Risk Inputs'!CN39)</f>
        <v/>
      </c>
      <c r="CB38" s="18" t="str">
        <f>IF($C38="","",$J38*'Cost &amp; Risk Inputs'!CO39)</f>
        <v/>
      </c>
      <c r="CC38" s="18" t="str">
        <f>IF($C38="","",$J38*'Cost &amp; Risk Inputs'!CP39)</f>
        <v/>
      </c>
      <c r="CD38" s="18" t="str">
        <f>IF($C38="","",$J38*'Cost &amp; Risk Inputs'!CQ39)</f>
        <v/>
      </c>
      <c r="CE38" s="18" t="str">
        <f>IF($C38="","",$J38*'Cost &amp; Risk Inputs'!CR39)</f>
        <v/>
      </c>
      <c r="CF38" s="18" t="str">
        <f>IF($C38="","",$J38*'Cost &amp; Risk Inputs'!CS39)</f>
        <v/>
      </c>
      <c r="CG38" s="18" t="str">
        <f>IF($C38="","",$J38*'Cost &amp; Risk Inputs'!CT39)</f>
        <v/>
      </c>
      <c r="CH38" s="18" t="str">
        <f>IF($C38="","",$J38*'Cost &amp; Risk Inputs'!CU39)</f>
        <v/>
      </c>
      <c r="CI38" s="18" t="str">
        <f>IF($C38="","",$J38*'Cost &amp; Risk Inputs'!CV39)</f>
        <v/>
      </c>
      <c r="CJ38" s="18" t="str">
        <f>IF($C38="","",$J38*'Cost &amp; Risk Inputs'!CW39)</f>
        <v/>
      </c>
      <c r="CK38" s="18" t="str">
        <f>IF($C38="","",$J38*'Cost &amp; Risk Inputs'!CX39)</f>
        <v/>
      </c>
      <c r="CL38" s="18" t="str">
        <f>IF($C38="","",$J38*'Cost &amp; Risk Inputs'!CY39)</f>
        <v/>
      </c>
      <c r="CM38" s="18" t="str">
        <f>IF($C38="","",$J38*'Cost &amp; Risk Inputs'!CZ39)</f>
        <v/>
      </c>
      <c r="CN38" s="18" t="str">
        <f>IF($C38="","",$J38*'Cost &amp; Risk Inputs'!DA39)</f>
        <v/>
      </c>
      <c r="CO38" s="18" t="str">
        <f>IF($C38="","",$J38*'Cost &amp; Risk Inputs'!DB39)</f>
        <v/>
      </c>
      <c r="CP38" s="18" t="str">
        <f>IF($C38="","",$J38*'Cost &amp; Risk Inputs'!DC39)</f>
        <v/>
      </c>
      <c r="CQ38" s="18" t="str">
        <f>IF($C38="","",$J38*'Cost &amp; Risk Inputs'!DD39)</f>
        <v/>
      </c>
      <c r="CR38" s="18" t="str">
        <f>IF($C38="","",$J38*'Cost &amp; Risk Inputs'!DE39)</f>
        <v/>
      </c>
      <c r="CS38" s="18" t="str">
        <f>IF($C38="","",$J38*'Cost &amp; Risk Inputs'!DF39)</f>
        <v/>
      </c>
      <c r="CT38" s="18" t="str">
        <f>IF($C38="","",$J38*'Cost &amp; Risk Inputs'!DG39)</f>
        <v/>
      </c>
      <c r="CU38" s="18" t="str">
        <f>IF($C38="","",$J38*'Cost &amp; Risk Inputs'!DH39)</f>
        <v/>
      </c>
      <c r="CV38" s="18" t="str">
        <f>IF($C38="","",$J38*'Cost &amp; Risk Inputs'!DI39)</f>
        <v/>
      </c>
      <c r="CW38" s="18" t="str">
        <f>IF($C38="","",$J38*'Cost &amp; Risk Inputs'!DJ39)</f>
        <v/>
      </c>
      <c r="CX38" s="18" t="str">
        <f>IF($C38="","",$J38*'Cost &amp; Risk Inputs'!DK39)</f>
        <v/>
      </c>
      <c r="CZ38" s="18">
        <f t="shared" ca="1" si="1"/>
        <v>0</v>
      </c>
      <c r="DA38" s="18">
        <f t="shared" si="2"/>
        <v>0</v>
      </c>
    </row>
  </sheetData>
  <conditionalFormatting sqref="A1">
    <cfRule type="cellIs" dxfId="17" priority="2" operator="equal">
      <formula>1</formula>
    </cfRule>
  </conditionalFormatting>
  <conditionalFormatting sqref="D1">
    <cfRule type="cellIs" dxfId="16" priority="1" operator="equal">
      <formula>"Error"</formula>
    </cfRule>
  </conditionalFormatting>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79998168889431442"/>
  </sheetPr>
  <dimension ref="A1:DA38"/>
  <sheetViews>
    <sheetView showGridLines="0" workbookViewId="0">
      <pane xSplit="3" ySplit="8" topLeftCell="D9" activePane="bottomRight" state="frozenSplit"/>
      <selection pane="topRight" activeCell="D1" sqref="D1"/>
      <selection pane="bottomLeft" activeCell="A9" sqref="A9"/>
      <selection pane="bottomRight" activeCell="H30" sqref="H30"/>
    </sheetView>
  </sheetViews>
  <sheetFormatPr defaultRowHeight="14.4" x14ac:dyDescent="0.3"/>
  <cols>
    <col min="1" max="2" width="2.77734375" customWidth="1"/>
    <col min="3" max="3" width="33.109375" bestFit="1" customWidth="1"/>
    <col min="4" max="4" width="11.5546875" bestFit="1" customWidth="1"/>
    <col min="5" max="5" width="11.5546875" customWidth="1"/>
    <col min="6" max="6" width="8.21875" bestFit="1" customWidth="1"/>
    <col min="7" max="7" width="2.77734375" customWidth="1"/>
    <col min="8" max="8" width="14" bestFit="1" customWidth="1"/>
    <col min="9" max="9" width="2.77734375" customWidth="1"/>
    <col min="10" max="10" width="2.77734375" hidden="1" customWidth="1"/>
    <col min="11" max="11" width="12.88671875" hidden="1" customWidth="1"/>
    <col min="12" max="12" width="13.6640625" hidden="1" customWidth="1"/>
    <col min="13" max="14" width="10.5546875" customWidth="1"/>
    <col min="15" max="16" width="10.5546875" bestFit="1" customWidth="1"/>
    <col min="17" max="17" width="10.5546875" customWidth="1"/>
    <col min="18" max="30" width="10.5546875" bestFit="1" customWidth="1"/>
    <col min="31" max="34" width="10.88671875" bestFit="1" customWidth="1"/>
    <col min="35" max="51" width="10.5546875" bestFit="1" customWidth="1"/>
    <col min="52" max="52" width="10.88671875" bestFit="1" customWidth="1"/>
    <col min="53" max="56" width="10.5546875" bestFit="1" customWidth="1"/>
    <col min="57" max="57" width="10.88671875" bestFit="1" customWidth="1"/>
    <col min="58" max="61" width="10.5546875" bestFit="1" customWidth="1"/>
    <col min="62" max="62" width="10.88671875" bestFit="1" customWidth="1"/>
    <col min="63" max="66" width="10.5546875" bestFit="1" customWidth="1"/>
    <col min="67" max="67" width="10.88671875" bestFit="1" customWidth="1"/>
    <col min="68" max="71" width="10.5546875" bestFit="1" customWidth="1"/>
    <col min="72" max="72" width="10.88671875" bestFit="1" customWidth="1"/>
    <col min="73" max="76" width="10.5546875" bestFit="1" customWidth="1"/>
    <col min="77" max="77" width="10.88671875" bestFit="1" customWidth="1"/>
    <col min="78" max="102" width="10.5546875" bestFit="1" customWidth="1"/>
    <col min="104" max="105" width="11.88671875" bestFit="1" customWidth="1"/>
  </cols>
  <sheetData>
    <row r="1" spans="1:105" x14ac:dyDescent="0.3">
      <c r="A1" s="33">
        <f ca="1">IF(ISERROR(SUM(C6:DA38)),1,0)</f>
        <v>0</v>
      </c>
      <c r="C1" t="s">
        <v>79</v>
      </c>
      <c r="D1" s="33" t="str">
        <f ca="1">Model_Health</f>
        <v>OK</v>
      </c>
    </row>
    <row r="2" spans="1:105" x14ac:dyDescent="0.3">
      <c r="H2" s="77" t="s">
        <v>208</v>
      </c>
    </row>
    <row r="3" spans="1:105" ht="21" x14ac:dyDescent="0.4">
      <c r="C3" s="3" t="s">
        <v>149</v>
      </c>
      <c r="D3" s="3"/>
      <c r="E3" s="3"/>
      <c r="H3" s="78" t="str">
        <f>Model_Base</f>
        <v>19/20</v>
      </c>
    </row>
    <row r="4" spans="1:105" x14ac:dyDescent="0.3">
      <c r="C4" s="65" t="s">
        <v>150</v>
      </c>
      <c r="Z4" s="6" t="s">
        <v>129</v>
      </c>
      <c r="AA4" s="6"/>
    </row>
    <row r="6" spans="1:105" x14ac:dyDescent="0.3">
      <c r="C6" t="s">
        <v>98</v>
      </c>
      <c r="M6" s="22" t="str">
        <f>Timeline!F14</f>
        <v>19/20</v>
      </c>
      <c r="N6" s="22" t="str">
        <f>Timeline!G14</f>
        <v>20/21</v>
      </c>
      <c r="O6" s="22" t="str">
        <f>Timeline!H14</f>
        <v>21/22</v>
      </c>
      <c r="P6" s="22" t="str">
        <f>Timeline!I14</f>
        <v>22/23</v>
      </c>
      <c r="Q6" s="22" t="str">
        <f>Timeline!J14</f>
        <v>23/24</v>
      </c>
      <c r="R6" s="22" t="str">
        <f>Timeline!K14</f>
        <v>24/25</v>
      </c>
      <c r="S6" s="22" t="str">
        <f>Timeline!L14</f>
        <v>25/26</v>
      </c>
      <c r="T6" s="22" t="str">
        <f>Timeline!M14</f>
        <v>26/27</v>
      </c>
      <c r="U6" s="22" t="str">
        <f>Timeline!N14</f>
        <v>27/28</v>
      </c>
      <c r="V6" s="22" t="str">
        <f>Timeline!O14</f>
        <v>28/29</v>
      </c>
      <c r="W6" s="22" t="str">
        <f>Timeline!P14</f>
        <v>29/30</v>
      </c>
      <c r="X6" s="22" t="str">
        <f>Timeline!Q14</f>
        <v>30/31</v>
      </c>
      <c r="Y6" s="22" t="str">
        <f>Timeline!R14</f>
        <v>31/32</v>
      </c>
      <c r="Z6" s="22" t="str">
        <f>Timeline!S14</f>
        <v>32/33</v>
      </c>
      <c r="AA6" s="22" t="str">
        <f>Timeline!T14</f>
        <v>33/34</v>
      </c>
      <c r="AB6" s="22" t="str">
        <f>Timeline!U14</f>
        <v>34/35</v>
      </c>
      <c r="AC6" s="22" t="str">
        <f>Timeline!V14</f>
        <v>35/36</v>
      </c>
      <c r="AD6" s="22" t="str">
        <f>Timeline!W14</f>
        <v>36/37</v>
      </c>
      <c r="AE6" s="22" t="str">
        <f>Timeline!X14</f>
        <v>37/38</v>
      </c>
      <c r="AF6" s="22" t="str">
        <f>Timeline!Y14</f>
        <v>38/39</v>
      </c>
      <c r="AG6" s="22" t="str">
        <f>Timeline!Z14</f>
        <v>39/40</v>
      </c>
      <c r="AH6" s="22" t="str">
        <f>Timeline!AA14</f>
        <v>40/41</v>
      </c>
      <c r="AI6" s="22" t="str">
        <f>Timeline!AB14</f>
        <v>41/42</v>
      </c>
      <c r="AJ6" s="22" t="str">
        <f>Timeline!AC14</f>
        <v>42/43</v>
      </c>
      <c r="AK6" s="22" t="str">
        <f>Timeline!AD14</f>
        <v>43/44</v>
      </c>
      <c r="AL6" s="22" t="str">
        <f>Timeline!AE14</f>
        <v>44/45</v>
      </c>
      <c r="AM6" s="22" t="str">
        <f>Timeline!AF14</f>
        <v>45/46</v>
      </c>
      <c r="AN6" s="22" t="str">
        <f>Timeline!AG14</f>
        <v>46/47</v>
      </c>
      <c r="AO6" s="22" t="str">
        <f>Timeline!AH14</f>
        <v>47/48</v>
      </c>
      <c r="AP6" s="22" t="str">
        <f>Timeline!AI14</f>
        <v>48/49</v>
      </c>
      <c r="AQ6" s="22" t="str">
        <f>Timeline!AJ14</f>
        <v>49/50</v>
      </c>
      <c r="AR6" s="22" t="str">
        <f>Timeline!AK14</f>
        <v>50/51</v>
      </c>
      <c r="AS6" s="22" t="str">
        <f>Timeline!AL14</f>
        <v>51/52</v>
      </c>
      <c r="AT6" s="22" t="str">
        <f>Timeline!AM14</f>
        <v>52/53</v>
      </c>
      <c r="AU6" s="22" t="str">
        <f>Timeline!AN14</f>
        <v>53/54</v>
      </c>
      <c r="AV6" s="22" t="str">
        <f>Timeline!AO14</f>
        <v>54/55</v>
      </c>
      <c r="AW6" s="22" t="str">
        <f>Timeline!AP14</f>
        <v>55/56</v>
      </c>
      <c r="AX6" s="22" t="str">
        <f>Timeline!AQ14</f>
        <v>56/57</v>
      </c>
      <c r="AY6" s="22" t="str">
        <f>Timeline!AR14</f>
        <v>57/58</v>
      </c>
      <c r="AZ6" s="22" t="str">
        <f>Timeline!AS14</f>
        <v>58/59</v>
      </c>
      <c r="BA6" s="22" t="str">
        <f>Timeline!AT14</f>
        <v>59/60</v>
      </c>
      <c r="BB6" s="22" t="str">
        <f>Timeline!AU14</f>
        <v>60/61</v>
      </c>
      <c r="BC6" s="22" t="str">
        <f>Timeline!AV14</f>
        <v>61/62</v>
      </c>
      <c r="BD6" s="22" t="str">
        <f>Timeline!AW14</f>
        <v>62/63</v>
      </c>
      <c r="BE6" s="22" t="str">
        <f>Timeline!AX14</f>
        <v>63/64</v>
      </c>
      <c r="BF6" s="22" t="str">
        <f>Timeline!AY14</f>
        <v>64/65</v>
      </c>
      <c r="BG6" s="22" t="str">
        <f>Timeline!AZ14</f>
        <v>65/66</v>
      </c>
      <c r="BH6" s="22" t="str">
        <f>Timeline!BA14</f>
        <v>66/67</v>
      </c>
      <c r="BI6" s="22" t="str">
        <f>Timeline!BB14</f>
        <v>67/68</v>
      </c>
      <c r="BJ6" s="22" t="str">
        <f>Timeline!BC14</f>
        <v>68/69</v>
      </c>
      <c r="BK6" s="22" t="str">
        <f>Timeline!BD14</f>
        <v>69/70</v>
      </c>
      <c r="BL6" s="22" t="str">
        <f>Timeline!BE14</f>
        <v>70/71</v>
      </c>
      <c r="BM6" s="22" t="str">
        <f>Timeline!BF14</f>
        <v>71/72</v>
      </c>
      <c r="BN6" s="22" t="str">
        <f>Timeline!BG14</f>
        <v>72/73</v>
      </c>
      <c r="BO6" s="22" t="str">
        <f>Timeline!BH14</f>
        <v>73/74</v>
      </c>
      <c r="BP6" s="22" t="str">
        <f>Timeline!BI14</f>
        <v>74/75</v>
      </c>
      <c r="BQ6" s="22" t="str">
        <f>Timeline!BJ14</f>
        <v>75/76</v>
      </c>
      <c r="BR6" s="22" t="str">
        <f>Timeline!BK14</f>
        <v>76/77</v>
      </c>
      <c r="BS6" s="22" t="str">
        <f>Timeline!BL14</f>
        <v>77/78</v>
      </c>
      <c r="BT6" s="22" t="str">
        <f>Timeline!BM14</f>
        <v>78/79</v>
      </c>
      <c r="BU6" s="22" t="str">
        <f>Timeline!BN14</f>
        <v>79/80</v>
      </c>
      <c r="BV6" s="22" t="str">
        <f>Timeline!BO14</f>
        <v>80/81</v>
      </c>
      <c r="BW6" s="22" t="str">
        <f>Timeline!BP14</f>
        <v>81/82</v>
      </c>
      <c r="BX6" s="22" t="str">
        <f>Timeline!BQ14</f>
        <v>82/83</v>
      </c>
      <c r="BY6" s="22" t="str">
        <f>Timeline!BR14</f>
        <v>83/84</v>
      </c>
      <c r="BZ6" s="22" t="str">
        <f>Timeline!BS14</f>
        <v>84/85</v>
      </c>
      <c r="CA6" s="22" t="str">
        <f>Timeline!BT14</f>
        <v>85/86</v>
      </c>
      <c r="CB6" s="22" t="str">
        <f>Timeline!BU14</f>
        <v>86/87</v>
      </c>
      <c r="CC6" s="22" t="str">
        <f>Timeline!BV14</f>
        <v>87/88</v>
      </c>
      <c r="CD6" s="22" t="str">
        <f>Timeline!BW14</f>
        <v>88/89</v>
      </c>
      <c r="CE6" s="22" t="str">
        <f>Timeline!BX14</f>
        <v>89/90</v>
      </c>
      <c r="CF6" s="22" t="str">
        <f>Timeline!BY14</f>
        <v>90/91</v>
      </c>
      <c r="CG6" s="22" t="str">
        <f>Timeline!BZ14</f>
        <v>91/92</v>
      </c>
      <c r="CH6" s="22" t="str">
        <f>Timeline!CA14</f>
        <v>92/93</v>
      </c>
      <c r="CI6" s="22" t="str">
        <f>Timeline!CB14</f>
        <v>93/94</v>
      </c>
      <c r="CJ6" s="22" t="str">
        <f>Timeline!CC14</f>
        <v>94/95</v>
      </c>
      <c r="CK6" s="22" t="str">
        <f>Timeline!CD14</f>
        <v>95/96</v>
      </c>
      <c r="CL6" s="22" t="str">
        <f>Timeline!CE14</f>
        <v>96/97</v>
      </c>
      <c r="CM6" s="22" t="str">
        <f>Timeline!CF14</f>
        <v>97/98</v>
      </c>
      <c r="CN6" s="22" t="str">
        <f>Timeline!CG14</f>
        <v>98/99</v>
      </c>
      <c r="CO6" s="22" t="str">
        <f>Timeline!CH14</f>
        <v>99/00</v>
      </c>
      <c r="CP6" s="22" t="str">
        <f>Timeline!CI14</f>
        <v>00/01</v>
      </c>
      <c r="CQ6" s="22" t="str">
        <f>Timeline!CJ14</f>
        <v>01/02</v>
      </c>
      <c r="CR6" s="22" t="str">
        <f>Timeline!CK14</f>
        <v>02/03</v>
      </c>
      <c r="CS6" s="22" t="str">
        <f>Timeline!CL14</f>
        <v>03/04</v>
      </c>
      <c r="CT6" s="22" t="str">
        <f>Timeline!CM14</f>
        <v>04/05</v>
      </c>
      <c r="CU6" s="22" t="str">
        <f>Timeline!CN14</f>
        <v>05/06</v>
      </c>
      <c r="CV6" s="22" t="str">
        <f>Timeline!CO14</f>
        <v>06/07</v>
      </c>
      <c r="CW6" s="22" t="str">
        <f>Timeline!CP14</f>
        <v>07/08</v>
      </c>
      <c r="CX6" s="22" t="str">
        <f>Timeline!CQ14</f>
        <v>08/09</v>
      </c>
    </row>
    <row r="7" spans="1:105" x14ac:dyDescent="0.3">
      <c r="M7" s="21">
        <f>Timeline!F15</f>
        <v>43556</v>
      </c>
      <c r="N7" s="21">
        <f>Timeline!G15</f>
        <v>43922</v>
      </c>
      <c r="O7" s="21">
        <f>Timeline!H15</f>
        <v>44287</v>
      </c>
      <c r="P7" s="21">
        <f>Timeline!I15</f>
        <v>44652</v>
      </c>
      <c r="Q7" s="21">
        <f>Timeline!J15</f>
        <v>45017</v>
      </c>
      <c r="R7" s="21">
        <f>Timeline!K15</f>
        <v>45383</v>
      </c>
      <c r="S7" s="21">
        <f>Timeline!L15</f>
        <v>45748</v>
      </c>
      <c r="T7" s="21">
        <f>Timeline!M15</f>
        <v>46113</v>
      </c>
      <c r="U7" s="21">
        <f>Timeline!N15</f>
        <v>46478</v>
      </c>
      <c r="V7" s="21">
        <f>Timeline!O15</f>
        <v>46844</v>
      </c>
      <c r="W7" s="21">
        <f>Timeline!P15</f>
        <v>47209</v>
      </c>
      <c r="X7" s="21">
        <f>Timeline!Q15</f>
        <v>47574</v>
      </c>
      <c r="Y7" s="21">
        <f>Timeline!R15</f>
        <v>47939</v>
      </c>
      <c r="Z7" s="21">
        <f>Timeline!S15</f>
        <v>48305</v>
      </c>
      <c r="AA7" s="21">
        <f>Timeline!T15</f>
        <v>48670</v>
      </c>
      <c r="AB7" s="21">
        <f>Timeline!U15</f>
        <v>49035</v>
      </c>
      <c r="AC7" s="21">
        <f>Timeline!V15</f>
        <v>49400</v>
      </c>
      <c r="AD7" s="21">
        <f>Timeline!W15</f>
        <v>49766</v>
      </c>
      <c r="AE7" s="21">
        <f>Timeline!X15</f>
        <v>50131</v>
      </c>
      <c r="AF7" s="21">
        <f>Timeline!Y15</f>
        <v>50496</v>
      </c>
      <c r="AG7" s="21">
        <f>Timeline!Z15</f>
        <v>50861</v>
      </c>
      <c r="AH7" s="21">
        <f>Timeline!AA15</f>
        <v>51227</v>
      </c>
      <c r="AI7" s="21">
        <f>Timeline!AB15</f>
        <v>51592</v>
      </c>
      <c r="AJ7" s="21">
        <f>Timeline!AC15</f>
        <v>51957</v>
      </c>
      <c r="AK7" s="21">
        <f>Timeline!AD15</f>
        <v>52322</v>
      </c>
      <c r="AL7" s="21">
        <f>Timeline!AE15</f>
        <v>52688</v>
      </c>
      <c r="AM7" s="21">
        <f>Timeline!AF15</f>
        <v>53053</v>
      </c>
      <c r="AN7" s="21">
        <f>Timeline!AG15</f>
        <v>53418</v>
      </c>
      <c r="AO7" s="21">
        <f>Timeline!AH15</f>
        <v>53783</v>
      </c>
      <c r="AP7" s="21">
        <f>Timeline!AI15</f>
        <v>54149</v>
      </c>
      <c r="AQ7" s="21">
        <f>Timeline!AJ15</f>
        <v>54514</v>
      </c>
      <c r="AR7" s="21">
        <f>Timeline!AK15</f>
        <v>54879</v>
      </c>
      <c r="AS7" s="21">
        <f>Timeline!AL15</f>
        <v>55244</v>
      </c>
      <c r="AT7" s="21">
        <f>Timeline!AM15</f>
        <v>55610</v>
      </c>
      <c r="AU7" s="21">
        <f>Timeline!AN15</f>
        <v>55975</v>
      </c>
      <c r="AV7" s="21">
        <f>Timeline!AO15</f>
        <v>56340</v>
      </c>
      <c r="AW7" s="21">
        <f>Timeline!AP15</f>
        <v>56705</v>
      </c>
      <c r="AX7" s="21">
        <f>Timeline!AQ15</f>
        <v>57071</v>
      </c>
      <c r="AY7" s="21">
        <f>Timeline!AR15</f>
        <v>57436</v>
      </c>
      <c r="AZ7" s="21">
        <f>Timeline!AS15</f>
        <v>57801</v>
      </c>
      <c r="BA7" s="21">
        <f>Timeline!AT15</f>
        <v>58166</v>
      </c>
      <c r="BB7" s="21">
        <f>Timeline!AU15</f>
        <v>58532</v>
      </c>
      <c r="BC7" s="21">
        <f>Timeline!AV15</f>
        <v>58897</v>
      </c>
      <c r="BD7" s="21">
        <f>Timeline!AW15</f>
        <v>59262</v>
      </c>
      <c r="BE7" s="21">
        <f>Timeline!AX15</f>
        <v>59627</v>
      </c>
      <c r="BF7" s="21">
        <f>Timeline!AY15</f>
        <v>59993</v>
      </c>
      <c r="BG7" s="21">
        <f>Timeline!AZ15</f>
        <v>60358</v>
      </c>
      <c r="BH7" s="21">
        <f>Timeline!BA15</f>
        <v>60723</v>
      </c>
      <c r="BI7" s="21">
        <f>Timeline!BB15</f>
        <v>61088</v>
      </c>
      <c r="BJ7" s="21">
        <f>Timeline!BC15</f>
        <v>61454</v>
      </c>
      <c r="BK7" s="21">
        <f>Timeline!BD15</f>
        <v>61819</v>
      </c>
      <c r="BL7" s="21">
        <f>Timeline!BE15</f>
        <v>62184</v>
      </c>
      <c r="BM7" s="21">
        <f>Timeline!BF15</f>
        <v>62549</v>
      </c>
      <c r="BN7" s="21">
        <f>Timeline!BG15</f>
        <v>62915</v>
      </c>
      <c r="BO7" s="21">
        <f>Timeline!BH15</f>
        <v>63280</v>
      </c>
      <c r="BP7" s="21">
        <f>Timeline!BI15</f>
        <v>63645</v>
      </c>
      <c r="BQ7" s="21">
        <f>Timeline!BJ15</f>
        <v>64010</v>
      </c>
      <c r="BR7" s="21">
        <f>Timeline!BK15</f>
        <v>64376</v>
      </c>
      <c r="BS7" s="21">
        <f>Timeline!BL15</f>
        <v>64741</v>
      </c>
      <c r="BT7" s="21">
        <f>Timeline!BM15</f>
        <v>65106</v>
      </c>
      <c r="BU7" s="21">
        <f>Timeline!BN15</f>
        <v>65471</v>
      </c>
      <c r="BV7" s="21">
        <f>Timeline!BO15</f>
        <v>65837</v>
      </c>
      <c r="BW7" s="21">
        <f>Timeline!BP15</f>
        <v>66202</v>
      </c>
      <c r="BX7" s="21">
        <f>Timeline!BQ15</f>
        <v>66567</v>
      </c>
      <c r="BY7" s="21">
        <f>Timeline!BR15</f>
        <v>66932</v>
      </c>
      <c r="BZ7" s="21">
        <f>Timeline!BS15</f>
        <v>67298</v>
      </c>
      <c r="CA7" s="21">
        <f>Timeline!BT15</f>
        <v>67663</v>
      </c>
      <c r="CB7" s="21">
        <f>Timeline!BU15</f>
        <v>68028</v>
      </c>
      <c r="CC7" s="21">
        <f>Timeline!BV15</f>
        <v>68393</v>
      </c>
      <c r="CD7" s="21">
        <f>Timeline!BW15</f>
        <v>68759</v>
      </c>
      <c r="CE7" s="21">
        <f>Timeline!BX15</f>
        <v>69124</v>
      </c>
      <c r="CF7" s="21">
        <f>Timeline!BY15</f>
        <v>69489</v>
      </c>
      <c r="CG7" s="21">
        <f>Timeline!BZ15</f>
        <v>69854</v>
      </c>
      <c r="CH7" s="21">
        <f>Timeline!CA15</f>
        <v>70220</v>
      </c>
      <c r="CI7" s="21">
        <f>Timeline!CB15</f>
        <v>70585</v>
      </c>
      <c r="CJ7" s="21">
        <f>Timeline!CC15</f>
        <v>70950</v>
      </c>
      <c r="CK7" s="21">
        <f>Timeline!CD15</f>
        <v>71315</v>
      </c>
      <c r="CL7" s="21">
        <f>Timeline!CE15</f>
        <v>71681</v>
      </c>
      <c r="CM7" s="21">
        <f>Timeline!CF15</f>
        <v>72046</v>
      </c>
      <c r="CN7" s="21">
        <f>Timeline!CG15</f>
        <v>72411</v>
      </c>
      <c r="CO7" s="21">
        <f>Timeline!CH15</f>
        <v>72776</v>
      </c>
      <c r="CP7" s="21">
        <f>Timeline!CI15</f>
        <v>73141</v>
      </c>
      <c r="CQ7" s="21">
        <f>Timeline!CJ15</f>
        <v>73506</v>
      </c>
      <c r="CR7" s="21">
        <f>Timeline!CK15</f>
        <v>73871</v>
      </c>
      <c r="CS7" s="21">
        <f>Timeline!CL15</f>
        <v>74236</v>
      </c>
      <c r="CT7" s="21">
        <f>Timeline!CM15</f>
        <v>74602</v>
      </c>
      <c r="CU7" s="21">
        <f>Timeline!CN15</f>
        <v>74967</v>
      </c>
      <c r="CV7" s="21">
        <f>Timeline!CO15</f>
        <v>75332</v>
      </c>
      <c r="CW7" s="21">
        <f>Timeline!CP15</f>
        <v>75697</v>
      </c>
      <c r="CX7" s="21">
        <f>Timeline!CQ15</f>
        <v>76063</v>
      </c>
    </row>
    <row r="8" spans="1:105" x14ac:dyDescent="0.3">
      <c r="C8" s="11" t="s">
        <v>22</v>
      </c>
      <c r="D8" s="11" t="s">
        <v>5</v>
      </c>
      <c r="E8" s="11" t="s">
        <v>24</v>
      </c>
      <c r="F8" s="11" t="s">
        <v>19</v>
      </c>
      <c r="H8" s="12" t="s">
        <v>47</v>
      </c>
      <c r="M8" s="21">
        <f>Timeline!F16</f>
        <v>43921</v>
      </c>
      <c r="N8" s="21">
        <f>Timeline!G16</f>
        <v>44286</v>
      </c>
      <c r="O8" s="21">
        <f>Timeline!H16</f>
        <v>44651</v>
      </c>
      <c r="P8" s="21">
        <f>Timeline!I16</f>
        <v>45016</v>
      </c>
      <c r="Q8" s="21">
        <f>Timeline!J16</f>
        <v>45382</v>
      </c>
      <c r="R8" s="21">
        <f>Timeline!K16</f>
        <v>45747</v>
      </c>
      <c r="S8" s="21">
        <f>Timeline!L16</f>
        <v>46112</v>
      </c>
      <c r="T8" s="21">
        <f>Timeline!M16</f>
        <v>46477</v>
      </c>
      <c r="U8" s="21">
        <f>Timeline!N16</f>
        <v>46843</v>
      </c>
      <c r="V8" s="21">
        <f>Timeline!O16</f>
        <v>47208</v>
      </c>
      <c r="W8" s="21">
        <f>Timeline!P16</f>
        <v>47573</v>
      </c>
      <c r="X8" s="21">
        <f>Timeline!Q16</f>
        <v>47938</v>
      </c>
      <c r="Y8" s="21">
        <f>Timeline!R16</f>
        <v>48304</v>
      </c>
      <c r="Z8" s="21">
        <f>Timeline!S16</f>
        <v>48669</v>
      </c>
      <c r="AA8" s="21">
        <f>Timeline!T16</f>
        <v>49034</v>
      </c>
      <c r="AB8" s="21">
        <f>Timeline!U16</f>
        <v>49399</v>
      </c>
      <c r="AC8" s="21">
        <f>Timeline!V16</f>
        <v>49765</v>
      </c>
      <c r="AD8" s="21">
        <f>Timeline!W16</f>
        <v>50130</v>
      </c>
      <c r="AE8" s="21">
        <f>Timeline!X16</f>
        <v>50495</v>
      </c>
      <c r="AF8" s="21">
        <f>Timeline!Y16</f>
        <v>50860</v>
      </c>
      <c r="AG8" s="21">
        <f>Timeline!Z16</f>
        <v>51226</v>
      </c>
      <c r="AH8" s="21">
        <f>Timeline!AA16</f>
        <v>51591</v>
      </c>
      <c r="AI8" s="21">
        <f>Timeline!AB16</f>
        <v>51956</v>
      </c>
      <c r="AJ8" s="21">
        <f>Timeline!AC16</f>
        <v>52321</v>
      </c>
      <c r="AK8" s="21">
        <f>Timeline!AD16</f>
        <v>52687</v>
      </c>
      <c r="AL8" s="21">
        <f>Timeline!AE16</f>
        <v>53052</v>
      </c>
      <c r="AM8" s="21">
        <f>Timeline!AF16</f>
        <v>53417</v>
      </c>
      <c r="AN8" s="21">
        <f>Timeline!AG16</f>
        <v>53782</v>
      </c>
      <c r="AO8" s="21">
        <f>Timeline!AH16</f>
        <v>54148</v>
      </c>
      <c r="AP8" s="21">
        <f>Timeline!AI16</f>
        <v>54513</v>
      </c>
      <c r="AQ8" s="21">
        <f>Timeline!AJ16</f>
        <v>54878</v>
      </c>
      <c r="AR8" s="21">
        <f>Timeline!AK16</f>
        <v>55243</v>
      </c>
      <c r="AS8" s="21">
        <f>Timeline!AL16</f>
        <v>55609</v>
      </c>
      <c r="AT8" s="21">
        <f>Timeline!AM16</f>
        <v>55974</v>
      </c>
      <c r="AU8" s="21">
        <f>Timeline!AN16</f>
        <v>56339</v>
      </c>
      <c r="AV8" s="21">
        <f>Timeline!AO16</f>
        <v>56704</v>
      </c>
      <c r="AW8" s="21">
        <f>Timeline!AP16</f>
        <v>57070</v>
      </c>
      <c r="AX8" s="21">
        <f>Timeline!AQ16</f>
        <v>57435</v>
      </c>
      <c r="AY8" s="21">
        <f>Timeline!AR16</f>
        <v>57800</v>
      </c>
      <c r="AZ8" s="21">
        <f>Timeline!AS16</f>
        <v>58165</v>
      </c>
      <c r="BA8" s="21">
        <f>Timeline!AT16</f>
        <v>58531</v>
      </c>
      <c r="BB8" s="21">
        <f>Timeline!AU16</f>
        <v>58896</v>
      </c>
      <c r="BC8" s="21">
        <f>Timeline!AV16</f>
        <v>59261</v>
      </c>
      <c r="BD8" s="21">
        <f>Timeline!AW16</f>
        <v>59626</v>
      </c>
      <c r="BE8" s="21">
        <f>Timeline!AX16</f>
        <v>59992</v>
      </c>
      <c r="BF8" s="21">
        <f>Timeline!AY16</f>
        <v>60357</v>
      </c>
      <c r="BG8" s="21">
        <f>Timeline!AZ16</f>
        <v>60722</v>
      </c>
      <c r="BH8" s="21">
        <f>Timeline!BA16</f>
        <v>61087</v>
      </c>
      <c r="BI8" s="21">
        <f>Timeline!BB16</f>
        <v>61453</v>
      </c>
      <c r="BJ8" s="21">
        <f>Timeline!BC16</f>
        <v>61818</v>
      </c>
      <c r="BK8" s="21">
        <f>Timeline!BD16</f>
        <v>62183</v>
      </c>
      <c r="BL8" s="21">
        <f>Timeline!BE16</f>
        <v>62548</v>
      </c>
      <c r="BM8" s="21">
        <f>Timeline!BF16</f>
        <v>62914</v>
      </c>
      <c r="BN8" s="21">
        <f>Timeline!BG16</f>
        <v>63279</v>
      </c>
      <c r="BO8" s="21">
        <f>Timeline!BH16</f>
        <v>63644</v>
      </c>
      <c r="BP8" s="21">
        <f>Timeline!BI16</f>
        <v>64009</v>
      </c>
      <c r="BQ8" s="21">
        <f>Timeline!BJ16</f>
        <v>64375</v>
      </c>
      <c r="BR8" s="21">
        <f>Timeline!BK16</f>
        <v>64740</v>
      </c>
      <c r="BS8" s="21">
        <f>Timeline!BL16</f>
        <v>65105</v>
      </c>
      <c r="BT8" s="21">
        <f>Timeline!BM16</f>
        <v>65470</v>
      </c>
      <c r="BU8" s="21">
        <f>Timeline!BN16</f>
        <v>65836</v>
      </c>
      <c r="BV8" s="21">
        <f>Timeline!BO16</f>
        <v>66201</v>
      </c>
      <c r="BW8" s="21">
        <f>Timeline!BP16</f>
        <v>66566</v>
      </c>
      <c r="BX8" s="21">
        <f>Timeline!BQ16</f>
        <v>66931</v>
      </c>
      <c r="BY8" s="21">
        <f>Timeline!BR16</f>
        <v>67297</v>
      </c>
      <c r="BZ8" s="21">
        <f>Timeline!BS16</f>
        <v>67662</v>
      </c>
      <c r="CA8" s="21">
        <f>Timeline!BT16</f>
        <v>68027</v>
      </c>
      <c r="CB8" s="21">
        <f>Timeline!BU16</f>
        <v>68392</v>
      </c>
      <c r="CC8" s="21">
        <f>Timeline!BV16</f>
        <v>68758</v>
      </c>
      <c r="CD8" s="21">
        <f>Timeline!BW16</f>
        <v>69123</v>
      </c>
      <c r="CE8" s="21">
        <f>Timeline!BX16</f>
        <v>69488</v>
      </c>
      <c r="CF8" s="21">
        <f>Timeline!BY16</f>
        <v>69853</v>
      </c>
      <c r="CG8" s="21">
        <f>Timeline!BZ16</f>
        <v>70219</v>
      </c>
      <c r="CH8" s="21">
        <f>Timeline!CA16</f>
        <v>70584</v>
      </c>
      <c r="CI8" s="21">
        <f>Timeline!CB16</f>
        <v>70949</v>
      </c>
      <c r="CJ8" s="21">
        <f>Timeline!CC16</f>
        <v>71314</v>
      </c>
      <c r="CK8" s="21">
        <f>Timeline!CD16</f>
        <v>71680</v>
      </c>
      <c r="CL8" s="21">
        <f>Timeline!CE16</f>
        <v>72045</v>
      </c>
      <c r="CM8" s="21">
        <f>Timeline!CF16</f>
        <v>72410</v>
      </c>
      <c r="CN8" s="21">
        <f>Timeline!CG16</f>
        <v>72775</v>
      </c>
      <c r="CO8" s="21">
        <f>Timeline!CH16</f>
        <v>73140</v>
      </c>
      <c r="CP8" s="21">
        <f>Timeline!CI16</f>
        <v>73505</v>
      </c>
      <c r="CQ8" s="21">
        <f>Timeline!CJ16</f>
        <v>73870</v>
      </c>
      <c r="CR8" s="21">
        <f>Timeline!CK16</f>
        <v>74235</v>
      </c>
      <c r="CS8" s="21">
        <f>Timeline!CL16</f>
        <v>74601</v>
      </c>
      <c r="CT8" s="21">
        <f>Timeline!CM16</f>
        <v>74966</v>
      </c>
      <c r="CU8" s="21">
        <f>Timeline!CN16</f>
        <v>75331</v>
      </c>
      <c r="CV8" s="21">
        <f>Timeline!CO16</f>
        <v>75696</v>
      </c>
      <c r="CW8" s="21">
        <f>Timeline!CP16</f>
        <v>76062</v>
      </c>
      <c r="CX8" s="21">
        <f>Timeline!CQ16</f>
        <v>76427</v>
      </c>
      <c r="CZ8" s="6" t="s">
        <v>64</v>
      </c>
      <c r="DA8" s="6" t="s">
        <v>65</v>
      </c>
    </row>
    <row r="9" spans="1:105" x14ac:dyDescent="0.3">
      <c r="C9" s="4" t="str">
        <f>IF('Cost &amp; Risk Inputs'!C10="","",'Cost &amp; Risk Inputs'!C10)</f>
        <v>Test 1</v>
      </c>
      <c r="D9" s="4" t="str">
        <f>IF(C9="","",'Cost &amp; Risk Inputs'!H10)</f>
        <v>Concept</v>
      </c>
      <c r="E9" s="4" t="str">
        <f>IF(C9="","",'Cost &amp; Risk Inputs'!I10)</f>
        <v>Training</v>
      </c>
      <c r="F9" s="4" t="str">
        <f>IF(C9="","",'Cost &amp; Risk Inputs'!G10)</f>
        <v>USD</v>
      </c>
      <c r="H9" s="18">
        <f t="shared" ref="H9:H38" si="0">IF(C9="","",MATCH(F9,Currency_List,0))</f>
        <v>3</v>
      </c>
      <c r="M9" s="26">
        <f ca="1">IF($C9="","",'Profile &amp; Baseline'!M9/INDEX('Global Constants'!F$38:F$40,$H9))</f>
        <v>0</v>
      </c>
      <c r="N9" s="26">
        <f ca="1">IF($C9="","",'Profile &amp; Baseline'!N9/INDEX('Global Constants'!G$38:G$40,$H9))</f>
        <v>0</v>
      </c>
      <c r="O9" s="26">
        <f ca="1">IF($C9="","",'Profile &amp; Baseline'!O9/INDEX('Global Constants'!H$38:H$40,$H9))</f>
        <v>0</v>
      </c>
      <c r="P9" s="26">
        <f ca="1">IF($C9="","",'Profile &amp; Baseline'!P9/INDEX('Global Constants'!I$38:I$40,$H9))</f>
        <v>0</v>
      </c>
      <c r="Q9" s="26">
        <f ca="1">IF($C9="","",'Profile &amp; Baseline'!Q9/INDEX('Global Constants'!J$38:J$40,$H9))</f>
        <v>0</v>
      </c>
      <c r="R9" s="26">
        <f ca="1">IF($C9="","",'Profile &amp; Baseline'!R9/INDEX('Global Constants'!K$38:K$40,$H9))</f>
        <v>0</v>
      </c>
      <c r="S9" s="26">
        <f ca="1">IF($C9="","",'Profile &amp; Baseline'!S9/INDEX('Global Constants'!L$38:L$40,$H9))</f>
        <v>0</v>
      </c>
      <c r="T9" s="26">
        <f ca="1">IF($C9="","",'Profile &amp; Baseline'!T9/INDEX('Global Constants'!M$38:M$40,$H9))</f>
        <v>0</v>
      </c>
      <c r="U9" s="26">
        <f ca="1">IF($C9="","",'Profile &amp; Baseline'!U9/INDEX('Global Constants'!N$38:N$40,$H9))</f>
        <v>0</v>
      </c>
      <c r="V9" s="26">
        <f ca="1">IF($C9="","",'Profile &amp; Baseline'!V9/INDEX('Global Constants'!O$38:O$40,$H9))</f>
        <v>0</v>
      </c>
      <c r="W9" s="26">
        <f ca="1">IF($C9="","",'Profile &amp; Baseline'!W9/INDEX('Global Constants'!P$38:P$40,$H9))</f>
        <v>0</v>
      </c>
      <c r="X9" s="26">
        <f ca="1">IF($C9="","",'Profile &amp; Baseline'!X9/INDEX('Global Constants'!Q$38:Q$40,$H9))</f>
        <v>0</v>
      </c>
      <c r="Y9" s="26">
        <f ca="1">IF($C9="","",'Profile &amp; Baseline'!Y9/INDEX('Global Constants'!R$38:R$40,$H9))</f>
        <v>0</v>
      </c>
      <c r="Z9" s="26">
        <f ca="1">IF($C9="","",'Profile &amp; Baseline'!Z9/INDEX('Global Constants'!S$38:S$40,$H9))</f>
        <v>0</v>
      </c>
      <c r="AA9" s="26">
        <f ca="1">IF($C9="","",'Profile &amp; Baseline'!AA9/INDEX('Global Constants'!T$38:T$40,$H9))</f>
        <v>0</v>
      </c>
      <c r="AB9" s="26">
        <f ca="1">IF($C9="","",'Profile &amp; Baseline'!AB9/INDEX('Global Constants'!U$38:U$40,$H9))</f>
        <v>0</v>
      </c>
      <c r="AC9" s="26">
        <f ca="1">IF($C9="","",'Profile &amp; Baseline'!AC9/INDEX('Global Constants'!V$38:V$40,$H9))</f>
        <v>0</v>
      </c>
      <c r="AD9" s="26">
        <f ca="1">IF($C9="","",'Profile &amp; Baseline'!AD9/INDEX('Global Constants'!W$38:W$40,$H9))</f>
        <v>1568.5671687911602</v>
      </c>
      <c r="AE9" s="26">
        <f ca="1">IF($C9="","",'Profile &amp; Baseline'!AE9/INDEX('Global Constants'!X$38:X$40,$H9))</f>
        <v>0</v>
      </c>
      <c r="AF9" s="26">
        <f ca="1">IF($C9="","",'Profile &amp; Baseline'!AF9/INDEX('Global Constants'!Y$38:Y$40,$H9))</f>
        <v>0</v>
      </c>
      <c r="AG9" s="26">
        <f ca="1">IF($C9="","",'Profile &amp; Baseline'!AG9/INDEX('Global Constants'!Z$38:Z$40,$H9))</f>
        <v>0</v>
      </c>
      <c r="AH9" s="26">
        <f ca="1">IF($C9="","",'Profile &amp; Baseline'!AH9/INDEX('Global Constants'!AA$38:AA$40,$H9))</f>
        <v>0</v>
      </c>
      <c r="AI9" s="26">
        <f ca="1">IF($C9="","",'Profile &amp; Baseline'!AI9/INDEX('Global Constants'!AB$38:AB$40,$H9))</f>
        <v>0</v>
      </c>
      <c r="AJ9" s="26">
        <f ca="1">IF($C9="","",'Profile &amp; Baseline'!AJ9/INDEX('Global Constants'!AC$38:AC$40,$H9))</f>
        <v>0</v>
      </c>
      <c r="AK9" s="26">
        <f ca="1">IF($C9="","",'Profile &amp; Baseline'!AK9/INDEX('Global Constants'!AD$38:AD$40,$H9))</f>
        <v>0</v>
      </c>
      <c r="AL9" s="26">
        <f ca="1">IF($C9="","",'Profile &amp; Baseline'!AL9/INDEX('Global Constants'!AE$38:AE$40,$H9))</f>
        <v>0</v>
      </c>
      <c r="AM9" s="26">
        <f ca="1">IF($C9="","",'Profile &amp; Baseline'!AM9/INDEX('Global Constants'!AF$38:AF$40,$H9))</f>
        <v>0</v>
      </c>
      <c r="AN9" s="26">
        <f ca="1">IF($C9="","",'Profile &amp; Baseline'!AN9/INDEX('Global Constants'!AG$38:AG$40,$H9))</f>
        <v>0</v>
      </c>
      <c r="AO9" s="26">
        <f ca="1">IF($C9="","",'Profile &amp; Baseline'!AO9/INDEX('Global Constants'!AH$38:AH$40,$H9))</f>
        <v>0</v>
      </c>
      <c r="AP9" s="26">
        <f ca="1">IF($C9="","",'Profile &amp; Baseline'!AP9/INDEX('Global Constants'!AI$38:AI$40,$H9))</f>
        <v>0</v>
      </c>
      <c r="AQ9" s="26">
        <f ca="1">IF($C9="","",'Profile &amp; Baseline'!AQ9/INDEX('Global Constants'!AJ$38:AJ$40,$H9))</f>
        <v>0</v>
      </c>
      <c r="AR9" s="26">
        <f ca="1">IF($C9="","",'Profile &amp; Baseline'!AR9/INDEX('Global Constants'!AK$38:AK$40,$H9))</f>
        <v>0</v>
      </c>
      <c r="AS9" s="26">
        <f ca="1">IF($C9="","",'Profile &amp; Baseline'!AS9/INDEX('Global Constants'!AL$38:AL$40,$H9))</f>
        <v>0</v>
      </c>
      <c r="AT9" s="26">
        <f ca="1">IF($C9="","",'Profile &amp; Baseline'!AT9/INDEX('Global Constants'!AM$38:AM$40,$H9))</f>
        <v>0</v>
      </c>
      <c r="AU9" s="26">
        <f ca="1">IF($C9="","",'Profile &amp; Baseline'!AU9/INDEX('Global Constants'!AN$38:AN$40,$H9))</f>
        <v>0</v>
      </c>
      <c r="AV9" s="26">
        <f ca="1">IF($C9="","",'Profile &amp; Baseline'!AV9/INDEX('Global Constants'!AO$38:AO$40,$H9))</f>
        <v>0</v>
      </c>
      <c r="AW9" s="26">
        <f ca="1">IF($C9="","",'Profile &amp; Baseline'!AW9/INDEX('Global Constants'!AP$38:AP$40,$H9))</f>
        <v>0</v>
      </c>
      <c r="AX9" s="26">
        <f ca="1">IF($C9="","",'Profile &amp; Baseline'!AX9/INDEX('Global Constants'!AQ$38:AQ$40,$H9))</f>
        <v>0</v>
      </c>
      <c r="AY9" s="26">
        <f ca="1">IF($C9="","",'Profile &amp; Baseline'!AY9/INDEX('Global Constants'!AR$38:AR$40,$H9))</f>
        <v>0</v>
      </c>
      <c r="AZ9" s="26">
        <f ca="1">IF($C9="","",'Profile &amp; Baseline'!AZ9/INDEX('Global Constants'!AS$38:AS$40,$H9))</f>
        <v>0</v>
      </c>
      <c r="BA9" s="26">
        <f ca="1">IF($C9="","",'Profile &amp; Baseline'!BA9/INDEX('Global Constants'!AT$38:AT$40,$H9))</f>
        <v>0</v>
      </c>
      <c r="BB9" s="26">
        <f ca="1">IF($C9="","",'Profile &amp; Baseline'!BB9/INDEX('Global Constants'!AU$38:AU$40,$H9))</f>
        <v>0</v>
      </c>
      <c r="BC9" s="26">
        <f ca="1">IF($C9="","",'Profile &amp; Baseline'!BC9/INDEX('Global Constants'!AV$38:AV$40,$H9))</f>
        <v>0</v>
      </c>
      <c r="BD9" s="26">
        <f ca="1">IF($C9="","",'Profile &amp; Baseline'!BD9/INDEX('Global Constants'!AW$38:AW$40,$H9))</f>
        <v>0</v>
      </c>
      <c r="BE9" s="26">
        <f ca="1">IF($C9="","",'Profile &amp; Baseline'!BE9/INDEX('Global Constants'!AX$38:AX$40,$H9))</f>
        <v>0</v>
      </c>
      <c r="BF9" s="26">
        <f ca="1">IF($C9="","",'Profile &amp; Baseline'!BF9/INDEX('Global Constants'!AY$38:AY$40,$H9))</f>
        <v>0</v>
      </c>
      <c r="BG9" s="26">
        <f ca="1">IF($C9="","",'Profile &amp; Baseline'!BG9/INDEX('Global Constants'!AZ$38:AZ$40,$H9))</f>
        <v>0</v>
      </c>
      <c r="BH9" s="26">
        <f ca="1">IF($C9="","",'Profile &amp; Baseline'!BH9/INDEX('Global Constants'!BA$38:BA$40,$H9))</f>
        <v>0</v>
      </c>
      <c r="BI9" s="26">
        <f ca="1">IF($C9="","",'Profile &amp; Baseline'!BI9/INDEX('Global Constants'!BB$38:BB$40,$H9))</f>
        <v>0</v>
      </c>
      <c r="BJ9" s="26">
        <f ca="1">IF($C9="","",'Profile &amp; Baseline'!BJ9/INDEX('Global Constants'!BC$38:BC$40,$H9))</f>
        <v>0</v>
      </c>
      <c r="BK9" s="26">
        <f ca="1">IF($C9="","",'Profile &amp; Baseline'!BK9/INDEX('Global Constants'!BD$38:BD$40,$H9))</f>
        <v>0</v>
      </c>
      <c r="BL9" s="26">
        <f ca="1">IF($C9="","",'Profile &amp; Baseline'!BL9/INDEX('Global Constants'!BE$38:BE$40,$H9))</f>
        <v>0</v>
      </c>
      <c r="BM9" s="26">
        <f ca="1">IF($C9="","",'Profile &amp; Baseline'!BM9/INDEX('Global Constants'!BF$38:BF$40,$H9))</f>
        <v>0</v>
      </c>
      <c r="BN9" s="26">
        <f ca="1">IF($C9="","",'Profile &amp; Baseline'!BN9/INDEX('Global Constants'!BG$38:BG$40,$H9))</f>
        <v>0</v>
      </c>
      <c r="BO9" s="26">
        <f ca="1">IF($C9="","",'Profile &amp; Baseline'!BO9/INDEX('Global Constants'!BH$38:BH$40,$H9))</f>
        <v>0</v>
      </c>
      <c r="BP9" s="26">
        <f ca="1">IF($C9="","",'Profile &amp; Baseline'!BP9/INDEX('Global Constants'!BI$38:BI$40,$H9))</f>
        <v>0</v>
      </c>
      <c r="BQ9" s="26">
        <f ca="1">IF($C9="","",'Profile &amp; Baseline'!BQ9/INDEX('Global Constants'!BJ$38:BJ$40,$H9))</f>
        <v>0</v>
      </c>
      <c r="BR9" s="26">
        <f ca="1">IF($C9="","",'Profile &amp; Baseline'!BR9/INDEX('Global Constants'!BK$38:BK$40,$H9))</f>
        <v>0</v>
      </c>
      <c r="BS9" s="26">
        <f ca="1">IF($C9="","",'Profile &amp; Baseline'!BS9/INDEX('Global Constants'!BL$38:BL$40,$H9))</f>
        <v>0</v>
      </c>
      <c r="BT9" s="26">
        <f ca="1">IF($C9="","",'Profile &amp; Baseline'!BT9/INDEX('Global Constants'!BM$38:BM$40,$H9))</f>
        <v>0</v>
      </c>
      <c r="BU9" s="26">
        <f ca="1">IF($C9="","",'Profile &amp; Baseline'!BU9/INDEX('Global Constants'!BN$38:BN$40,$H9))</f>
        <v>0</v>
      </c>
      <c r="BV9" s="26">
        <f ca="1">IF($C9="","",'Profile &amp; Baseline'!BV9/INDEX('Global Constants'!BO$38:BO$40,$H9))</f>
        <v>0</v>
      </c>
      <c r="BW9" s="26">
        <f ca="1">IF($C9="","",'Profile &amp; Baseline'!BW9/INDEX('Global Constants'!BP$38:BP$40,$H9))</f>
        <v>0</v>
      </c>
      <c r="BX9" s="26">
        <f ca="1">IF($C9="","",'Profile &amp; Baseline'!BX9/INDEX('Global Constants'!BQ$38:BQ$40,$H9))</f>
        <v>0</v>
      </c>
      <c r="BY9" s="26">
        <f ca="1">IF($C9="","",'Profile &amp; Baseline'!BY9/INDEX('Global Constants'!BR$38:BR$40,$H9))</f>
        <v>0</v>
      </c>
      <c r="BZ9" s="26">
        <f ca="1">IF($C9="","",'Profile &amp; Baseline'!BZ9/INDEX('Global Constants'!BS$38:BS$40,$H9))</f>
        <v>0</v>
      </c>
      <c r="CA9" s="26">
        <f ca="1">IF($C9="","",'Profile &amp; Baseline'!CA9/INDEX('Global Constants'!BT$38:BT$40,$H9))</f>
        <v>0</v>
      </c>
      <c r="CB9" s="26">
        <f ca="1">IF($C9="","",'Profile &amp; Baseline'!CB9/INDEX('Global Constants'!BU$38:BU$40,$H9))</f>
        <v>0</v>
      </c>
      <c r="CC9" s="26">
        <f ca="1">IF($C9="","",'Profile &amp; Baseline'!CC9/INDEX('Global Constants'!BV$38:BV$40,$H9))</f>
        <v>0</v>
      </c>
      <c r="CD9" s="26">
        <f ca="1">IF($C9="","",'Profile &amp; Baseline'!CD9/INDEX('Global Constants'!BW$38:BW$40,$H9))</f>
        <v>0</v>
      </c>
      <c r="CE9" s="26">
        <f ca="1">IF($C9="","",'Profile &amp; Baseline'!CE9/INDEX('Global Constants'!BX$38:BX$40,$H9))</f>
        <v>0</v>
      </c>
      <c r="CF9" s="26">
        <f ca="1">IF($C9="","",'Profile &amp; Baseline'!CF9/INDEX('Global Constants'!BY$38:BY$40,$H9))</f>
        <v>0</v>
      </c>
      <c r="CG9" s="26">
        <f ca="1">IF($C9="","",'Profile &amp; Baseline'!CG9/INDEX('Global Constants'!BZ$38:BZ$40,$H9))</f>
        <v>0</v>
      </c>
      <c r="CH9" s="26">
        <f ca="1">IF($C9="","",'Profile &amp; Baseline'!CH9/INDEX('Global Constants'!CA$38:CA$40,$H9))</f>
        <v>0</v>
      </c>
      <c r="CI9" s="26">
        <f ca="1">IF($C9="","",'Profile &amp; Baseline'!CI9/INDEX('Global Constants'!CB$38:CB$40,$H9))</f>
        <v>0</v>
      </c>
      <c r="CJ9" s="26">
        <f ca="1">IF($C9="","",'Profile &amp; Baseline'!CJ9/INDEX('Global Constants'!CC$38:CC$40,$H9))</f>
        <v>0</v>
      </c>
      <c r="CK9" s="26">
        <f ca="1">IF($C9="","",'Profile &amp; Baseline'!CK9/INDEX('Global Constants'!CD$38:CD$40,$H9))</f>
        <v>0</v>
      </c>
      <c r="CL9" s="26">
        <f ca="1">IF($C9="","",'Profile &amp; Baseline'!CL9/INDEX('Global Constants'!CE$38:CE$40,$H9))</f>
        <v>0</v>
      </c>
      <c r="CM9" s="26">
        <f ca="1">IF($C9="","",'Profile &amp; Baseline'!CM9/INDEX('Global Constants'!CF$38:CF$40,$H9))</f>
        <v>0</v>
      </c>
      <c r="CN9" s="26">
        <f ca="1">IF($C9="","",'Profile &amp; Baseline'!CN9/INDEX('Global Constants'!CG$38:CG$40,$H9))</f>
        <v>0</v>
      </c>
      <c r="CO9" s="26">
        <f ca="1">IF($C9="","",'Profile &amp; Baseline'!CO9/INDEX('Global Constants'!CH$38:CH$40,$H9))</f>
        <v>0</v>
      </c>
      <c r="CP9" s="26">
        <f ca="1">IF($C9="","",'Profile &amp; Baseline'!CP9/INDEX('Global Constants'!CI$38:CI$40,$H9))</f>
        <v>0</v>
      </c>
      <c r="CQ9" s="26">
        <f ca="1">IF($C9="","",'Profile &amp; Baseline'!CQ9/INDEX('Global Constants'!CJ$38:CJ$40,$H9))</f>
        <v>0</v>
      </c>
      <c r="CR9" s="26">
        <f ca="1">IF($C9="","",'Profile &amp; Baseline'!CR9/INDEX('Global Constants'!CK$38:CK$40,$H9))</f>
        <v>0</v>
      </c>
      <c r="CS9" s="26">
        <f ca="1">IF($C9="","",'Profile &amp; Baseline'!CS9/INDEX('Global Constants'!CL$38:CL$40,$H9))</f>
        <v>0</v>
      </c>
      <c r="CT9" s="26">
        <f ca="1">IF($C9="","",'Profile &amp; Baseline'!CT9/INDEX('Global Constants'!CM$38:CM$40,$H9))</f>
        <v>0</v>
      </c>
      <c r="CU9" s="26">
        <f ca="1">IF($C9="","",'Profile &amp; Baseline'!CU9/INDEX('Global Constants'!CN$38:CN$40,$H9))</f>
        <v>0</v>
      </c>
      <c r="CV9" s="26">
        <f ca="1">IF($C9="","",'Profile &amp; Baseline'!CV9/INDEX('Global Constants'!CO$38:CO$40,$H9))</f>
        <v>0</v>
      </c>
      <c r="CW9" s="26">
        <f ca="1">IF($C9="","",'Profile &amp; Baseline'!CW9/INDEX('Global Constants'!CP$38:CP$40,$H9))</f>
        <v>0</v>
      </c>
      <c r="CX9" s="26">
        <f ca="1">IF($C9="","",'Profile &amp; Baseline'!CX9/INDEX('Global Constants'!CQ$38:CQ$40,$H9))</f>
        <v>0</v>
      </c>
      <c r="CZ9" s="26">
        <f t="shared" ref="CZ9:CZ38" ca="1" si="1">SUM(OFFSET(M9,0,MATCH(Model_Base,$M$6:$CX$6,0),1,10))</f>
        <v>0</v>
      </c>
      <c r="DA9" s="26">
        <f ca="1">SUM(M9:CX9)</f>
        <v>1568.5671687911602</v>
      </c>
    </row>
    <row r="10" spans="1:105" x14ac:dyDescent="0.3">
      <c r="C10" s="4" t="str">
        <f>IF('Cost &amp; Risk Inputs'!C11="","",'Cost &amp; Risk Inputs'!C11)</f>
        <v>Test 2</v>
      </c>
      <c r="D10" s="4" t="str">
        <f>IF(C10="","",'Cost &amp; Risk Inputs'!H11)</f>
        <v>Assessment</v>
      </c>
      <c r="E10" s="4" t="str">
        <f>IF(C10="","",'Cost &amp; Risk Inputs'!I11)</f>
        <v>Equipment</v>
      </c>
      <c r="F10" s="4" t="str">
        <f>IF(C10="","",'Cost &amp; Risk Inputs'!G11)</f>
        <v>GBP</v>
      </c>
      <c r="H10" s="18">
        <f t="shared" si="0"/>
        <v>1</v>
      </c>
      <c r="M10" s="26">
        <f ca="1">IF($C10="","",'Profile &amp; Baseline'!M10/INDEX('Global Constants'!F$38:F$40,$H10))</f>
        <v>0</v>
      </c>
      <c r="N10" s="26">
        <f ca="1">IF($C10="","",'Profile &amp; Baseline'!N10/INDEX('Global Constants'!G$38:G$40,$H10))</f>
        <v>0</v>
      </c>
      <c r="O10" s="26">
        <f ca="1">IF($C10="","",'Profile &amp; Baseline'!O10/INDEX('Global Constants'!H$38:H$40,$H10))</f>
        <v>0</v>
      </c>
      <c r="P10" s="26">
        <f ca="1">IF($C10="","",'Profile &amp; Baseline'!P10/INDEX('Global Constants'!I$38:I$40,$H10))</f>
        <v>0</v>
      </c>
      <c r="Q10" s="26">
        <f ca="1">IF($C10="","",'Profile &amp; Baseline'!Q10/INDEX('Global Constants'!J$38:J$40,$H10))</f>
        <v>0</v>
      </c>
      <c r="R10" s="26">
        <f ca="1">IF($C10="","",'Profile &amp; Baseline'!R10/INDEX('Global Constants'!K$38:K$40,$H10))</f>
        <v>0</v>
      </c>
      <c r="S10" s="26">
        <f ca="1">IF($C10="","",'Profile &amp; Baseline'!S10/INDEX('Global Constants'!L$38:L$40,$H10))</f>
        <v>0</v>
      </c>
      <c r="T10" s="26">
        <f ca="1">IF($C10="","",'Profile &amp; Baseline'!T10/INDEX('Global Constants'!M$38:M$40,$H10))</f>
        <v>0</v>
      </c>
      <c r="U10" s="26">
        <f ca="1">IF($C10="","",'Profile &amp; Baseline'!U10/INDEX('Global Constants'!N$38:N$40,$H10))</f>
        <v>0</v>
      </c>
      <c r="V10" s="26">
        <f ca="1">IF($C10="","",'Profile &amp; Baseline'!V10/INDEX('Global Constants'!O$38:O$40,$H10))</f>
        <v>0</v>
      </c>
      <c r="W10" s="26">
        <f ca="1">IF($C10="","",'Profile &amp; Baseline'!W10/INDEX('Global Constants'!P$38:P$40,$H10))</f>
        <v>0</v>
      </c>
      <c r="X10" s="26">
        <f ca="1">IF($C10="","",'Profile &amp; Baseline'!X10/INDEX('Global Constants'!Q$38:Q$40,$H10))</f>
        <v>0</v>
      </c>
      <c r="Y10" s="26">
        <f ca="1">IF($C10="","",'Profile &amp; Baseline'!Y10/INDEX('Global Constants'!R$38:R$40,$H10))</f>
        <v>0</v>
      </c>
      <c r="Z10" s="26">
        <f ca="1">IF($C10="","",'Profile &amp; Baseline'!Z10/INDEX('Global Constants'!S$38:S$40,$H10))</f>
        <v>0</v>
      </c>
      <c r="AA10" s="26">
        <f ca="1">IF($C10="","",'Profile &amp; Baseline'!AA10/INDEX('Global Constants'!T$38:T$40,$H10))</f>
        <v>0</v>
      </c>
      <c r="AB10" s="26">
        <f ca="1">IF($C10="","",'Profile &amp; Baseline'!AB10/INDEX('Global Constants'!U$38:U$40,$H10))</f>
        <v>0</v>
      </c>
      <c r="AC10" s="26">
        <f ca="1">IF($C10="","",'Profile &amp; Baseline'!AC10/INDEX('Global Constants'!V$38:V$40,$H10))</f>
        <v>0</v>
      </c>
      <c r="AD10" s="26">
        <f ca="1">IF($C10="","",'Profile &amp; Baseline'!AD10/INDEX('Global Constants'!W$38:W$40,$H10))</f>
        <v>0</v>
      </c>
      <c r="AE10" s="26">
        <f ca="1">IF($C10="","",'Profile &amp; Baseline'!AE10/INDEX('Global Constants'!X$38:X$40,$H10))</f>
        <v>2000</v>
      </c>
      <c r="AF10" s="26">
        <f ca="1">IF($C10="","",'Profile &amp; Baseline'!AF10/INDEX('Global Constants'!Y$38:Y$40,$H10))</f>
        <v>0</v>
      </c>
      <c r="AG10" s="26">
        <f ca="1">IF($C10="","",'Profile &amp; Baseline'!AG10/INDEX('Global Constants'!Z$38:Z$40,$H10))</f>
        <v>0</v>
      </c>
      <c r="AH10" s="26">
        <f ca="1">IF($C10="","",'Profile &amp; Baseline'!AH10/INDEX('Global Constants'!AA$38:AA$40,$H10))</f>
        <v>0</v>
      </c>
      <c r="AI10" s="26">
        <f ca="1">IF($C10="","",'Profile &amp; Baseline'!AI10/INDEX('Global Constants'!AB$38:AB$40,$H10))</f>
        <v>0</v>
      </c>
      <c r="AJ10" s="26">
        <f ca="1">IF($C10="","",'Profile &amp; Baseline'!AJ10/INDEX('Global Constants'!AC$38:AC$40,$H10))</f>
        <v>0</v>
      </c>
      <c r="AK10" s="26">
        <f ca="1">IF($C10="","",'Profile &amp; Baseline'!AK10/INDEX('Global Constants'!AD$38:AD$40,$H10))</f>
        <v>0</v>
      </c>
      <c r="AL10" s="26">
        <f ca="1">IF($C10="","",'Profile &amp; Baseline'!AL10/INDEX('Global Constants'!AE$38:AE$40,$H10))</f>
        <v>0</v>
      </c>
      <c r="AM10" s="26">
        <f ca="1">IF($C10="","",'Profile &amp; Baseline'!AM10/INDEX('Global Constants'!AF$38:AF$40,$H10))</f>
        <v>0</v>
      </c>
      <c r="AN10" s="26">
        <f ca="1">IF($C10="","",'Profile &amp; Baseline'!AN10/INDEX('Global Constants'!AG$38:AG$40,$H10))</f>
        <v>0</v>
      </c>
      <c r="AO10" s="26">
        <f ca="1">IF($C10="","",'Profile &amp; Baseline'!AO10/INDEX('Global Constants'!AH$38:AH$40,$H10))</f>
        <v>0</v>
      </c>
      <c r="AP10" s="26">
        <f ca="1">IF($C10="","",'Profile &amp; Baseline'!AP10/INDEX('Global Constants'!AI$38:AI$40,$H10))</f>
        <v>0</v>
      </c>
      <c r="AQ10" s="26">
        <f ca="1">IF($C10="","",'Profile &amp; Baseline'!AQ10/INDEX('Global Constants'!AJ$38:AJ$40,$H10))</f>
        <v>0</v>
      </c>
      <c r="AR10" s="26">
        <f ca="1">IF($C10="","",'Profile &amp; Baseline'!AR10/INDEX('Global Constants'!AK$38:AK$40,$H10))</f>
        <v>0</v>
      </c>
      <c r="AS10" s="26">
        <f ca="1">IF($C10="","",'Profile &amp; Baseline'!AS10/INDEX('Global Constants'!AL$38:AL$40,$H10))</f>
        <v>0</v>
      </c>
      <c r="AT10" s="26">
        <f ca="1">IF($C10="","",'Profile &amp; Baseline'!AT10/INDEX('Global Constants'!AM$38:AM$40,$H10))</f>
        <v>0</v>
      </c>
      <c r="AU10" s="26">
        <f ca="1">IF($C10="","",'Profile &amp; Baseline'!AU10/INDEX('Global Constants'!AN$38:AN$40,$H10))</f>
        <v>0</v>
      </c>
      <c r="AV10" s="26">
        <f ca="1">IF($C10="","",'Profile &amp; Baseline'!AV10/INDEX('Global Constants'!AO$38:AO$40,$H10))</f>
        <v>0</v>
      </c>
      <c r="AW10" s="26">
        <f ca="1">IF($C10="","",'Profile &amp; Baseline'!AW10/INDEX('Global Constants'!AP$38:AP$40,$H10))</f>
        <v>0</v>
      </c>
      <c r="AX10" s="26">
        <f ca="1">IF($C10="","",'Profile &amp; Baseline'!AX10/INDEX('Global Constants'!AQ$38:AQ$40,$H10))</f>
        <v>0</v>
      </c>
      <c r="AY10" s="26">
        <f ca="1">IF($C10="","",'Profile &amp; Baseline'!AY10/INDEX('Global Constants'!AR$38:AR$40,$H10))</f>
        <v>0</v>
      </c>
      <c r="AZ10" s="26">
        <f ca="1">IF($C10="","",'Profile &amp; Baseline'!AZ10/INDEX('Global Constants'!AS$38:AS$40,$H10))</f>
        <v>0</v>
      </c>
      <c r="BA10" s="26">
        <f ca="1">IF($C10="","",'Profile &amp; Baseline'!BA10/INDEX('Global Constants'!AT$38:AT$40,$H10))</f>
        <v>0</v>
      </c>
      <c r="BB10" s="26">
        <f ca="1">IF($C10="","",'Profile &amp; Baseline'!BB10/INDEX('Global Constants'!AU$38:AU$40,$H10))</f>
        <v>0</v>
      </c>
      <c r="BC10" s="26">
        <f ca="1">IF($C10="","",'Profile &amp; Baseline'!BC10/INDEX('Global Constants'!AV$38:AV$40,$H10))</f>
        <v>0</v>
      </c>
      <c r="BD10" s="26">
        <f ca="1">IF($C10="","",'Profile &amp; Baseline'!BD10/INDEX('Global Constants'!AW$38:AW$40,$H10))</f>
        <v>0</v>
      </c>
      <c r="BE10" s="26">
        <f ca="1">IF($C10="","",'Profile &amp; Baseline'!BE10/INDEX('Global Constants'!AX$38:AX$40,$H10))</f>
        <v>0</v>
      </c>
      <c r="BF10" s="26">
        <f ca="1">IF($C10="","",'Profile &amp; Baseline'!BF10/INDEX('Global Constants'!AY$38:AY$40,$H10))</f>
        <v>0</v>
      </c>
      <c r="BG10" s="26">
        <f ca="1">IF($C10="","",'Profile &amp; Baseline'!BG10/INDEX('Global Constants'!AZ$38:AZ$40,$H10))</f>
        <v>0</v>
      </c>
      <c r="BH10" s="26">
        <f ca="1">IF($C10="","",'Profile &amp; Baseline'!BH10/INDEX('Global Constants'!BA$38:BA$40,$H10))</f>
        <v>0</v>
      </c>
      <c r="BI10" s="26">
        <f ca="1">IF($C10="","",'Profile &amp; Baseline'!BI10/INDEX('Global Constants'!BB$38:BB$40,$H10))</f>
        <v>0</v>
      </c>
      <c r="BJ10" s="26">
        <f ca="1">IF($C10="","",'Profile &amp; Baseline'!BJ10/INDEX('Global Constants'!BC$38:BC$40,$H10))</f>
        <v>0</v>
      </c>
      <c r="BK10" s="26">
        <f ca="1">IF($C10="","",'Profile &amp; Baseline'!BK10/INDEX('Global Constants'!BD$38:BD$40,$H10))</f>
        <v>0</v>
      </c>
      <c r="BL10" s="26">
        <f ca="1">IF($C10="","",'Profile &amp; Baseline'!BL10/INDEX('Global Constants'!BE$38:BE$40,$H10))</f>
        <v>0</v>
      </c>
      <c r="BM10" s="26">
        <f ca="1">IF($C10="","",'Profile &amp; Baseline'!BM10/INDEX('Global Constants'!BF$38:BF$40,$H10))</f>
        <v>0</v>
      </c>
      <c r="BN10" s="26">
        <f ca="1">IF($C10="","",'Profile &amp; Baseline'!BN10/INDEX('Global Constants'!BG$38:BG$40,$H10))</f>
        <v>0</v>
      </c>
      <c r="BO10" s="26">
        <f ca="1">IF($C10="","",'Profile &amp; Baseline'!BO10/INDEX('Global Constants'!BH$38:BH$40,$H10))</f>
        <v>0</v>
      </c>
      <c r="BP10" s="26">
        <f ca="1">IF($C10="","",'Profile &amp; Baseline'!BP10/INDEX('Global Constants'!BI$38:BI$40,$H10))</f>
        <v>0</v>
      </c>
      <c r="BQ10" s="26">
        <f ca="1">IF($C10="","",'Profile &amp; Baseline'!BQ10/INDEX('Global Constants'!BJ$38:BJ$40,$H10))</f>
        <v>0</v>
      </c>
      <c r="BR10" s="26">
        <f ca="1">IF($C10="","",'Profile &amp; Baseline'!BR10/INDEX('Global Constants'!BK$38:BK$40,$H10))</f>
        <v>0</v>
      </c>
      <c r="BS10" s="26">
        <f ca="1">IF($C10="","",'Profile &amp; Baseline'!BS10/INDEX('Global Constants'!BL$38:BL$40,$H10))</f>
        <v>0</v>
      </c>
      <c r="BT10" s="26">
        <f ca="1">IF($C10="","",'Profile &amp; Baseline'!BT10/INDEX('Global Constants'!BM$38:BM$40,$H10))</f>
        <v>0</v>
      </c>
      <c r="BU10" s="26">
        <f ca="1">IF($C10="","",'Profile &amp; Baseline'!BU10/INDEX('Global Constants'!BN$38:BN$40,$H10))</f>
        <v>0</v>
      </c>
      <c r="BV10" s="26">
        <f ca="1">IF($C10="","",'Profile &amp; Baseline'!BV10/INDEX('Global Constants'!BO$38:BO$40,$H10))</f>
        <v>0</v>
      </c>
      <c r="BW10" s="26">
        <f ca="1">IF($C10="","",'Profile &amp; Baseline'!BW10/INDEX('Global Constants'!BP$38:BP$40,$H10))</f>
        <v>0</v>
      </c>
      <c r="BX10" s="26">
        <f ca="1">IF($C10="","",'Profile &amp; Baseline'!BX10/INDEX('Global Constants'!BQ$38:BQ$40,$H10))</f>
        <v>0</v>
      </c>
      <c r="BY10" s="26">
        <f ca="1">IF($C10="","",'Profile &amp; Baseline'!BY10/INDEX('Global Constants'!BR$38:BR$40,$H10))</f>
        <v>0</v>
      </c>
      <c r="BZ10" s="26">
        <f ca="1">IF($C10="","",'Profile &amp; Baseline'!BZ10/INDEX('Global Constants'!BS$38:BS$40,$H10))</f>
        <v>0</v>
      </c>
      <c r="CA10" s="26">
        <f ca="1">IF($C10="","",'Profile &amp; Baseline'!CA10/INDEX('Global Constants'!BT$38:BT$40,$H10))</f>
        <v>0</v>
      </c>
      <c r="CB10" s="26">
        <f ca="1">IF($C10="","",'Profile &amp; Baseline'!CB10/INDEX('Global Constants'!BU$38:BU$40,$H10))</f>
        <v>0</v>
      </c>
      <c r="CC10" s="26">
        <f ca="1">IF($C10="","",'Profile &amp; Baseline'!CC10/INDEX('Global Constants'!BV$38:BV$40,$H10))</f>
        <v>0</v>
      </c>
      <c r="CD10" s="26">
        <f ca="1">IF($C10="","",'Profile &amp; Baseline'!CD10/INDEX('Global Constants'!BW$38:BW$40,$H10))</f>
        <v>0</v>
      </c>
      <c r="CE10" s="26">
        <f ca="1">IF($C10="","",'Profile &amp; Baseline'!CE10/INDEX('Global Constants'!BX$38:BX$40,$H10))</f>
        <v>0</v>
      </c>
      <c r="CF10" s="26">
        <f ca="1">IF($C10="","",'Profile &amp; Baseline'!CF10/INDEX('Global Constants'!BY$38:BY$40,$H10))</f>
        <v>0</v>
      </c>
      <c r="CG10" s="26">
        <f ca="1">IF($C10="","",'Profile &amp; Baseline'!CG10/INDEX('Global Constants'!BZ$38:BZ$40,$H10))</f>
        <v>0</v>
      </c>
      <c r="CH10" s="26">
        <f ca="1">IF($C10="","",'Profile &amp; Baseline'!CH10/INDEX('Global Constants'!CA$38:CA$40,$H10))</f>
        <v>0</v>
      </c>
      <c r="CI10" s="26">
        <f ca="1">IF($C10="","",'Profile &amp; Baseline'!CI10/INDEX('Global Constants'!CB$38:CB$40,$H10))</f>
        <v>0</v>
      </c>
      <c r="CJ10" s="26">
        <f ca="1">IF($C10="","",'Profile &amp; Baseline'!CJ10/INDEX('Global Constants'!CC$38:CC$40,$H10))</f>
        <v>0</v>
      </c>
      <c r="CK10" s="26">
        <f ca="1">IF($C10="","",'Profile &amp; Baseline'!CK10/INDEX('Global Constants'!CD$38:CD$40,$H10))</f>
        <v>0</v>
      </c>
      <c r="CL10" s="26">
        <f ca="1">IF($C10="","",'Profile &amp; Baseline'!CL10/INDEX('Global Constants'!CE$38:CE$40,$H10))</f>
        <v>0</v>
      </c>
      <c r="CM10" s="26">
        <f ca="1">IF($C10="","",'Profile &amp; Baseline'!CM10/INDEX('Global Constants'!CF$38:CF$40,$H10))</f>
        <v>0</v>
      </c>
      <c r="CN10" s="26">
        <f ca="1">IF($C10="","",'Profile &amp; Baseline'!CN10/INDEX('Global Constants'!CG$38:CG$40,$H10))</f>
        <v>0</v>
      </c>
      <c r="CO10" s="26">
        <f ca="1">IF($C10="","",'Profile &amp; Baseline'!CO10/INDEX('Global Constants'!CH$38:CH$40,$H10))</f>
        <v>0</v>
      </c>
      <c r="CP10" s="26">
        <f ca="1">IF($C10="","",'Profile &amp; Baseline'!CP10/INDEX('Global Constants'!CI$38:CI$40,$H10))</f>
        <v>0</v>
      </c>
      <c r="CQ10" s="26">
        <f ca="1">IF($C10="","",'Profile &amp; Baseline'!CQ10/INDEX('Global Constants'!CJ$38:CJ$40,$H10))</f>
        <v>0</v>
      </c>
      <c r="CR10" s="26">
        <f ca="1">IF($C10="","",'Profile &amp; Baseline'!CR10/INDEX('Global Constants'!CK$38:CK$40,$H10))</f>
        <v>0</v>
      </c>
      <c r="CS10" s="26">
        <f ca="1">IF($C10="","",'Profile &amp; Baseline'!CS10/INDEX('Global Constants'!CL$38:CL$40,$H10))</f>
        <v>0</v>
      </c>
      <c r="CT10" s="26">
        <f ca="1">IF($C10="","",'Profile &amp; Baseline'!CT10/INDEX('Global Constants'!CM$38:CM$40,$H10))</f>
        <v>0</v>
      </c>
      <c r="CU10" s="26">
        <f ca="1">IF($C10="","",'Profile &amp; Baseline'!CU10/INDEX('Global Constants'!CN$38:CN$40,$H10))</f>
        <v>0</v>
      </c>
      <c r="CV10" s="26">
        <f ca="1">IF($C10="","",'Profile &amp; Baseline'!CV10/INDEX('Global Constants'!CO$38:CO$40,$H10))</f>
        <v>0</v>
      </c>
      <c r="CW10" s="26">
        <f ca="1">IF($C10="","",'Profile &amp; Baseline'!CW10/INDEX('Global Constants'!CP$38:CP$40,$H10))</f>
        <v>0</v>
      </c>
      <c r="CX10" s="26">
        <f ca="1">IF($C10="","",'Profile &amp; Baseline'!CX10/INDEX('Global Constants'!CQ$38:CQ$40,$H10))</f>
        <v>0</v>
      </c>
      <c r="CZ10" s="26">
        <f t="shared" ca="1" si="1"/>
        <v>0</v>
      </c>
      <c r="DA10" s="26">
        <f t="shared" ref="DA10:DA38" ca="1" si="2">SUM(M10:CX10)</f>
        <v>2000</v>
      </c>
    </row>
    <row r="11" spans="1:105" x14ac:dyDescent="0.3">
      <c r="C11" s="4" t="str">
        <f>IF('Cost &amp; Risk Inputs'!C12="","",'Cost &amp; Risk Inputs'!C12)</f>
        <v>Test 3</v>
      </c>
      <c r="D11" s="4" t="str">
        <f>IF(C11="","",'Cost &amp; Risk Inputs'!H12)</f>
        <v>Design</v>
      </c>
      <c r="E11" s="4" t="str">
        <f>IF(C11="","",'Cost &amp; Risk Inputs'!I12)</f>
        <v>Personnel</v>
      </c>
      <c r="F11" s="4" t="str">
        <f>IF(C11="","",'Cost &amp; Risk Inputs'!G12)</f>
        <v>GBP</v>
      </c>
      <c r="H11" s="18">
        <f t="shared" si="0"/>
        <v>1</v>
      </c>
      <c r="M11" s="26">
        <f ca="1">IF($C11="","",'Profile &amp; Baseline'!M11/INDEX('Global Constants'!F$38:F$40,$H11))</f>
        <v>0</v>
      </c>
      <c r="N11" s="26">
        <f ca="1">IF($C11="","",'Profile &amp; Baseline'!N11/INDEX('Global Constants'!G$38:G$40,$H11))</f>
        <v>0</v>
      </c>
      <c r="O11" s="26">
        <f ca="1">IF($C11="","",'Profile &amp; Baseline'!O11/INDEX('Global Constants'!H$38:H$40,$H11))</f>
        <v>0</v>
      </c>
      <c r="P11" s="26">
        <f ca="1">IF($C11="","",'Profile &amp; Baseline'!P11/INDEX('Global Constants'!I$38:I$40,$H11))</f>
        <v>0</v>
      </c>
      <c r="Q11" s="26">
        <f ca="1">IF($C11="","",'Profile &amp; Baseline'!Q11/INDEX('Global Constants'!J$38:J$40,$H11))</f>
        <v>0</v>
      </c>
      <c r="R11" s="26">
        <f ca="1">IF($C11="","",'Profile &amp; Baseline'!R11/INDEX('Global Constants'!K$38:K$40,$H11))</f>
        <v>0</v>
      </c>
      <c r="S11" s="26">
        <f ca="1">IF($C11="","",'Profile &amp; Baseline'!S11/INDEX('Global Constants'!L$38:L$40,$H11))</f>
        <v>0</v>
      </c>
      <c r="T11" s="26">
        <f ca="1">IF($C11="","",'Profile &amp; Baseline'!T11/INDEX('Global Constants'!M$38:M$40,$H11))</f>
        <v>0</v>
      </c>
      <c r="U11" s="26">
        <f ca="1">IF($C11="","",'Profile &amp; Baseline'!U11/INDEX('Global Constants'!N$38:N$40,$H11))</f>
        <v>0</v>
      </c>
      <c r="V11" s="26">
        <f ca="1">IF($C11="","",'Profile &amp; Baseline'!V11/INDEX('Global Constants'!O$38:O$40,$H11))</f>
        <v>0</v>
      </c>
      <c r="W11" s="26">
        <f ca="1">IF($C11="","",'Profile &amp; Baseline'!W11/INDEX('Global Constants'!P$38:P$40,$H11))</f>
        <v>0</v>
      </c>
      <c r="X11" s="26">
        <f ca="1">IF($C11="","",'Profile &amp; Baseline'!X11/INDEX('Global Constants'!Q$38:Q$40,$H11))</f>
        <v>0</v>
      </c>
      <c r="Y11" s="26">
        <f ca="1">IF($C11="","",'Profile &amp; Baseline'!Y11/INDEX('Global Constants'!R$38:R$40,$H11))</f>
        <v>0</v>
      </c>
      <c r="Z11" s="26">
        <f ca="1">IF($C11="","",'Profile &amp; Baseline'!Z11/INDEX('Global Constants'!S$38:S$40,$H11))</f>
        <v>0</v>
      </c>
      <c r="AA11" s="26">
        <f ca="1">IF($C11="","",'Profile &amp; Baseline'!AA11/INDEX('Global Constants'!T$38:T$40,$H11))</f>
        <v>0</v>
      </c>
      <c r="AB11" s="26">
        <f ca="1">IF($C11="","",'Profile &amp; Baseline'!AB11/INDEX('Global Constants'!U$38:U$40,$H11))</f>
        <v>0</v>
      </c>
      <c r="AC11" s="26">
        <f ca="1">IF($C11="","",'Profile &amp; Baseline'!AC11/INDEX('Global Constants'!V$38:V$40,$H11))</f>
        <v>0</v>
      </c>
      <c r="AD11" s="26">
        <f ca="1">IF($C11="","",'Profile &amp; Baseline'!AD11/INDEX('Global Constants'!W$38:W$40,$H11))</f>
        <v>0</v>
      </c>
      <c r="AE11" s="26">
        <f ca="1">IF($C11="","",'Profile &amp; Baseline'!AE11/INDEX('Global Constants'!X$38:X$40,$H11))</f>
        <v>0</v>
      </c>
      <c r="AF11" s="26">
        <f ca="1">IF($C11="","",'Profile &amp; Baseline'!AF11/INDEX('Global Constants'!Y$38:Y$40,$H11))</f>
        <v>2000</v>
      </c>
      <c r="AG11" s="26">
        <f ca="1">IF($C11="","",'Profile &amp; Baseline'!AG11/INDEX('Global Constants'!Z$38:Z$40,$H11))</f>
        <v>0</v>
      </c>
      <c r="AH11" s="26">
        <f ca="1">IF($C11="","",'Profile &amp; Baseline'!AH11/INDEX('Global Constants'!AA$38:AA$40,$H11))</f>
        <v>0</v>
      </c>
      <c r="AI11" s="26">
        <f ca="1">IF($C11="","",'Profile &amp; Baseline'!AI11/INDEX('Global Constants'!AB$38:AB$40,$H11))</f>
        <v>0</v>
      </c>
      <c r="AJ11" s="26">
        <f ca="1">IF($C11="","",'Profile &amp; Baseline'!AJ11/INDEX('Global Constants'!AC$38:AC$40,$H11))</f>
        <v>0</v>
      </c>
      <c r="AK11" s="26">
        <f ca="1">IF($C11="","",'Profile &amp; Baseline'!AK11/INDEX('Global Constants'!AD$38:AD$40,$H11))</f>
        <v>0</v>
      </c>
      <c r="AL11" s="26">
        <f ca="1">IF($C11="","",'Profile &amp; Baseline'!AL11/INDEX('Global Constants'!AE$38:AE$40,$H11))</f>
        <v>0</v>
      </c>
      <c r="AM11" s="26">
        <f ca="1">IF($C11="","",'Profile &amp; Baseline'!AM11/INDEX('Global Constants'!AF$38:AF$40,$H11))</f>
        <v>0</v>
      </c>
      <c r="AN11" s="26">
        <f ca="1">IF($C11="","",'Profile &amp; Baseline'!AN11/INDEX('Global Constants'!AG$38:AG$40,$H11))</f>
        <v>0</v>
      </c>
      <c r="AO11" s="26">
        <f ca="1">IF($C11="","",'Profile &amp; Baseline'!AO11/INDEX('Global Constants'!AH$38:AH$40,$H11))</f>
        <v>0</v>
      </c>
      <c r="AP11" s="26">
        <f ca="1">IF($C11="","",'Profile &amp; Baseline'!AP11/INDEX('Global Constants'!AI$38:AI$40,$H11))</f>
        <v>0</v>
      </c>
      <c r="AQ11" s="26">
        <f ca="1">IF($C11="","",'Profile &amp; Baseline'!AQ11/INDEX('Global Constants'!AJ$38:AJ$40,$H11))</f>
        <v>0</v>
      </c>
      <c r="AR11" s="26">
        <f ca="1">IF($C11="","",'Profile &amp; Baseline'!AR11/INDEX('Global Constants'!AK$38:AK$40,$H11))</f>
        <v>0</v>
      </c>
      <c r="AS11" s="26">
        <f ca="1">IF($C11="","",'Profile &amp; Baseline'!AS11/INDEX('Global Constants'!AL$38:AL$40,$H11))</f>
        <v>0</v>
      </c>
      <c r="AT11" s="26">
        <f ca="1">IF($C11="","",'Profile &amp; Baseline'!AT11/INDEX('Global Constants'!AM$38:AM$40,$H11))</f>
        <v>0</v>
      </c>
      <c r="AU11" s="26">
        <f ca="1">IF($C11="","",'Profile &amp; Baseline'!AU11/INDEX('Global Constants'!AN$38:AN$40,$H11))</f>
        <v>0</v>
      </c>
      <c r="AV11" s="26">
        <f ca="1">IF($C11="","",'Profile &amp; Baseline'!AV11/INDEX('Global Constants'!AO$38:AO$40,$H11))</f>
        <v>0</v>
      </c>
      <c r="AW11" s="26">
        <f ca="1">IF($C11="","",'Profile &amp; Baseline'!AW11/INDEX('Global Constants'!AP$38:AP$40,$H11))</f>
        <v>0</v>
      </c>
      <c r="AX11" s="26">
        <f ca="1">IF($C11="","",'Profile &amp; Baseline'!AX11/INDEX('Global Constants'!AQ$38:AQ$40,$H11))</f>
        <v>0</v>
      </c>
      <c r="AY11" s="26">
        <f ca="1">IF($C11="","",'Profile &amp; Baseline'!AY11/INDEX('Global Constants'!AR$38:AR$40,$H11))</f>
        <v>0</v>
      </c>
      <c r="AZ11" s="26">
        <f ca="1">IF($C11="","",'Profile &amp; Baseline'!AZ11/INDEX('Global Constants'!AS$38:AS$40,$H11))</f>
        <v>0</v>
      </c>
      <c r="BA11" s="26">
        <f ca="1">IF($C11="","",'Profile &amp; Baseline'!BA11/INDEX('Global Constants'!AT$38:AT$40,$H11))</f>
        <v>0</v>
      </c>
      <c r="BB11" s="26">
        <f ca="1">IF($C11="","",'Profile &amp; Baseline'!BB11/INDEX('Global Constants'!AU$38:AU$40,$H11))</f>
        <v>0</v>
      </c>
      <c r="BC11" s="26">
        <f ca="1">IF($C11="","",'Profile &amp; Baseline'!BC11/INDEX('Global Constants'!AV$38:AV$40,$H11))</f>
        <v>0</v>
      </c>
      <c r="BD11" s="26">
        <f ca="1">IF($C11="","",'Profile &amp; Baseline'!BD11/INDEX('Global Constants'!AW$38:AW$40,$H11))</f>
        <v>0</v>
      </c>
      <c r="BE11" s="26">
        <f ca="1">IF($C11="","",'Profile &amp; Baseline'!BE11/INDEX('Global Constants'!AX$38:AX$40,$H11))</f>
        <v>0</v>
      </c>
      <c r="BF11" s="26">
        <f ca="1">IF($C11="","",'Profile &amp; Baseline'!BF11/INDEX('Global Constants'!AY$38:AY$40,$H11))</f>
        <v>0</v>
      </c>
      <c r="BG11" s="26">
        <f ca="1">IF($C11="","",'Profile &amp; Baseline'!BG11/INDEX('Global Constants'!AZ$38:AZ$40,$H11))</f>
        <v>0</v>
      </c>
      <c r="BH11" s="26">
        <f ca="1">IF($C11="","",'Profile &amp; Baseline'!BH11/INDEX('Global Constants'!BA$38:BA$40,$H11))</f>
        <v>0</v>
      </c>
      <c r="BI11" s="26">
        <f ca="1">IF($C11="","",'Profile &amp; Baseline'!BI11/INDEX('Global Constants'!BB$38:BB$40,$H11))</f>
        <v>0</v>
      </c>
      <c r="BJ11" s="26">
        <f ca="1">IF($C11="","",'Profile &amp; Baseline'!BJ11/INDEX('Global Constants'!BC$38:BC$40,$H11))</f>
        <v>0</v>
      </c>
      <c r="BK11" s="26">
        <f ca="1">IF($C11="","",'Profile &amp; Baseline'!BK11/INDEX('Global Constants'!BD$38:BD$40,$H11))</f>
        <v>0</v>
      </c>
      <c r="BL11" s="26">
        <f ca="1">IF($C11="","",'Profile &amp; Baseline'!BL11/INDEX('Global Constants'!BE$38:BE$40,$H11))</f>
        <v>0</v>
      </c>
      <c r="BM11" s="26">
        <f ca="1">IF($C11="","",'Profile &amp; Baseline'!BM11/INDEX('Global Constants'!BF$38:BF$40,$H11))</f>
        <v>0</v>
      </c>
      <c r="BN11" s="26">
        <f ca="1">IF($C11="","",'Profile &amp; Baseline'!BN11/INDEX('Global Constants'!BG$38:BG$40,$H11))</f>
        <v>0</v>
      </c>
      <c r="BO11" s="26">
        <f ca="1">IF($C11="","",'Profile &amp; Baseline'!BO11/INDEX('Global Constants'!BH$38:BH$40,$H11))</f>
        <v>0</v>
      </c>
      <c r="BP11" s="26">
        <f ca="1">IF($C11="","",'Profile &amp; Baseline'!BP11/INDEX('Global Constants'!BI$38:BI$40,$H11))</f>
        <v>0</v>
      </c>
      <c r="BQ11" s="26">
        <f ca="1">IF($C11="","",'Profile &amp; Baseline'!BQ11/INDEX('Global Constants'!BJ$38:BJ$40,$H11))</f>
        <v>0</v>
      </c>
      <c r="BR11" s="26">
        <f ca="1">IF($C11="","",'Profile &amp; Baseline'!BR11/INDEX('Global Constants'!BK$38:BK$40,$H11))</f>
        <v>0</v>
      </c>
      <c r="BS11" s="26">
        <f ca="1">IF($C11="","",'Profile &amp; Baseline'!BS11/INDEX('Global Constants'!BL$38:BL$40,$H11))</f>
        <v>0</v>
      </c>
      <c r="BT11" s="26">
        <f ca="1">IF($C11="","",'Profile &amp; Baseline'!BT11/INDEX('Global Constants'!BM$38:BM$40,$H11))</f>
        <v>0</v>
      </c>
      <c r="BU11" s="26">
        <f ca="1">IF($C11="","",'Profile &amp; Baseline'!BU11/INDEX('Global Constants'!BN$38:BN$40,$H11))</f>
        <v>0</v>
      </c>
      <c r="BV11" s="26">
        <f ca="1">IF($C11="","",'Profile &amp; Baseline'!BV11/INDEX('Global Constants'!BO$38:BO$40,$H11))</f>
        <v>0</v>
      </c>
      <c r="BW11" s="26">
        <f ca="1">IF($C11="","",'Profile &amp; Baseline'!BW11/INDEX('Global Constants'!BP$38:BP$40,$H11))</f>
        <v>0</v>
      </c>
      <c r="BX11" s="26">
        <f ca="1">IF($C11="","",'Profile &amp; Baseline'!BX11/INDEX('Global Constants'!BQ$38:BQ$40,$H11))</f>
        <v>0</v>
      </c>
      <c r="BY11" s="26">
        <f ca="1">IF($C11="","",'Profile &amp; Baseline'!BY11/INDEX('Global Constants'!BR$38:BR$40,$H11))</f>
        <v>0</v>
      </c>
      <c r="BZ11" s="26">
        <f ca="1">IF($C11="","",'Profile &amp; Baseline'!BZ11/INDEX('Global Constants'!BS$38:BS$40,$H11))</f>
        <v>0</v>
      </c>
      <c r="CA11" s="26">
        <f ca="1">IF($C11="","",'Profile &amp; Baseline'!CA11/INDEX('Global Constants'!BT$38:BT$40,$H11))</f>
        <v>0</v>
      </c>
      <c r="CB11" s="26">
        <f ca="1">IF($C11="","",'Profile &amp; Baseline'!CB11/INDEX('Global Constants'!BU$38:BU$40,$H11))</f>
        <v>0</v>
      </c>
      <c r="CC11" s="26">
        <f ca="1">IF($C11="","",'Profile &amp; Baseline'!CC11/INDEX('Global Constants'!BV$38:BV$40,$H11))</f>
        <v>0</v>
      </c>
      <c r="CD11" s="26">
        <f ca="1">IF($C11="","",'Profile &amp; Baseline'!CD11/INDEX('Global Constants'!BW$38:BW$40,$H11))</f>
        <v>0</v>
      </c>
      <c r="CE11" s="26">
        <f ca="1">IF($C11="","",'Profile &amp; Baseline'!CE11/INDEX('Global Constants'!BX$38:BX$40,$H11))</f>
        <v>0</v>
      </c>
      <c r="CF11" s="26">
        <f ca="1">IF($C11="","",'Profile &amp; Baseline'!CF11/INDEX('Global Constants'!BY$38:BY$40,$H11))</f>
        <v>0</v>
      </c>
      <c r="CG11" s="26">
        <f ca="1">IF($C11="","",'Profile &amp; Baseline'!CG11/INDEX('Global Constants'!BZ$38:BZ$40,$H11))</f>
        <v>0</v>
      </c>
      <c r="CH11" s="26">
        <f ca="1">IF($C11="","",'Profile &amp; Baseline'!CH11/INDEX('Global Constants'!CA$38:CA$40,$H11))</f>
        <v>0</v>
      </c>
      <c r="CI11" s="26">
        <f ca="1">IF($C11="","",'Profile &amp; Baseline'!CI11/INDEX('Global Constants'!CB$38:CB$40,$H11))</f>
        <v>0</v>
      </c>
      <c r="CJ11" s="26">
        <f ca="1">IF($C11="","",'Profile &amp; Baseline'!CJ11/INDEX('Global Constants'!CC$38:CC$40,$H11))</f>
        <v>0</v>
      </c>
      <c r="CK11" s="26">
        <f ca="1">IF($C11="","",'Profile &amp; Baseline'!CK11/INDEX('Global Constants'!CD$38:CD$40,$H11))</f>
        <v>0</v>
      </c>
      <c r="CL11" s="26">
        <f ca="1">IF($C11="","",'Profile &amp; Baseline'!CL11/INDEX('Global Constants'!CE$38:CE$40,$H11))</f>
        <v>0</v>
      </c>
      <c r="CM11" s="26">
        <f ca="1">IF($C11="","",'Profile &amp; Baseline'!CM11/INDEX('Global Constants'!CF$38:CF$40,$H11))</f>
        <v>0</v>
      </c>
      <c r="CN11" s="26">
        <f ca="1">IF($C11="","",'Profile &amp; Baseline'!CN11/INDEX('Global Constants'!CG$38:CG$40,$H11))</f>
        <v>0</v>
      </c>
      <c r="CO11" s="26">
        <f ca="1">IF($C11="","",'Profile &amp; Baseline'!CO11/INDEX('Global Constants'!CH$38:CH$40,$H11))</f>
        <v>0</v>
      </c>
      <c r="CP11" s="26">
        <f ca="1">IF($C11="","",'Profile &amp; Baseline'!CP11/INDEX('Global Constants'!CI$38:CI$40,$H11))</f>
        <v>0</v>
      </c>
      <c r="CQ11" s="26">
        <f ca="1">IF($C11="","",'Profile &amp; Baseline'!CQ11/INDEX('Global Constants'!CJ$38:CJ$40,$H11))</f>
        <v>0</v>
      </c>
      <c r="CR11" s="26">
        <f ca="1">IF($C11="","",'Profile &amp; Baseline'!CR11/INDEX('Global Constants'!CK$38:CK$40,$H11))</f>
        <v>0</v>
      </c>
      <c r="CS11" s="26">
        <f ca="1">IF($C11="","",'Profile &amp; Baseline'!CS11/INDEX('Global Constants'!CL$38:CL$40,$H11))</f>
        <v>0</v>
      </c>
      <c r="CT11" s="26">
        <f ca="1">IF($C11="","",'Profile &amp; Baseline'!CT11/INDEX('Global Constants'!CM$38:CM$40,$H11))</f>
        <v>0</v>
      </c>
      <c r="CU11" s="26">
        <f ca="1">IF($C11="","",'Profile &amp; Baseline'!CU11/INDEX('Global Constants'!CN$38:CN$40,$H11))</f>
        <v>0</v>
      </c>
      <c r="CV11" s="26">
        <f ca="1">IF($C11="","",'Profile &amp; Baseline'!CV11/INDEX('Global Constants'!CO$38:CO$40,$H11))</f>
        <v>0</v>
      </c>
      <c r="CW11" s="26">
        <f ca="1">IF($C11="","",'Profile &amp; Baseline'!CW11/INDEX('Global Constants'!CP$38:CP$40,$H11))</f>
        <v>0</v>
      </c>
      <c r="CX11" s="26">
        <f ca="1">IF($C11="","",'Profile &amp; Baseline'!CX11/INDEX('Global Constants'!CQ$38:CQ$40,$H11))</f>
        <v>0</v>
      </c>
      <c r="CZ11" s="26">
        <f t="shared" ca="1" si="1"/>
        <v>0</v>
      </c>
      <c r="DA11" s="26">
        <f t="shared" ca="1" si="2"/>
        <v>2000</v>
      </c>
    </row>
    <row r="12" spans="1:105" x14ac:dyDescent="0.3">
      <c r="C12" s="4" t="str">
        <f>IF('Cost &amp; Risk Inputs'!C13="","",'Cost &amp; Risk Inputs'!C13)</f>
        <v>Test 4</v>
      </c>
      <c r="D12" s="4" t="str">
        <f>IF(C12="","",'Cost &amp; Risk Inputs'!H13)</f>
        <v>Manufacture</v>
      </c>
      <c r="E12" s="4" t="str">
        <f>IF(C12="","",'Cost &amp; Risk Inputs'!I13)</f>
        <v>Information</v>
      </c>
      <c r="F12" s="4" t="str">
        <f>IF(C12="","",'Cost &amp; Risk Inputs'!G13)</f>
        <v>GBP</v>
      </c>
      <c r="H12" s="18">
        <f t="shared" si="0"/>
        <v>1</v>
      </c>
      <c r="M12" s="26">
        <f ca="1">IF($C12="","",'Profile &amp; Baseline'!M12/INDEX('Global Constants'!F$38:F$40,$H12))</f>
        <v>0</v>
      </c>
      <c r="N12" s="26">
        <f ca="1">IF($C12="","",'Profile &amp; Baseline'!N12/INDEX('Global Constants'!G$38:G$40,$H12))</f>
        <v>0</v>
      </c>
      <c r="O12" s="26">
        <f ca="1">IF($C12="","",'Profile &amp; Baseline'!O12/INDEX('Global Constants'!H$38:H$40,$H12))</f>
        <v>0</v>
      </c>
      <c r="P12" s="26">
        <f ca="1">IF($C12="","",'Profile &amp; Baseline'!P12/INDEX('Global Constants'!I$38:I$40,$H12))</f>
        <v>0</v>
      </c>
      <c r="Q12" s="26">
        <f ca="1">IF($C12="","",'Profile &amp; Baseline'!Q12/INDEX('Global Constants'!J$38:J$40,$H12))</f>
        <v>0</v>
      </c>
      <c r="R12" s="26">
        <f ca="1">IF($C12="","",'Profile &amp; Baseline'!R12/INDEX('Global Constants'!K$38:K$40,$H12))</f>
        <v>0</v>
      </c>
      <c r="S12" s="26">
        <f ca="1">IF($C12="","",'Profile &amp; Baseline'!S12/INDEX('Global Constants'!L$38:L$40,$H12))</f>
        <v>0</v>
      </c>
      <c r="T12" s="26">
        <f ca="1">IF($C12="","",'Profile &amp; Baseline'!T12/INDEX('Global Constants'!M$38:M$40,$H12))</f>
        <v>0</v>
      </c>
      <c r="U12" s="26">
        <f ca="1">IF($C12="","",'Profile &amp; Baseline'!U12/INDEX('Global Constants'!N$38:N$40,$H12))</f>
        <v>0</v>
      </c>
      <c r="V12" s="26">
        <f ca="1">IF($C12="","",'Profile &amp; Baseline'!V12/INDEX('Global Constants'!O$38:O$40,$H12))</f>
        <v>0</v>
      </c>
      <c r="W12" s="26">
        <f ca="1">IF($C12="","",'Profile &amp; Baseline'!W12/INDEX('Global Constants'!P$38:P$40,$H12))</f>
        <v>0</v>
      </c>
      <c r="X12" s="26">
        <f ca="1">IF($C12="","",'Profile &amp; Baseline'!X12/INDEX('Global Constants'!Q$38:Q$40,$H12))</f>
        <v>0</v>
      </c>
      <c r="Y12" s="26">
        <f ca="1">IF($C12="","",'Profile &amp; Baseline'!Y12/INDEX('Global Constants'!R$38:R$40,$H12))</f>
        <v>0</v>
      </c>
      <c r="Z12" s="26">
        <f ca="1">IF($C12="","",'Profile &amp; Baseline'!Z12/INDEX('Global Constants'!S$38:S$40,$H12))</f>
        <v>0</v>
      </c>
      <c r="AA12" s="26">
        <f ca="1">IF($C12="","",'Profile &amp; Baseline'!AA12/INDEX('Global Constants'!T$38:T$40,$H12))</f>
        <v>0</v>
      </c>
      <c r="AB12" s="26">
        <f ca="1">IF($C12="","",'Profile &amp; Baseline'!AB12/INDEX('Global Constants'!U$38:U$40,$H12))</f>
        <v>0</v>
      </c>
      <c r="AC12" s="26">
        <f ca="1">IF($C12="","",'Profile &amp; Baseline'!AC12/INDEX('Global Constants'!V$38:V$40,$H12))</f>
        <v>0</v>
      </c>
      <c r="AD12" s="26">
        <f ca="1">IF($C12="","",'Profile &amp; Baseline'!AD12/INDEX('Global Constants'!W$38:W$40,$H12))</f>
        <v>0</v>
      </c>
      <c r="AE12" s="26">
        <f ca="1">IF($C12="","",'Profile &amp; Baseline'!AE12/INDEX('Global Constants'!X$38:X$40,$H12))</f>
        <v>0</v>
      </c>
      <c r="AF12" s="26">
        <f ca="1">IF($C12="","",'Profile &amp; Baseline'!AF12/INDEX('Global Constants'!Y$38:Y$40,$H12))</f>
        <v>0</v>
      </c>
      <c r="AG12" s="26">
        <f ca="1">IF($C12="","",'Profile &amp; Baseline'!AG12/INDEX('Global Constants'!Z$38:Z$40,$H12))</f>
        <v>2000</v>
      </c>
      <c r="AH12" s="26">
        <f ca="1">IF($C12="","",'Profile &amp; Baseline'!AH12/INDEX('Global Constants'!AA$38:AA$40,$H12))</f>
        <v>0</v>
      </c>
      <c r="AI12" s="26">
        <f ca="1">IF($C12="","",'Profile &amp; Baseline'!AI12/INDEX('Global Constants'!AB$38:AB$40,$H12))</f>
        <v>0</v>
      </c>
      <c r="AJ12" s="26">
        <f ca="1">IF($C12="","",'Profile &amp; Baseline'!AJ12/INDEX('Global Constants'!AC$38:AC$40,$H12))</f>
        <v>0</v>
      </c>
      <c r="AK12" s="26">
        <f ca="1">IF($C12="","",'Profile &amp; Baseline'!AK12/INDEX('Global Constants'!AD$38:AD$40,$H12))</f>
        <v>0</v>
      </c>
      <c r="AL12" s="26">
        <f ca="1">IF($C12="","",'Profile &amp; Baseline'!AL12/INDEX('Global Constants'!AE$38:AE$40,$H12))</f>
        <v>0</v>
      </c>
      <c r="AM12" s="26">
        <f ca="1">IF($C12="","",'Profile &amp; Baseline'!AM12/INDEX('Global Constants'!AF$38:AF$40,$H12))</f>
        <v>0</v>
      </c>
      <c r="AN12" s="26">
        <f ca="1">IF($C12="","",'Profile &amp; Baseline'!AN12/INDEX('Global Constants'!AG$38:AG$40,$H12))</f>
        <v>0</v>
      </c>
      <c r="AO12" s="26">
        <f ca="1">IF($C12="","",'Profile &amp; Baseline'!AO12/INDEX('Global Constants'!AH$38:AH$40,$H12))</f>
        <v>0</v>
      </c>
      <c r="AP12" s="26">
        <f ca="1">IF($C12="","",'Profile &amp; Baseline'!AP12/INDEX('Global Constants'!AI$38:AI$40,$H12))</f>
        <v>0</v>
      </c>
      <c r="AQ12" s="26">
        <f ca="1">IF($C12="","",'Profile &amp; Baseline'!AQ12/INDEX('Global Constants'!AJ$38:AJ$40,$H12))</f>
        <v>0</v>
      </c>
      <c r="AR12" s="26">
        <f ca="1">IF($C12="","",'Profile &amp; Baseline'!AR12/INDEX('Global Constants'!AK$38:AK$40,$H12))</f>
        <v>0</v>
      </c>
      <c r="AS12" s="26">
        <f ca="1">IF($C12="","",'Profile &amp; Baseline'!AS12/INDEX('Global Constants'!AL$38:AL$40,$H12))</f>
        <v>0</v>
      </c>
      <c r="AT12" s="26">
        <f ca="1">IF($C12="","",'Profile &amp; Baseline'!AT12/INDEX('Global Constants'!AM$38:AM$40,$H12))</f>
        <v>0</v>
      </c>
      <c r="AU12" s="26">
        <f ca="1">IF($C12="","",'Profile &amp; Baseline'!AU12/INDEX('Global Constants'!AN$38:AN$40,$H12))</f>
        <v>0</v>
      </c>
      <c r="AV12" s="26">
        <f ca="1">IF($C12="","",'Profile &amp; Baseline'!AV12/INDEX('Global Constants'!AO$38:AO$40,$H12))</f>
        <v>0</v>
      </c>
      <c r="AW12" s="26">
        <f ca="1">IF($C12="","",'Profile &amp; Baseline'!AW12/INDEX('Global Constants'!AP$38:AP$40,$H12))</f>
        <v>0</v>
      </c>
      <c r="AX12" s="26">
        <f ca="1">IF($C12="","",'Profile &amp; Baseline'!AX12/INDEX('Global Constants'!AQ$38:AQ$40,$H12))</f>
        <v>0</v>
      </c>
      <c r="AY12" s="26">
        <f ca="1">IF($C12="","",'Profile &amp; Baseline'!AY12/INDEX('Global Constants'!AR$38:AR$40,$H12))</f>
        <v>0</v>
      </c>
      <c r="AZ12" s="26">
        <f ca="1">IF($C12="","",'Profile &amp; Baseline'!AZ12/INDEX('Global Constants'!AS$38:AS$40,$H12))</f>
        <v>0</v>
      </c>
      <c r="BA12" s="26">
        <f ca="1">IF($C12="","",'Profile &amp; Baseline'!BA12/INDEX('Global Constants'!AT$38:AT$40,$H12))</f>
        <v>0</v>
      </c>
      <c r="BB12" s="26">
        <f ca="1">IF($C12="","",'Profile &amp; Baseline'!BB12/INDEX('Global Constants'!AU$38:AU$40,$H12))</f>
        <v>0</v>
      </c>
      <c r="BC12" s="26">
        <f ca="1">IF($C12="","",'Profile &amp; Baseline'!BC12/INDEX('Global Constants'!AV$38:AV$40,$H12))</f>
        <v>0</v>
      </c>
      <c r="BD12" s="26">
        <f ca="1">IF($C12="","",'Profile &amp; Baseline'!BD12/INDEX('Global Constants'!AW$38:AW$40,$H12))</f>
        <v>0</v>
      </c>
      <c r="BE12" s="26">
        <f ca="1">IF($C12="","",'Profile &amp; Baseline'!BE12/INDEX('Global Constants'!AX$38:AX$40,$H12))</f>
        <v>0</v>
      </c>
      <c r="BF12" s="26">
        <f ca="1">IF($C12="","",'Profile &amp; Baseline'!BF12/INDEX('Global Constants'!AY$38:AY$40,$H12))</f>
        <v>0</v>
      </c>
      <c r="BG12" s="26">
        <f ca="1">IF($C12="","",'Profile &amp; Baseline'!BG12/INDEX('Global Constants'!AZ$38:AZ$40,$H12))</f>
        <v>0</v>
      </c>
      <c r="BH12" s="26">
        <f ca="1">IF($C12="","",'Profile &amp; Baseline'!BH12/INDEX('Global Constants'!BA$38:BA$40,$H12))</f>
        <v>0</v>
      </c>
      <c r="BI12" s="26">
        <f ca="1">IF($C12="","",'Profile &amp; Baseline'!BI12/INDEX('Global Constants'!BB$38:BB$40,$H12))</f>
        <v>0</v>
      </c>
      <c r="BJ12" s="26">
        <f ca="1">IF($C12="","",'Profile &amp; Baseline'!BJ12/INDEX('Global Constants'!BC$38:BC$40,$H12))</f>
        <v>0</v>
      </c>
      <c r="BK12" s="26">
        <f ca="1">IF($C12="","",'Profile &amp; Baseline'!BK12/INDEX('Global Constants'!BD$38:BD$40,$H12))</f>
        <v>0</v>
      </c>
      <c r="BL12" s="26">
        <f ca="1">IF($C12="","",'Profile &amp; Baseline'!BL12/INDEX('Global Constants'!BE$38:BE$40,$H12))</f>
        <v>0</v>
      </c>
      <c r="BM12" s="26">
        <f ca="1">IF($C12="","",'Profile &amp; Baseline'!BM12/INDEX('Global Constants'!BF$38:BF$40,$H12))</f>
        <v>0</v>
      </c>
      <c r="BN12" s="26">
        <f ca="1">IF($C12="","",'Profile &amp; Baseline'!BN12/INDEX('Global Constants'!BG$38:BG$40,$H12))</f>
        <v>0</v>
      </c>
      <c r="BO12" s="26">
        <f ca="1">IF($C12="","",'Profile &amp; Baseline'!BO12/INDEX('Global Constants'!BH$38:BH$40,$H12))</f>
        <v>0</v>
      </c>
      <c r="BP12" s="26">
        <f ca="1">IF($C12="","",'Profile &amp; Baseline'!BP12/INDEX('Global Constants'!BI$38:BI$40,$H12))</f>
        <v>0</v>
      </c>
      <c r="BQ12" s="26">
        <f ca="1">IF($C12="","",'Profile &amp; Baseline'!BQ12/INDEX('Global Constants'!BJ$38:BJ$40,$H12))</f>
        <v>0</v>
      </c>
      <c r="BR12" s="26">
        <f ca="1">IF($C12="","",'Profile &amp; Baseline'!BR12/INDEX('Global Constants'!BK$38:BK$40,$H12))</f>
        <v>0</v>
      </c>
      <c r="BS12" s="26">
        <f ca="1">IF($C12="","",'Profile &amp; Baseline'!BS12/INDEX('Global Constants'!BL$38:BL$40,$H12))</f>
        <v>0</v>
      </c>
      <c r="BT12" s="26">
        <f ca="1">IF($C12="","",'Profile &amp; Baseline'!BT12/INDEX('Global Constants'!BM$38:BM$40,$H12))</f>
        <v>0</v>
      </c>
      <c r="BU12" s="26">
        <f ca="1">IF($C12="","",'Profile &amp; Baseline'!BU12/INDEX('Global Constants'!BN$38:BN$40,$H12))</f>
        <v>0</v>
      </c>
      <c r="BV12" s="26">
        <f ca="1">IF($C12="","",'Profile &amp; Baseline'!BV12/INDEX('Global Constants'!BO$38:BO$40,$H12))</f>
        <v>0</v>
      </c>
      <c r="BW12" s="26">
        <f ca="1">IF($C12="","",'Profile &amp; Baseline'!BW12/INDEX('Global Constants'!BP$38:BP$40,$H12))</f>
        <v>0</v>
      </c>
      <c r="BX12" s="26">
        <f ca="1">IF($C12="","",'Profile &amp; Baseline'!BX12/INDEX('Global Constants'!BQ$38:BQ$40,$H12))</f>
        <v>0</v>
      </c>
      <c r="BY12" s="26">
        <f ca="1">IF($C12="","",'Profile &amp; Baseline'!BY12/INDEX('Global Constants'!BR$38:BR$40,$H12))</f>
        <v>0</v>
      </c>
      <c r="BZ12" s="26">
        <f ca="1">IF($C12="","",'Profile &amp; Baseline'!BZ12/INDEX('Global Constants'!BS$38:BS$40,$H12))</f>
        <v>0</v>
      </c>
      <c r="CA12" s="26">
        <f ca="1">IF($C12="","",'Profile &amp; Baseline'!CA12/INDEX('Global Constants'!BT$38:BT$40,$H12))</f>
        <v>0</v>
      </c>
      <c r="CB12" s="26">
        <f ca="1">IF($C12="","",'Profile &amp; Baseline'!CB12/INDEX('Global Constants'!BU$38:BU$40,$H12))</f>
        <v>0</v>
      </c>
      <c r="CC12" s="26">
        <f ca="1">IF($C12="","",'Profile &amp; Baseline'!CC12/INDEX('Global Constants'!BV$38:BV$40,$H12))</f>
        <v>0</v>
      </c>
      <c r="CD12" s="26">
        <f ca="1">IF($C12="","",'Profile &amp; Baseline'!CD12/INDEX('Global Constants'!BW$38:BW$40,$H12))</f>
        <v>0</v>
      </c>
      <c r="CE12" s="26">
        <f ca="1">IF($C12="","",'Profile &amp; Baseline'!CE12/INDEX('Global Constants'!BX$38:BX$40,$H12))</f>
        <v>0</v>
      </c>
      <c r="CF12" s="26">
        <f ca="1">IF($C12="","",'Profile &amp; Baseline'!CF12/INDEX('Global Constants'!BY$38:BY$40,$H12))</f>
        <v>0</v>
      </c>
      <c r="CG12" s="26">
        <f ca="1">IF($C12="","",'Profile &amp; Baseline'!CG12/INDEX('Global Constants'!BZ$38:BZ$40,$H12))</f>
        <v>0</v>
      </c>
      <c r="CH12" s="26">
        <f ca="1">IF($C12="","",'Profile &amp; Baseline'!CH12/INDEX('Global Constants'!CA$38:CA$40,$H12))</f>
        <v>0</v>
      </c>
      <c r="CI12" s="26">
        <f ca="1">IF($C12="","",'Profile &amp; Baseline'!CI12/INDEX('Global Constants'!CB$38:CB$40,$H12))</f>
        <v>0</v>
      </c>
      <c r="CJ12" s="26">
        <f ca="1">IF($C12="","",'Profile &amp; Baseline'!CJ12/INDEX('Global Constants'!CC$38:CC$40,$H12))</f>
        <v>0</v>
      </c>
      <c r="CK12" s="26">
        <f ca="1">IF($C12="","",'Profile &amp; Baseline'!CK12/INDEX('Global Constants'!CD$38:CD$40,$H12))</f>
        <v>0</v>
      </c>
      <c r="CL12" s="26">
        <f ca="1">IF($C12="","",'Profile &amp; Baseline'!CL12/INDEX('Global Constants'!CE$38:CE$40,$H12))</f>
        <v>0</v>
      </c>
      <c r="CM12" s="26">
        <f ca="1">IF($C12="","",'Profile &amp; Baseline'!CM12/INDEX('Global Constants'!CF$38:CF$40,$H12))</f>
        <v>0</v>
      </c>
      <c r="CN12" s="26">
        <f ca="1">IF($C12="","",'Profile &amp; Baseline'!CN12/INDEX('Global Constants'!CG$38:CG$40,$H12))</f>
        <v>0</v>
      </c>
      <c r="CO12" s="26">
        <f ca="1">IF($C12="","",'Profile &amp; Baseline'!CO12/INDEX('Global Constants'!CH$38:CH$40,$H12))</f>
        <v>0</v>
      </c>
      <c r="CP12" s="26">
        <f ca="1">IF($C12="","",'Profile &amp; Baseline'!CP12/INDEX('Global Constants'!CI$38:CI$40,$H12))</f>
        <v>0</v>
      </c>
      <c r="CQ12" s="26">
        <f ca="1">IF($C12="","",'Profile &amp; Baseline'!CQ12/INDEX('Global Constants'!CJ$38:CJ$40,$H12))</f>
        <v>0</v>
      </c>
      <c r="CR12" s="26">
        <f ca="1">IF($C12="","",'Profile &amp; Baseline'!CR12/INDEX('Global Constants'!CK$38:CK$40,$H12))</f>
        <v>0</v>
      </c>
      <c r="CS12" s="26">
        <f ca="1">IF($C12="","",'Profile &amp; Baseline'!CS12/INDEX('Global Constants'!CL$38:CL$40,$H12))</f>
        <v>0</v>
      </c>
      <c r="CT12" s="26">
        <f ca="1">IF($C12="","",'Profile &amp; Baseline'!CT12/INDEX('Global Constants'!CM$38:CM$40,$H12))</f>
        <v>0</v>
      </c>
      <c r="CU12" s="26">
        <f ca="1">IF($C12="","",'Profile &amp; Baseline'!CU12/INDEX('Global Constants'!CN$38:CN$40,$H12))</f>
        <v>0</v>
      </c>
      <c r="CV12" s="26">
        <f ca="1">IF($C12="","",'Profile &amp; Baseline'!CV12/INDEX('Global Constants'!CO$38:CO$40,$H12))</f>
        <v>0</v>
      </c>
      <c r="CW12" s="26">
        <f ca="1">IF($C12="","",'Profile &amp; Baseline'!CW12/INDEX('Global Constants'!CP$38:CP$40,$H12))</f>
        <v>0</v>
      </c>
      <c r="CX12" s="26">
        <f ca="1">IF($C12="","",'Profile &amp; Baseline'!CX12/INDEX('Global Constants'!CQ$38:CQ$40,$H12))</f>
        <v>0</v>
      </c>
      <c r="CZ12" s="26">
        <f t="shared" ca="1" si="1"/>
        <v>0</v>
      </c>
      <c r="DA12" s="26">
        <f t="shared" ca="1" si="2"/>
        <v>2000</v>
      </c>
    </row>
    <row r="13" spans="1:105" x14ac:dyDescent="0.3">
      <c r="C13" s="4" t="str">
        <f>IF('Cost &amp; Risk Inputs'!C14="","",'Cost &amp; Risk Inputs'!C14)</f>
        <v>Test 5</v>
      </c>
      <c r="D13" s="4" t="str">
        <f>IF(C13="","",'Cost &amp; Risk Inputs'!H14)</f>
        <v>In-Service</v>
      </c>
      <c r="E13" s="4" t="str">
        <f>IF(C13="","",'Cost &amp; Risk Inputs'!I14)</f>
        <v>Concepts and Doctrine</v>
      </c>
      <c r="F13" s="4" t="str">
        <f>IF(C13="","",'Cost &amp; Risk Inputs'!G14)</f>
        <v>USD</v>
      </c>
      <c r="H13" s="18">
        <f t="shared" si="0"/>
        <v>3</v>
      </c>
      <c r="M13" s="26">
        <f ca="1">IF($C13="","",'Profile &amp; Baseline'!M13/INDEX('Global Constants'!F$38:F$40,$H13))</f>
        <v>0</v>
      </c>
      <c r="N13" s="26">
        <f ca="1">IF($C13="","",'Profile &amp; Baseline'!N13/INDEX('Global Constants'!G$38:G$40,$H13))</f>
        <v>0</v>
      </c>
      <c r="O13" s="26">
        <f ca="1">IF($C13="","",'Profile &amp; Baseline'!O13/INDEX('Global Constants'!H$38:H$40,$H13))</f>
        <v>0</v>
      </c>
      <c r="P13" s="26">
        <f ca="1">IF($C13="","",'Profile &amp; Baseline'!P13/INDEX('Global Constants'!I$38:I$40,$H13))</f>
        <v>0</v>
      </c>
      <c r="Q13" s="26">
        <f ca="1">IF($C13="","",'Profile &amp; Baseline'!Q13/INDEX('Global Constants'!J$38:J$40,$H13))</f>
        <v>0</v>
      </c>
      <c r="R13" s="26">
        <f ca="1">IF($C13="","",'Profile &amp; Baseline'!R13/INDEX('Global Constants'!K$38:K$40,$H13))</f>
        <v>0</v>
      </c>
      <c r="S13" s="26">
        <f ca="1">IF($C13="","",'Profile &amp; Baseline'!S13/INDEX('Global Constants'!L$38:L$40,$H13))</f>
        <v>0</v>
      </c>
      <c r="T13" s="26">
        <f ca="1">IF($C13="","",'Profile &amp; Baseline'!T13/INDEX('Global Constants'!M$38:M$40,$H13))</f>
        <v>0</v>
      </c>
      <c r="U13" s="26">
        <f ca="1">IF($C13="","",'Profile &amp; Baseline'!U13/INDEX('Global Constants'!N$38:N$40,$H13))</f>
        <v>0</v>
      </c>
      <c r="V13" s="26">
        <f ca="1">IF($C13="","",'Profile &amp; Baseline'!V13/INDEX('Global Constants'!O$38:O$40,$H13))</f>
        <v>0</v>
      </c>
      <c r="W13" s="26">
        <f ca="1">IF($C13="","",'Profile &amp; Baseline'!W13/INDEX('Global Constants'!P$38:P$40,$H13))</f>
        <v>0</v>
      </c>
      <c r="X13" s="26">
        <f ca="1">IF($C13="","",'Profile &amp; Baseline'!X13/INDEX('Global Constants'!Q$38:Q$40,$H13))</f>
        <v>0</v>
      </c>
      <c r="Y13" s="26">
        <f ca="1">IF($C13="","",'Profile &amp; Baseline'!Y13/INDEX('Global Constants'!R$38:R$40,$H13))</f>
        <v>0</v>
      </c>
      <c r="Z13" s="26">
        <f ca="1">IF($C13="","",'Profile &amp; Baseline'!Z13/INDEX('Global Constants'!S$38:S$40,$H13))</f>
        <v>0</v>
      </c>
      <c r="AA13" s="26">
        <f ca="1">IF($C13="","",'Profile &amp; Baseline'!AA13/INDEX('Global Constants'!T$38:T$40,$H13))</f>
        <v>0</v>
      </c>
      <c r="AB13" s="26">
        <f ca="1">IF($C13="","",'Profile &amp; Baseline'!AB13/INDEX('Global Constants'!U$38:U$40,$H13))</f>
        <v>0</v>
      </c>
      <c r="AC13" s="26">
        <f ca="1">IF($C13="","",'Profile &amp; Baseline'!AC13/INDEX('Global Constants'!V$38:V$40,$H13))</f>
        <v>0</v>
      </c>
      <c r="AD13" s="26">
        <f ca="1">IF($C13="","",'Profile &amp; Baseline'!AD13/INDEX('Global Constants'!W$38:W$40,$H13))</f>
        <v>0</v>
      </c>
      <c r="AE13" s="26">
        <f ca="1">IF($C13="","",'Profile &amp; Baseline'!AE13/INDEX('Global Constants'!X$38:X$40,$H13))</f>
        <v>0</v>
      </c>
      <c r="AF13" s="26">
        <f ca="1">IF($C13="","",'Profile &amp; Baseline'!AF13/INDEX('Global Constants'!Y$38:Y$40,$H13))</f>
        <v>0</v>
      </c>
      <c r="AG13" s="26">
        <f ca="1">IF($C13="","",'Profile &amp; Baseline'!AG13/INDEX('Global Constants'!Z$38:Z$40,$H13))</f>
        <v>0</v>
      </c>
      <c r="AH13" s="26">
        <f ca="1">IF($C13="","",'Profile &amp; Baseline'!AH13/INDEX('Global Constants'!AA$38:AA$40,$H13))</f>
        <v>1489.5801483092866</v>
      </c>
      <c r="AI13" s="26">
        <f ca="1">IF($C13="","",'Profile &amp; Baseline'!AI13/INDEX('Global Constants'!AB$38:AB$40,$H13))</f>
        <v>0</v>
      </c>
      <c r="AJ13" s="26">
        <f ca="1">IF($C13="","",'Profile &amp; Baseline'!AJ13/INDEX('Global Constants'!AC$38:AC$40,$H13))</f>
        <v>0</v>
      </c>
      <c r="AK13" s="26">
        <f ca="1">IF($C13="","",'Profile &amp; Baseline'!AK13/INDEX('Global Constants'!AD$38:AD$40,$H13))</f>
        <v>0</v>
      </c>
      <c r="AL13" s="26">
        <f ca="1">IF($C13="","",'Profile &amp; Baseline'!AL13/INDEX('Global Constants'!AE$38:AE$40,$H13))</f>
        <v>0</v>
      </c>
      <c r="AM13" s="26">
        <f ca="1">IF($C13="","",'Profile &amp; Baseline'!AM13/INDEX('Global Constants'!AF$38:AF$40,$H13))</f>
        <v>0</v>
      </c>
      <c r="AN13" s="26">
        <f ca="1">IF($C13="","",'Profile &amp; Baseline'!AN13/INDEX('Global Constants'!AG$38:AG$40,$H13))</f>
        <v>0</v>
      </c>
      <c r="AO13" s="26">
        <f ca="1">IF($C13="","",'Profile &amp; Baseline'!AO13/INDEX('Global Constants'!AH$38:AH$40,$H13))</f>
        <v>0</v>
      </c>
      <c r="AP13" s="26">
        <f ca="1">IF($C13="","",'Profile &amp; Baseline'!AP13/INDEX('Global Constants'!AI$38:AI$40,$H13))</f>
        <v>0</v>
      </c>
      <c r="AQ13" s="26">
        <f ca="1">IF($C13="","",'Profile &amp; Baseline'!AQ13/INDEX('Global Constants'!AJ$38:AJ$40,$H13))</f>
        <v>0</v>
      </c>
      <c r="AR13" s="26">
        <f ca="1">IF($C13="","",'Profile &amp; Baseline'!AR13/INDEX('Global Constants'!AK$38:AK$40,$H13))</f>
        <v>0</v>
      </c>
      <c r="AS13" s="26">
        <f ca="1">IF($C13="","",'Profile &amp; Baseline'!AS13/INDEX('Global Constants'!AL$38:AL$40,$H13))</f>
        <v>0</v>
      </c>
      <c r="AT13" s="26">
        <f ca="1">IF($C13="","",'Profile &amp; Baseline'!AT13/INDEX('Global Constants'!AM$38:AM$40,$H13))</f>
        <v>0</v>
      </c>
      <c r="AU13" s="26">
        <f ca="1">IF($C13="","",'Profile &amp; Baseline'!AU13/INDEX('Global Constants'!AN$38:AN$40,$H13))</f>
        <v>0</v>
      </c>
      <c r="AV13" s="26">
        <f ca="1">IF($C13="","",'Profile &amp; Baseline'!AV13/INDEX('Global Constants'!AO$38:AO$40,$H13))</f>
        <v>0</v>
      </c>
      <c r="AW13" s="26">
        <f ca="1">IF($C13="","",'Profile &amp; Baseline'!AW13/INDEX('Global Constants'!AP$38:AP$40,$H13))</f>
        <v>0</v>
      </c>
      <c r="AX13" s="26">
        <f ca="1">IF($C13="","",'Profile &amp; Baseline'!AX13/INDEX('Global Constants'!AQ$38:AQ$40,$H13))</f>
        <v>0</v>
      </c>
      <c r="AY13" s="26">
        <f ca="1">IF($C13="","",'Profile &amp; Baseline'!AY13/INDEX('Global Constants'!AR$38:AR$40,$H13))</f>
        <v>0</v>
      </c>
      <c r="AZ13" s="26">
        <f ca="1">IF($C13="","",'Profile &amp; Baseline'!AZ13/INDEX('Global Constants'!AS$38:AS$40,$H13))</f>
        <v>0</v>
      </c>
      <c r="BA13" s="26">
        <f ca="1">IF($C13="","",'Profile &amp; Baseline'!BA13/INDEX('Global Constants'!AT$38:AT$40,$H13))</f>
        <v>0</v>
      </c>
      <c r="BB13" s="26">
        <f ca="1">IF($C13="","",'Profile &amp; Baseline'!BB13/INDEX('Global Constants'!AU$38:AU$40,$H13))</f>
        <v>0</v>
      </c>
      <c r="BC13" s="26">
        <f ca="1">IF($C13="","",'Profile &amp; Baseline'!BC13/INDEX('Global Constants'!AV$38:AV$40,$H13))</f>
        <v>0</v>
      </c>
      <c r="BD13" s="26">
        <f ca="1">IF($C13="","",'Profile &amp; Baseline'!BD13/INDEX('Global Constants'!AW$38:AW$40,$H13))</f>
        <v>0</v>
      </c>
      <c r="BE13" s="26">
        <f ca="1">IF($C13="","",'Profile &amp; Baseline'!BE13/INDEX('Global Constants'!AX$38:AX$40,$H13))</f>
        <v>0</v>
      </c>
      <c r="BF13" s="26">
        <f ca="1">IF($C13="","",'Profile &amp; Baseline'!BF13/INDEX('Global Constants'!AY$38:AY$40,$H13))</f>
        <v>0</v>
      </c>
      <c r="BG13" s="26">
        <f ca="1">IF($C13="","",'Profile &amp; Baseline'!BG13/INDEX('Global Constants'!AZ$38:AZ$40,$H13))</f>
        <v>0</v>
      </c>
      <c r="BH13" s="26">
        <f ca="1">IF($C13="","",'Profile &amp; Baseline'!BH13/INDEX('Global Constants'!BA$38:BA$40,$H13))</f>
        <v>0</v>
      </c>
      <c r="BI13" s="26">
        <f ca="1">IF($C13="","",'Profile &amp; Baseline'!BI13/INDEX('Global Constants'!BB$38:BB$40,$H13))</f>
        <v>0</v>
      </c>
      <c r="BJ13" s="26">
        <f ca="1">IF($C13="","",'Profile &amp; Baseline'!BJ13/INDEX('Global Constants'!BC$38:BC$40,$H13))</f>
        <v>0</v>
      </c>
      <c r="BK13" s="26">
        <f ca="1">IF($C13="","",'Profile &amp; Baseline'!BK13/INDEX('Global Constants'!BD$38:BD$40,$H13))</f>
        <v>0</v>
      </c>
      <c r="BL13" s="26">
        <f ca="1">IF($C13="","",'Profile &amp; Baseline'!BL13/INDEX('Global Constants'!BE$38:BE$40,$H13))</f>
        <v>0</v>
      </c>
      <c r="BM13" s="26">
        <f ca="1">IF($C13="","",'Profile &amp; Baseline'!BM13/INDEX('Global Constants'!BF$38:BF$40,$H13))</f>
        <v>0</v>
      </c>
      <c r="BN13" s="26">
        <f ca="1">IF($C13="","",'Profile &amp; Baseline'!BN13/INDEX('Global Constants'!BG$38:BG$40,$H13))</f>
        <v>0</v>
      </c>
      <c r="BO13" s="26">
        <f ca="1">IF($C13="","",'Profile &amp; Baseline'!BO13/INDEX('Global Constants'!BH$38:BH$40,$H13))</f>
        <v>0</v>
      </c>
      <c r="BP13" s="26">
        <f ca="1">IF($C13="","",'Profile &amp; Baseline'!BP13/INDEX('Global Constants'!BI$38:BI$40,$H13))</f>
        <v>0</v>
      </c>
      <c r="BQ13" s="26">
        <f ca="1">IF($C13="","",'Profile &amp; Baseline'!BQ13/INDEX('Global Constants'!BJ$38:BJ$40,$H13))</f>
        <v>0</v>
      </c>
      <c r="BR13" s="26">
        <f ca="1">IF($C13="","",'Profile &amp; Baseline'!BR13/INDEX('Global Constants'!BK$38:BK$40,$H13))</f>
        <v>0</v>
      </c>
      <c r="BS13" s="26">
        <f ca="1">IF($C13="","",'Profile &amp; Baseline'!BS13/INDEX('Global Constants'!BL$38:BL$40,$H13))</f>
        <v>0</v>
      </c>
      <c r="BT13" s="26">
        <f ca="1">IF($C13="","",'Profile &amp; Baseline'!BT13/INDEX('Global Constants'!BM$38:BM$40,$H13))</f>
        <v>0</v>
      </c>
      <c r="BU13" s="26">
        <f ca="1">IF($C13="","",'Profile &amp; Baseline'!BU13/INDEX('Global Constants'!BN$38:BN$40,$H13))</f>
        <v>0</v>
      </c>
      <c r="BV13" s="26">
        <f ca="1">IF($C13="","",'Profile &amp; Baseline'!BV13/INDEX('Global Constants'!BO$38:BO$40,$H13))</f>
        <v>0</v>
      </c>
      <c r="BW13" s="26">
        <f ca="1">IF($C13="","",'Profile &amp; Baseline'!BW13/INDEX('Global Constants'!BP$38:BP$40,$H13))</f>
        <v>0</v>
      </c>
      <c r="BX13" s="26">
        <f ca="1">IF($C13="","",'Profile &amp; Baseline'!BX13/INDEX('Global Constants'!BQ$38:BQ$40,$H13))</f>
        <v>0</v>
      </c>
      <c r="BY13" s="26">
        <f ca="1">IF($C13="","",'Profile &amp; Baseline'!BY13/INDEX('Global Constants'!BR$38:BR$40,$H13))</f>
        <v>0</v>
      </c>
      <c r="BZ13" s="26">
        <f ca="1">IF($C13="","",'Profile &amp; Baseline'!BZ13/INDEX('Global Constants'!BS$38:BS$40,$H13))</f>
        <v>0</v>
      </c>
      <c r="CA13" s="26">
        <f ca="1">IF($C13="","",'Profile &amp; Baseline'!CA13/INDEX('Global Constants'!BT$38:BT$40,$H13))</f>
        <v>0</v>
      </c>
      <c r="CB13" s="26">
        <f ca="1">IF($C13="","",'Profile &amp; Baseline'!CB13/INDEX('Global Constants'!BU$38:BU$40,$H13))</f>
        <v>0</v>
      </c>
      <c r="CC13" s="26">
        <f ca="1">IF($C13="","",'Profile &amp; Baseline'!CC13/INDEX('Global Constants'!BV$38:BV$40,$H13))</f>
        <v>0</v>
      </c>
      <c r="CD13" s="26">
        <f ca="1">IF($C13="","",'Profile &amp; Baseline'!CD13/INDEX('Global Constants'!BW$38:BW$40,$H13))</f>
        <v>0</v>
      </c>
      <c r="CE13" s="26">
        <f ca="1">IF($C13="","",'Profile &amp; Baseline'!CE13/INDEX('Global Constants'!BX$38:BX$40,$H13))</f>
        <v>0</v>
      </c>
      <c r="CF13" s="26">
        <f ca="1">IF($C13="","",'Profile &amp; Baseline'!CF13/INDEX('Global Constants'!BY$38:BY$40,$H13))</f>
        <v>0</v>
      </c>
      <c r="CG13" s="26">
        <f ca="1">IF($C13="","",'Profile &amp; Baseline'!CG13/INDEX('Global Constants'!BZ$38:BZ$40,$H13))</f>
        <v>0</v>
      </c>
      <c r="CH13" s="26">
        <f ca="1">IF($C13="","",'Profile &amp; Baseline'!CH13/INDEX('Global Constants'!CA$38:CA$40,$H13))</f>
        <v>0</v>
      </c>
      <c r="CI13" s="26">
        <f ca="1">IF($C13="","",'Profile &amp; Baseline'!CI13/INDEX('Global Constants'!CB$38:CB$40,$H13))</f>
        <v>0</v>
      </c>
      <c r="CJ13" s="26">
        <f ca="1">IF($C13="","",'Profile &amp; Baseline'!CJ13/INDEX('Global Constants'!CC$38:CC$40,$H13))</f>
        <v>0</v>
      </c>
      <c r="CK13" s="26">
        <f ca="1">IF($C13="","",'Profile &amp; Baseline'!CK13/INDEX('Global Constants'!CD$38:CD$40,$H13))</f>
        <v>0</v>
      </c>
      <c r="CL13" s="26">
        <f ca="1">IF($C13="","",'Profile &amp; Baseline'!CL13/INDEX('Global Constants'!CE$38:CE$40,$H13))</f>
        <v>0</v>
      </c>
      <c r="CM13" s="26">
        <f ca="1">IF($C13="","",'Profile &amp; Baseline'!CM13/INDEX('Global Constants'!CF$38:CF$40,$H13))</f>
        <v>0</v>
      </c>
      <c r="CN13" s="26">
        <f ca="1">IF($C13="","",'Profile &amp; Baseline'!CN13/INDEX('Global Constants'!CG$38:CG$40,$H13))</f>
        <v>0</v>
      </c>
      <c r="CO13" s="26">
        <f ca="1">IF($C13="","",'Profile &amp; Baseline'!CO13/INDEX('Global Constants'!CH$38:CH$40,$H13))</f>
        <v>0</v>
      </c>
      <c r="CP13" s="26">
        <f ca="1">IF($C13="","",'Profile &amp; Baseline'!CP13/INDEX('Global Constants'!CI$38:CI$40,$H13))</f>
        <v>0</v>
      </c>
      <c r="CQ13" s="26">
        <f ca="1">IF($C13="","",'Profile &amp; Baseline'!CQ13/INDEX('Global Constants'!CJ$38:CJ$40,$H13))</f>
        <v>0</v>
      </c>
      <c r="CR13" s="26">
        <f ca="1">IF($C13="","",'Profile &amp; Baseline'!CR13/INDEX('Global Constants'!CK$38:CK$40,$H13))</f>
        <v>0</v>
      </c>
      <c r="CS13" s="26">
        <f ca="1">IF($C13="","",'Profile &amp; Baseline'!CS13/INDEX('Global Constants'!CL$38:CL$40,$H13))</f>
        <v>0</v>
      </c>
      <c r="CT13" s="26">
        <f ca="1">IF($C13="","",'Profile &amp; Baseline'!CT13/INDEX('Global Constants'!CM$38:CM$40,$H13))</f>
        <v>0</v>
      </c>
      <c r="CU13" s="26">
        <f ca="1">IF($C13="","",'Profile &amp; Baseline'!CU13/INDEX('Global Constants'!CN$38:CN$40,$H13))</f>
        <v>0</v>
      </c>
      <c r="CV13" s="26">
        <f ca="1">IF($C13="","",'Profile &amp; Baseline'!CV13/INDEX('Global Constants'!CO$38:CO$40,$H13))</f>
        <v>0</v>
      </c>
      <c r="CW13" s="26">
        <f ca="1">IF($C13="","",'Profile &amp; Baseline'!CW13/INDEX('Global Constants'!CP$38:CP$40,$H13))</f>
        <v>0</v>
      </c>
      <c r="CX13" s="26">
        <f ca="1">IF($C13="","",'Profile &amp; Baseline'!CX13/INDEX('Global Constants'!CQ$38:CQ$40,$H13))</f>
        <v>0</v>
      </c>
      <c r="CZ13" s="26">
        <f t="shared" ca="1" si="1"/>
        <v>0</v>
      </c>
      <c r="DA13" s="26">
        <f t="shared" ca="1" si="2"/>
        <v>1489.5801483092866</v>
      </c>
    </row>
    <row r="14" spans="1:105" x14ac:dyDescent="0.3">
      <c r="C14" s="4" t="str">
        <f>IF('Cost &amp; Risk Inputs'!C15="","",'Cost &amp; Risk Inputs'!C15)</f>
        <v>Test 5</v>
      </c>
      <c r="D14" s="4" t="str">
        <f>IF(C14="","",'Cost &amp; Risk Inputs'!H15)</f>
        <v>Assessment</v>
      </c>
      <c r="E14" s="4" t="str">
        <f>IF(C14="","",'Cost &amp; Risk Inputs'!I15)</f>
        <v>Organisation</v>
      </c>
      <c r="F14" s="4" t="str">
        <f>IF(C14="","",'Cost &amp; Risk Inputs'!G15)</f>
        <v>GBP</v>
      </c>
      <c r="H14" s="18">
        <f t="shared" si="0"/>
        <v>1</v>
      </c>
      <c r="M14" s="26">
        <f ca="1">IF($C14="","",'Profile &amp; Baseline'!M14/INDEX('Global Constants'!F$38:F$40,$H14))</f>
        <v>0</v>
      </c>
      <c r="N14" s="26">
        <f ca="1">IF($C14="","",'Profile &amp; Baseline'!N14/INDEX('Global Constants'!G$38:G$40,$H14))</f>
        <v>0</v>
      </c>
      <c r="O14" s="26">
        <f ca="1">IF($C14="","",'Profile &amp; Baseline'!O14/INDEX('Global Constants'!H$38:H$40,$H14))</f>
        <v>0</v>
      </c>
      <c r="P14" s="26">
        <f ca="1">IF($C14="","",'Profile &amp; Baseline'!P14/INDEX('Global Constants'!I$38:I$40,$H14))</f>
        <v>0</v>
      </c>
      <c r="Q14" s="26">
        <f ca="1">IF($C14="","",'Profile &amp; Baseline'!Q14/INDEX('Global Constants'!J$38:J$40,$H14))</f>
        <v>0</v>
      </c>
      <c r="R14" s="26">
        <f ca="1">IF($C14="","",'Profile &amp; Baseline'!R14/INDEX('Global Constants'!K$38:K$40,$H14))</f>
        <v>0</v>
      </c>
      <c r="S14" s="26">
        <f ca="1">IF($C14="","",'Profile &amp; Baseline'!S14/INDEX('Global Constants'!L$38:L$40,$H14))</f>
        <v>0</v>
      </c>
      <c r="T14" s="26">
        <f ca="1">IF($C14="","",'Profile &amp; Baseline'!T14/INDEX('Global Constants'!M$38:M$40,$H14))</f>
        <v>0</v>
      </c>
      <c r="U14" s="26">
        <f ca="1">IF($C14="","",'Profile &amp; Baseline'!U14/INDEX('Global Constants'!N$38:N$40,$H14))</f>
        <v>0</v>
      </c>
      <c r="V14" s="26">
        <f ca="1">IF($C14="","",'Profile &amp; Baseline'!V14/INDEX('Global Constants'!O$38:O$40,$H14))</f>
        <v>0</v>
      </c>
      <c r="W14" s="26">
        <f ca="1">IF($C14="","",'Profile &amp; Baseline'!W14/INDEX('Global Constants'!P$38:P$40,$H14))</f>
        <v>0</v>
      </c>
      <c r="X14" s="26">
        <f ca="1">IF($C14="","",'Profile &amp; Baseline'!X14/INDEX('Global Constants'!Q$38:Q$40,$H14))</f>
        <v>0</v>
      </c>
      <c r="Y14" s="26">
        <f ca="1">IF($C14="","",'Profile &amp; Baseline'!Y14/INDEX('Global Constants'!R$38:R$40,$H14))</f>
        <v>0</v>
      </c>
      <c r="Z14" s="26">
        <f ca="1">IF($C14="","",'Profile &amp; Baseline'!Z14/INDEX('Global Constants'!S$38:S$40,$H14))</f>
        <v>0</v>
      </c>
      <c r="AA14" s="26">
        <f ca="1">IF($C14="","",'Profile &amp; Baseline'!AA14/INDEX('Global Constants'!T$38:T$40,$H14))</f>
        <v>0</v>
      </c>
      <c r="AB14" s="26">
        <f ca="1">IF($C14="","",'Profile &amp; Baseline'!AB14/INDEX('Global Constants'!U$38:U$40,$H14))</f>
        <v>0</v>
      </c>
      <c r="AC14" s="26">
        <f ca="1">IF($C14="","",'Profile &amp; Baseline'!AC14/INDEX('Global Constants'!V$38:V$40,$H14))</f>
        <v>0</v>
      </c>
      <c r="AD14" s="26">
        <f ca="1">IF($C14="","",'Profile &amp; Baseline'!AD14/INDEX('Global Constants'!W$38:W$40,$H14))</f>
        <v>2230.0228408151615</v>
      </c>
      <c r="AE14" s="26">
        <f ca="1">IF($C14="","",'Profile &amp; Baseline'!AE14/INDEX('Global Constants'!X$38:X$40,$H14))</f>
        <v>2230.0228408151615</v>
      </c>
      <c r="AF14" s="26">
        <f ca="1">IF($C14="","",'Profile &amp; Baseline'!AF14/INDEX('Global Constants'!Y$38:Y$40,$H14))</f>
        <v>2230.0228408151615</v>
      </c>
      <c r="AG14" s="26">
        <f ca="1">IF($C14="","",'Profile &amp; Baseline'!AG14/INDEX('Global Constants'!Z$38:Z$40,$H14))</f>
        <v>2230.0228408151615</v>
      </c>
      <c r="AH14" s="26">
        <f ca="1">IF($C14="","",'Profile &amp; Baseline'!AH14/INDEX('Global Constants'!AA$38:AA$40,$H14))</f>
        <v>2230.0228408151615</v>
      </c>
      <c r="AI14" s="26">
        <f ca="1">IF($C14="","",'Profile &amp; Baseline'!AI14/INDEX('Global Constants'!AB$38:AB$40,$H14))</f>
        <v>0</v>
      </c>
      <c r="AJ14" s="26">
        <f ca="1">IF($C14="","",'Profile &amp; Baseline'!AJ14/INDEX('Global Constants'!AC$38:AC$40,$H14))</f>
        <v>0</v>
      </c>
      <c r="AK14" s="26">
        <f ca="1">IF($C14="","",'Profile &amp; Baseline'!AK14/INDEX('Global Constants'!AD$38:AD$40,$H14))</f>
        <v>0</v>
      </c>
      <c r="AL14" s="26">
        <f ca="1">IF($C14="","",'Profile &amp; Baseline'!AL14/INDEX('Global Constants'!AE$38:AE$40,$H14))</f>
        <v>0</v>
      </c>
      <c r="AM14" s="26">
        <f ca="1">IF($C14="","",'Profile &amp; Baseline'!AM14/INDEX('Global Constants'!AF$38:AF$40,$H14))</f>
        <v>0</v>
      </c>
      <c r="AN14" s="26">
        <f ca="1">IF($C14="","",'Profile &amp; Baseline'!AN14/INDEX('Global Constants'!AG$38:AG$40,$H14))</f>
        <v>0</v>
      </c>
      <c r="AO14" s="26">
        <f ca="1">IF($C14="","",'Profile &amp; Baseline'!AO14/INDEX('Global Constants'!AH$38:AH$40,$H14))</f>
        <v>0</v>
      </c>
      <c r="AP14" s="26">
        <f ca="1">IF($C14="","",'Profile &amp; Baseline'!AP14/INDEX('Global Constants'!AI$38:AI$40,$H14))</f>
        <v>0</v>
      </c>
      <c r="AQ14" s="26">
        <f ca="1">IF($C14="","",'Profile &amp; Baseline'!AQ14/INDEX('Global Constants'!AJ$38:AJ$40,$H14))</f>
        <v>0</v>
      </c>
      <c r="AR14" s="26">
        <f ca="1">IF($C14="","",'Profile &amp; Baseline'!AR14/INDEX('Global Constants'!AK$38:AK$40,$H14))</f>
        <v>0</v>
      </c>
      <c r="AS14" s="26">
        <f ca="1">IF($C14="","",'Profile &amp; Baseline'!AS14/INDEX('Global Constants'!AL$38:AL$40,$H14))</f>
        <v>0</v>
      </c>
      <c r="AT14" s="26">
        <f ca="1">IF($C14="","",'Profile &amp; Baseline'!AT14/INDEX('Global Constants'!AM$38:AM$40,$H14))</f>
        <v>0</v>
      </c>
      <c r="AU14" s="26">
        <f ca="1">IF($C14="","",'Profile &amp; Baseline'!AU14/INDEX('Global Constants'!AN$38:AN$40,$H14))</f>
        <v>0</v>
      </c>
      <c r="AV14" s="26">
        <f ca="1">IF($C14="","",'Profile &amp; Baseline'!AV14/INDEX('Global Constants'!AO$38:AO$40,$H14))</f>
        <v>0</v>
      </c>
      <c r="AW14" s="26">
        <f ca="1">IF($C14="","",'Profile &amp; Baseline'!AW14/INDEX('Global Constants'!AP$38:AP$40,$H14))</f>
        <v>0</v>
      </c>
      <c r="AX14" s="26">
        <f ca="1">IF($C14="","",'Profile &amp; Baseline'!AX14/INDEX('Global Constants'!AQ$38:AQ$40,$H14))</f>
        <v>0</v>
      </c>
      <c r="AY14" s="26">
        <f ca="1">IF($C14="","",'Profile &amp; Baseline'!AY14/INDEX('Global Constants'!AR$38:AR$40,$H14))</f>
        <v>0</v>
      </c>
      <c r="AZ14" s="26">
        <f ca="1">IF($C14="","",'Profile &amp; Baseline'!AZ14/INDEX('Global Constants'!AS$38:AS$40,$H14))</f>
        <v>0</v>
      </c>
      <c r="BA14" s="26">
        <f ca="1">IF($C14="","",'Profile &amp; Baseline'!BA14/INDEX('Global Constants'!AT$38:AT$40,$H14))</f>
        <v>0</v>
      </c>
      <c r="BB14" s="26">
        <f ca="1">IF($C14="","",'Profile &amp; Baseline'!BB14/INDEX('Global Constants'!AU$38:AU$40,$H14))</f>
        <v>0</v>
      </c>
      <c r="BC14" s="26">
        <f ca="1">IF($C14="","",'Profile &amp; Baseline'!BC14/INDEX('Global Constants'!AV$38:AV$40,$H14))</f>
        <v>0</v>
      </c>
      <c r="BD14" s="26">
        <f ca="1">IF($C14="","",'Profile &amp; Baseline'!BD14/INDEX('Global Constants'!AW$38:AW$40,$H14))</f>
        <v>0</v>
      </c>
      <c r="BE14" s="26">
        <f ca="1">IF($C14="","",'Profile &amp; Baseline'!BE14/INDEX('Global Constants'!AX$38:AX$40,$H14))</f>
        <v>0</v>
      </c>
      <c r="BF14" s="26">
        <f ca="1">IF($C14="","",'Profile &amp; Baseline'!BF14/INDEX('Global Constants'!AY$38:AY$40,$H14))</f>
        <v>0</v>
      </c>
      <c r="BG14" s="26">
        <f ca="1">IF($C14="","",'Profile &amp; Baseline'!BG14/INDEX('Global Constants'!AZ$38:AZ$40,$H14))</f>
        <v>0</v>
      </c>
      <c r="BH14" s="26">
        <f ca="1">IF($C14="","",'Profile &amp; Baseline'!BH14/INDEX('Global Constants'!BA$38:BA$40,$H14))</f>
        <v>0</v>
      </c>
      <c r="BI14" s="26">
        <f ca="1">IF($C14="","",'Profile &amp; Baseline'!BI14/INDEX('Global Constants'!BB$38:BB$40,$H14))</f>
        <v>0</v>
      </c>
      <c r="BJ14" s="26">
        <f ca="1">IF($C14="","",'Profile &amp; Baseline'!BJ14/INDEX('Global Constants'!BC$38:BC$40,$H14))</f>
        <v>0</v>
      </c>
      <c r="BK14" s="26">
        <f ca="1">IF($C14="","",'Profile &amp; Baseline'!BK14/INDEX('Global Constants'!BD$38:BD$40,$H14))</f>
        <v>0</v>
      </c>
      <c r="BL14" s="26">
        <f ca="1">IF($C14="","",'Profile &amp; Baseline'!BL14/INDEX('Global Constants'!BE$38:BE$40,$H14))</f>
        <v>0</v>
      </c>
      <c r="BM14" s="26">
        <f ca="1">IF($C14="","",'Profile &amp; Baseline'!BM14/INDEX('Global Constants'!BF$38:BF$40,$H14))</f>
        <v>0</v>
      </c>
      <c r="BN14" s="26">
        <f ca="1">IF($C14="","",'Profile &amp; Baseline'!BN14/INDEX('Global Constants'!BG$38:BG$40,$H14))</f>
        <v>0</v>
      </c>
      <c r="BO14" s="26">
        <f ca="1">IF($C14="","",'Profile &amp; Baseline'!BO14/INDEX('Global Constants'!BH$38:BH$40,$H14))</f>
        <v>0</v>
      </c>
      <c r="BP14" s="26">
        <f ca="1">IF($C14="","",'Profile &amp; Baseline'!BP14/INDEX('Global Constants'!BI$38:BI$40,$H14))</f>
        <v>0</v>
      </c>
      <c r="BQ14" s="26">
        <f ca="1">IF($C14="","",'Profile &amp; Baseline'!BQ14/INDEX('Global Constants'!BJ$38:BJ$40,$H14))</f>
        <v>0</v>
      </c>
      <c r="BR14" s="26">
        <f ca="1">IF($C14="","",'Profile &amp; Baseline'!BR14/INDEX('Global Constants'!BK$38:BK$40,$H14))</f>
        <v>0</v>
      </c>
      <c r="BS14" s="26">
        <f ca="1">IF($C14="","",'Profile &amp; Baseline'!BS14/INDEX('Global Constants'!BL$38:BL$40,$H14))</f>
        <v>0</v>
      </c>
      <c r="BT14" s="26">
        <f ca="1">IF($C14="","",'Profile &amp; Baseline'!BT14/INDEX('Global Constants'!BM$38:BM$40,$H14))</f>
        <v>0</v>
      </c>
      <c r="BU14" s="26">
        <f ca="1">IF($C14="","",'Profile &amp; Baseline'!BU14/INDEX('Global Constants'!BN$38:BN$40,$H14))</f>
        <v>0</v>
      </c>
      <c r="BV14" s="26">
        <f ca="1">IF($C14="","",'Profile &amp; Baseline'!BV14/INDEX('Global Constants'!BO$38:BO$40,$H14))</f>
        <v>0</v>
      </c>
      <c r="BW14" s="26">
        <f ca="1">IF($C14="","",'Profile &amp; Baseline'!BW14/INDEX('Global Constants'!BP$38:BP$40,$H14))</f>
        <v>0</v>
      </c>
      <c r="BX14" s="26">
        <f ca="1">IF($C14="","",'Profile &amp; Baseline'!BX14/INDEX('Global Constants'!BQ$38:BQ$40,$H14))</f>
        <v>0</v>
      </c>
      <c r="BY14" s="26">
        <f ca="1">IF($C14="","",'Profile &amp; Baseline'!BY14/INDEX('Global Constants'!BR$38:BR$40,$H14))</f>
        <v>0</v>
      </c>
      <c r="BZ14" s="26">
        <f ca="1">IF($C14="","",'Profile &amp; Baseline'!BZ14/INDEX('Global Constants'!BS$38:BS$40,$H14))</f>
        <v>0</v>
      </c>
      <c r="CA14" s="26">
        <f ca="1">IF($C14="","",'Profile &amp; Baseline'!CA14/INDEX('Global Constants'!BT$38:BT$40,$H14))</f>
        <v>0</v>
      </c>
      <c r="CB14" s="26">
        <f ca="1">IF($C14="","",'Profile &amp; Baseline'!CB14/INDEX('Global Constants'!BU$38:BU$40,$H14))</f>
        <v>0</v>
      </c>
      <c r="CC14" s="26">
        <f ca="1">IF($C14="","",'Profile &amp; Baseline'!CC14/INDEX('Global Constants'!BV$38:BV$40,$H14))</f>
        <v>0</v>
      </c>
      <c r="CD14" s="26">
        <f ca="1">IF($C14="","",'Profile &amp; Baseline'!CD14/INDEX('Global Constants'!BW$38:BW$40,$H14))</f>
        <v>0</v>
      </c>
      <c r="CE14" s="26">
        <f ca="1">IF($C14="","",'Profile &amp; Baseline'!CE14/INDEX('Global Constants'!BX$38:BX$40,$H14))</f>
        <v>0</v>
      </c>
      <c r="CF14" s="26">
        <f ca="1">IF($C14="","",'Profile &amp; Baseline'!CF14/INDEX('Global Constants'!BY$38:BY$40,$H14))</f>
        <v>0</v>
      </c>
      <c r="CG14" s="26">
        <f ca="1">IF($C14="","",'Profile &amp; Baseline'!CG14/INDEX('Global Constants'!BZ$38:BZ$40,$H14))</f>
        <v>0</v>
      </c>
      <c r="CH14" s="26">
        <f ca="1">IF($C14="","",'Profile &amp; Baseline'!CH14/INDEX('Global Constants'!CA$38:CA$40,$H14))</f>
        <v>0</v>
      </c>
      <c r="CI14" s="26">
        <f ca="1">IF($C14="","",'Profile &amp; Baseline'!CI14/INDEX('Global Constants'!CB$38:CB$40,$H14))</f>
        <v>0</v>
      </c>
      <c r="CJ14" s="26">
        <f ca="1">IF($C14="","",'Profile &amp; Baseline'!CJ14/INDEX('Global Constants'!CC$38:CC$40,$H14))</f>
        <v>0</v>
      </c>
      <c r="CK14" s="26">
        <f ca="1">IF($C14="","",'Profile &amp; Baseline'!CK14/INDEX('Global Constants'!CD$38:CD$40,$H14))</f>
        <v>0</v>
      </c>
      <c r="CL14" s="26">
        <f ca="1">IF($C14="","",'Profile &amp; Baseline'!CL14/INDEX('Global Constants'!CE$38:CE$40,$H14))</f>
        <v>0</v>
      </c>
      <c r="CM14" s="26">
        <f ca="1">IF($C14="","",'Profile &amp; Baseline'!CM14/INDEX('Global Constants'!CF$38:CF$40,$H14))</f>
        <v>0</v>
      </c>
      <c r="CN14" s="26">
        <f ca="1">IF($C14="","",'Profile &amp; Baseline'!CN14/INDEX('Global Constants'!CG$38:CG$40,$H14))</f>
        <v>0</v>
      </c>
      <c r="CO14" s="26">
        <f ca="1">IF($C14="","",'Profile &amp; Baseline'!CO14/INDEX('Global Constants'!CH$38:CH$40,$H14))</f>
        <v>0</v>
      </c>
      <c r="CP14" s="26">
        <f ca="1">IF($C14="","",'Profile &amp; Baseline'!CP14/INDEX('Global Constants'!CI$38:CI$40,$H14))</f>
        <v>0</v>
      </c>
      <c r="CQ14" s="26">
        <f ca="1">IF($C14="","",'Profile &amp; Baseline'!CQ14/INDEX('Global Constants'!CJ$38:CJ$40,$H14))</f>
        <v>0</v>
      </c>
      <c r="CR14" s="26">
        <f ca="1">IF($C14="","",'Profile &amp; Baseline'!CR14/INDEX('Global Constants'!CK$38:CK$40,$H14))</f>
        <v>0</v>
      </c>
      <c r="CS14" s="26">
        <f ca="1">IF($C14="","",'Profile &amp; Baseline'!CS14/INDEX('Global Constants'!CL$38:CL$40,$H14))</f>
        <v>0</v>
      </c>
      <c r="CT14" s="26">
        <f ca="1">IF($C14="","",'Profile &amp; Baseline'!CT14/INDEX('Global Constants'!CM$38:CM$40,$H14))</f>
        <v>0</v>
      </c>
      <c r="CU14" s="26">
        <f ca="1">IF($C14="","",'Profile &amp; Baseline'!CU14/INDEX('Global Constants'!CN$38:CN$40,$H14))</f>
        <v>0</v>
      </c>
      <c r="CV14" s="26">
        <f ca="1">IF($C14="","",'Profile &amp; Baseline'!CV14/INDEX('Global Constants'!CO$38:CO$40,$H14))</f>
        <v>0</v>
      </c>
      <c r="CW14" s="26">
        <f ca="1">IF($C14="","",'Profile &amp; Baseline'!CW14/INDEX('Global Constants'!CP$38:CP$40,$H14))</f>
        <v>0</v>
      </c>
      <c r="CX14" s="26">
        <f ca="1">IF($C14="","",'Profile &amp; Baseline'!CX14/INDEX('Global Constants'!CQ$38:CQ$40,$H14))</f>
        <v>0</v>
      </c>
      <c r="CZ14" s="26">
        <f t="shared" ca="1" si="1"/>
        <v>0</v>
      </c>
      <c r="DA14" s="26">
        <f t="shared" ca="1" si="2"/>
        <v>11150.114204075808</v>
      </c>
    </row>
    <row r="15" spans="1:105" x14ac:dyDescent="0.3">
      <c r="C15" s="4" t="str">
        <f>IF('Cost &amp; Risk Inputs'!C16="","",'Cost &amp; Risk Inputs'!C16)</f>
        <v>Test 6</v>
      </c>
      <c r="D15" s="4" t="str">
        <f>IF(C15="","",'Cost &amp; Risk Inputs'!H16)</f>
        <v>Concept</v>
      </c>
      <c r="E15" s="4" t="str">
        <f>IF(C15="","",'Cost &amp; Risk Inputs'!I16)</f>
        <v>Infrastructure</v>
      </c>
      <c r="F15" s="4" t="str">
        <f>IF(C15="","",'Cost &amp; Risk Inputs'!G16)</f>
        <v>GBP</v>
      </c>
      <c r="H15" s="18">
        <f t="shared" si="0"/>
        <v>1</v>
      </c>
      <c r="M15" s="26">
        <f ca="1">IF($C15="","",'Profile &amp; Baseline'!M15/INDEX('Global Constants'!F$38:F$40,$H15))</f>
        <v>0</v>
      </c>
      <c r="N15" s="26">
        <f ca="1">IF($C15="","",'Profile &amp; Baseline'!N15/INDEX('Global Constants'!G$38:G$40,$H15))</f>
        <v>0</v>
      </c>
      <c r="O15" s="26">
        <f ca="1">IF($C15="","",'Profile &amp; Baseline'!O15/INDEX('Global Constants'!H$38:H$40,$H15))</f>
        <v>0</v>
      </c>
      <c r="P15" s="26">
        <f ca="1">IF($C15="","",'Profile &amp; Baseline'!P15/INDEX('Global Constants'!I$38:I$40,$H15))</f>
        <v>0</v>
      </c>
      <c r="Q15" s="26">
        <f ca="1">IF($C15="","",'Profile &amp; Baseline'!Q15/INDEX('Global Constants'!J$38:J$40,$H15))</f>
        <v>0</v>
      </c>
      <c r="R15" s="26">
        <f ca="1">IF($C15="","",'Profile &amp; Baseline'!R15/INDEX('Global Constants'!K$38:K$40,$H15))</f>
        <v>0</v>
      </c>
      <c r="S15" s="26">
        <f ca="1">IF($C15="","",'Profile &amp; Baseline'!S15/INDEX('Global Constants'!L$38:L$40,$H15))</f>
        <v>0</v>
      </c>
      <c r="T15" s="26">
        <f ca="1">IF($C15="","",'Profile &amp; Baseline'!T15/INDEX('Global Constants'!M$38:M$40,$H15))</f>
        <v>0</v>
      </c>
      <c r="U15" s="26">
        <f ca="1">IF($C15="","",'Profile &amp; Baseline'!U15/INDEX('Global Constants'!N$38:N$40,$H15))</f>
        <v>0</v>
      </c>
      <c r="V15" s="26">
        <f ca="1">IF($C15="","",'Profile &amp; Baseline'!V15/INDEX('Global Constants'!O$38:O$40,$H15))</f>
        <v>0</v>
      </c>
      <c r="W15" s="26">
        <f ca="1">IF($C15="","",'Profile &amp; Baseline'!W15/INDEX('Global Constants'!P$38:P$40,$H15))</f>
        <v>0</v>
      </c>
      <c r="X15" s="26">
        <f ca="1">IF($C15="","",'Profile &amp; Baseline'!X15/INDEX('Global Constants'!Q$38:Q$40,$H15))</f>
        <v>0</v>
      </c>
      <c r="Y15" s="26">
        <f ca="1">IF($C15="","",'Profile &amp; Baseline'!Y15/INDEX('Global Constants'!R$38:R$40,$H15))</f>
        <v>0</v>
      </c>
      <c r="Z15" s="26">
        <f ca="1">IF($C15="","",'Profile &amp; Baseline'!Z15/INDEX('Global Constants'!S$38:S$40,$H15))</f>
        <v>0</v>
      </c>
      <c r="AA15" s="26">
        <f ca="1">IF($C15="","",'Profile &amp; Baseline'!AA15/INDEX('Global Constants'!T$38:T$40,$H15))</f>
        <v>0</v>
      </c>
      <c r="AB15" s="26">
        <f ca="1">IF($C15="","",'Profile &amp; Baseline'!AB15/INDEX('Global Constants'!U$38:U$40,$H15))</f>
        <v>0</v>
      </c>
      <c r="AC15" s="26">
        <f ca="1">IF($C15="","",'Profile &amp; Baseline'!AC15/INDEX('Global Constants'!V$38:V$40,$H15))</f>
        <v>0</v>
      </c>
      <c r="AD15" s="26">
        <f ca="1">IF($C15="","",'Profile &amp; Baseline'!AD15/INDEX('Global Constants'!W$38:W$40,$H15))</f>
        <v>2009.2501722406996</v>
      </c>
      <c r="AE15" s="26">
        <f ca="1">IF($C15="","",'Profile &amp; Baseline'!AE15/INDEX('Global Constants'!X$38:X$40,$H15))</f>
        <v>2009.2501722406996</v>
      </c>
      <c r="AF15" s="26">
        <f ca="1">IF($C15="","",'Profile &amp; Baseline'!AF15/INDEX('Global Constants'!Y$38:Y$40,$H15))</f>
        <v>2009.2501722406996</v>
      </c>
      <c r="AG15" s="26">
        <f ca="1">IF($C15="","",'Profile &amp; Baseline'!AG15/INDEX('Global Constants'!Z$38:Z$40,$H15))</f>
        <v>2009.2501722406996</v>
      </c>
      <c r="AH15" s="26">
        <f ca="1">IF($C15="","",'Profile &amp; Baseline'!AH15/INDEX('Global Constants'!AA$38:AA$40,$H15))</f>
        <v>2009.2501722406996</v>
      </c>
      <c r="AI15" s="26">
        <f ca="1">IF($C15="","",'Profile &amp; Baseline'!AI15/INDEX('Global Constants'!AB$38:AB$40,$H15))</f>
        <v>0</v>
      </c>
      <c r="AJ15" s="26">
        <f ca="1">IF($C15="","",'Profile &amp; Baseline'!AJ15/INDEX('Global Constants'!AC$38:AC$40,$H15))</f>
        <v>0</v>
      </c>
      <c r="AK15" s="26">
        <f ca="1">IF($C15="","",'Profile &amp; Baseline'!AK15/INDEX('Global Constants'!AD$38:AD$40,$H15))</f>
        <v>0</v>
      </c>
      <c r="AL15" s="26">
        <f ca="1">IF($C15="","",'Profile &amp; Baseline'!AL15/INDEX('Global Constants'!AE$38:AE$40,$H15))</f>
        <v>0</v>
      </c>
      <c r="AM15" s="26">
        <f ca="1">IF($C15="","",'Profile &amp; Baseline'!AM15/INDEX('Global Constants'!AF$38:AF$40,$H15))</f>
        <v>0</v>
      </c>
      <c r="AN15" s="26">
        <f ca="1">IF($C15="","",'Profile &amp; Baseline'!AN15/INDEX('Global Constants'!AG$38:AG$40,$H15))</f>
        <v>0</v>
      </c>
      <c r="AO15" s="26">
        <f ca="1">IF($C15="","",'Profile &amp; Baseline'!AO15/INDEX('Global Constants'!AH$38:AH$40,$H15))</f>
        <v>0</v>
      </c>
      <c r="AP15" s="26">
        <f ca="1">IF($C15="","",'Profile &amp; Baseline'!AP15/INDEX('Global Constants'!AI$38:AI$40,$H15))</f>
        <v>0</v>
      </c>
      <c r="AQ15" s="26">
        <f ca="1">IF($C15="","",'Profile &amp; Baseline'!AQ15/INDEX('Global Constants'!AJ$38:AJ$40,$H15))</f>
        <v>0</v>
      </c>
      <c r="AR15" s="26">
        <f ca="1">IF($C15="","",'Profile &amp; Baseline'!AR15/INDEX('Global Constants'!AK$38:AK$40,$H15))</f>
        <v>0</v>
      </c>
      <c r="AS15" s="26">
        <f ca="1">IF($C15="","",'Profile &amp; Baseline'!AS15/INDEX('Global Constants'!AL$38:AL$40,$H15))</f>
        <v>0</v>
      </c>
      <c r="AT15" s="26">
        <f ca="1">IF($C15="","",'Profile &amp; Baseline'!AT15/INDEX('Global Constants'!AM$38:AM$40,$H15))</f>
        <v>0</v>
      </c>
      <c r="AU15" s="26">
        <f ca="1">IF($C15="","",'Profile &amp; Baseline'!AU15/INDEX('Global Constants'!AN$38:AN$40,$H15))</f>
        <v>0</v>
      </c>
      <c r="AV15" s="26">
        <f ca="1">IF($C15="","",'Profile &amp; Baseline'!AV15/INDEX('Global Constants'!AO$38:AO$40,$H15))</f>
        <v>0</v>
      </c>
      <c r="AW15" s="26">
        <f ca="1">IF($C15="","",'Profile &amp; Baseline'!AW15/INDEX('Global Constants'!AP$38:AP$40,$H15))</f>
        <v>0</v>
      </c>
      <c r="AX15" s="26">
        <f ca="1">IF($C15="","",'Profile &amp; Baseline'!AX15/INDEX('Global Constants'!AQ$38:AQ$40,$H15))</f>
        <v>0</v>
      </c>
      <c r="AY15" s="26">
        <f ca="1">IF($C15="","",'Profile &amp; Baseline'!AY15/INDEX('Global Constants'!AR$38:AR$40,$H15))</f>
        <v>0</v>
      </c>
      <c r="AZ15" s="26">
        <f ca="1">IF($C15="","",'Profile &amp; Baseline'!AZ15/INDEX('Global Constants'!AS$38:AS$40,$H15))</f>
        <v>0</v>
      </c>
      <c r="BA15" s="26">
        <f ca="1">IF($C15="","",'Profile &amp; Baseline'!BA15/INDEX('Global Constants'!AT$38:AT$40,$H15))</f>
        <v>0</v>
      </c>
      <c r="BB15" s="26">
        <f ca="1">IF($C15="","",'Profile &amp; Baseline'!BB15/INDEX('Global Constants'!AU$38:AU$40,$H15))</f>
        <v>0</v>
      </c>
      <c r="BC15" s="26">
        <f ca="1">IF($C15="","",'Profile &amp; Baseline'!BC15/INDEX('Global Constants'!AV$38:AV$40,$H15))</f>
        <v>0</v>
      </c>
      <c r="BD15" s="26">
        <f ca="1">IF($C15="","",'Profile &amp; Baseline'!BD15/INDEX('Global Constants'!AW$38:AW$40,$H15))</f>
        <v>0</v>
      </c>
      <c r="BE15" s="26">
        <f ca="1">IF($C15="","",'Profile &amp; Baseline'!BE15/INDEX('Global Constants'!AX$38:AX$40,$H15))</f>
        <v>0</v>
      </c>
      <c r="BF15" s="26">
        <f ca="1">IF($C15="","",'Profile &amp; Baseline'!BF15/INDEX('Global Constants'!AY$38:AY$40,$H15))</f>
        <v>0</v>
      </c>
      <c r="BG15" s="26">
        <f ca="1">IF($C15="","",'Profile &amp; Baseline'!BG15/INDEX('Global Constants'!AZ$38:AZ$40,$H15))</f>
        <v>0</v>
      </c>
      <c r="BH15" s="26">
        <f ca="1">IF($C15="","",'Profile &amp; Baseline'!BH15/INDEX('Global Constants'!BA$38:BA$40,$H15))</f>
        <v>0</v>
      </c>
      <c r="BI15" s="26">
        <f ca="1">IF($C15="","",'Profile &amp; Baseline'!BI15/INDEX('Global Constants'!BB$38:BB$40,$H15))</f>
        <v>0</v>
      </c>
      <c r="BJ15" s="26">
        <f ca="1">IF($C15="","",'Profile &amp; Baseline'!BJ15/INDEX('Global Constants'!BC$38:BC$40,$H15))</f>
        <v>0</v>
      </c>
      <c r="BK15" s="26">
        <f ca="1">IF($C15="","",'Profile &amp; Baseline'!BK15/INDEX('Global Constants'!BD$38:BD$40,$H15))</f>
        <v>0</v>
      </c>
      <c r="BL15" s="26">
        <f ca="1">IF($C15="","",'Profile &amp; Baseline'!BL15/INDEX('Global Constants'!BE$38:BE$40,$H15))</f>
        <v>0</v>
      </c>
      <c r="BM15" s="26">
        <f ca="1">IF($C15="","",'Profile &amp; Baseline'!BM15/INDEX('Global Constants'!BF$38:BF$40,$H15))</f>
        <v>0</v>
      </c>
      <c r="BN15" s="26">
        <f ca="1">IF($C15="","",'Profile &amp; Baseline'!BN15/INDEX('Global Constants'!BG$38:BG$40,$H15))</f>
        <v>0</v>
      </c>
      <c r="BO15" s="26">
        <f ca="1">IF($C15="","",'Profile &amp; Baseline'!BO15/INDEX('Global Constants'!BH$38:BH$40,$H15))</f>
        <v>0</v>
      </c>
      <c r="BP15" s="26">
        <f ca="1">IF($C15="","",'Profile &amp; Baseline'!BP15/INDEX('Global Constants'!BI$38:BI$40,$H15))</f>
        <v>0</v>
      </c>
      <c r="BQ15" s="26">
        <f ca="1">IF($C15="","",'Profile &amp; Baseline'!BQ15/INDEX('Global Constants'!BJ$38:BJ$40,$H15))</f>
        <v>0</v>
      </c>
      <c r="BR15" s="26">
        <f ca="1">IF($C15="","",'Profile &amp; Baseline'!BR15/INDEX('Global Constants'!BK$38:BK$40,$H15))</f>
        <v>0</v>
      </c>
      <c r="BS15" s="26">
        <f ca="1">IF($C15="","",'Profile &amp; Baseline'!BS15/INDEX('Global Constants'!BL$38:BL$40,$H15))</f>
        <v>0</v>
      </c>
      <c r="BT15" s="26">
        <f ca="1">IF($C15="","",'Profile &amp; Baseline'!BT15/INDEX('Global Constants'!BM$38:BM$40,$H15))</f>
        <v>0</v>
      </c>
      <c r="BU15" s="26">
        <f ca="1">IF($C15="","",'Profile &amp; Baseline'!BU15/INDEX('Global Constants'!BN$38:BN$40,$H15))</f>
        <v>0</v>
      </c>
      <c r="BV15" s="26">
        <f ca="1">IF($C15="","",'Profile &amp; Baseline'!BV15/INDEX('Global Constants'!BO$38:BO$40,$H15))</f>
        <v>0</v>
      </c>
      <c r="BW15" s="26">
        <f ca="1">IF($C15="","",'Profile &amp; Baseline'!BW15/INDEX('Global Constants'!BP$38:BP$40,$H15))</f>
        <v>0</v>
      </c>
      <c r="BX15" s="26">
        <f ca="1">IF($C15="","",'Profile &amp; Baseline'!BX15/INDEX('Global Constants'!BQ$38:BQ$40,$H15))</f>
        <v>0</v>
      </c>
      <c r="BY15" s="26">
        <f ca="1">IF($C15="","",'Profile &amp; Baseline'!BY15/INDEX('Global Constants'!BR$38:BR$40,$H15))</f>
        <v>0</v>
      </c>
      <c r="BZ15" s="26">
        <f ca="1">IF($C15="","",'Profile &amp; Baseline'!BZ15/INDEX('Global Constants'!BS$38:BS$40,$H15))</f>
        <v>0</v>
      </c>
      <c r="CA15" s="26">
        <f ca="1">IF($C15="","",'Profile &amp; Baseline'!CA15/INDEX('Global Constants'!BT$38:BT$40,$H15))</f>
        <v>0</v>
      </c>
      <c r="CB15" s="26">
        <f ca="1">IF($C15="","",'Profile &amp; Baseline'!CB15/INDEX('Global Constants'!BU$38:BU$40,$H15))</f>
        <v>0</v>
      </c>
      <c r="CC15" s="26">
        <f ca="1">IF($C15="","",'Profile &amp; Baseline'!CC15/INDEX('Global Constants'!BV$38:BV$40,$H15))</f>
        <v>0</v>
      </c>
      <c r="CD15" s="26">
        <f ca="1">IF($C15="","",'Profile &amp; Baseline'!CD15/INDEX('Global Constants'!BW$38:BW$40,$H15))</f>
        <v>0</v>
      </c>
      <c r="CE15" s="26">
        <f ca="1">IF($C15="","",'Profile &amp; Baseline'!CE15/INDEX('Global Constants'!BX$38:BX$40,$H15))</f>
        <v>0</v>
      </c>
      <c r="CF15" s="26">
        <f ca="1">IF($C15="","",'Profile &amp; Baseline'!CF15/INDEX('Global Constants'!BY$38:BY$40,$H15))</f>
        <v>0</v>
      </c>
      <c r="CG15" s="26">
        <f ca="1">IF($C15="","",'Profile &amp; Baseline'!CG15/INDEX('Global Constants'!BZ$38:BZ$40,$H15))</f>
        <v>0</v>
      </c>
      <c r="CH15" s="26">
        <f ca="1">IF($C15="","",'Profile &amp; Baseline'!CH15/INDEX('Global Constants'!CA$38:CA$40,$H15))</f>
        <v>0</v>
      </c>
      <c r="CI15" s="26">
        <f ca="1">IF($C15="","",'Profile &amp; Baseline'!CI15/INDEX('Global Constants'!CB$38:CB$40,$H15))</f>
        <v>0</v>
      </c>
      <c r="CJ15" s="26">
        <f ca="1">IF($C15="","",'Profile &amp; Baseline'!CJ15/INDEX('Global Constants'!CC$38:CC$40,$H15))</f>
        <v>0</v>
      </c>
      <c r="CK15" s="26">
        <f ca="1">IF($C15="","",'Profile &amp; Baseline'!CK15/INDEX('Global Constants'!CD$38:CD$40,$H15))</f>
        <v>0</v>
      </c>
      <c r="CL15" s="26">
        <f ca="1">IF($C15="","",'Profile &amp; Baseline'!CL15/INDEX('Global Constants'!CE$38:CE$40,$H15))</f>
        <v>0</v>
      </c>
      <c r="CM15" s="26">
        <f ca="1">IF($C15="","",'Profile &amp; Baseline'!CM15/INDEX('Global Constants'!CF$38:CF$40,$H15))</f>
        <v>0</v>
      </c>
      <c r="CN15" s="26">
        <f ca="1">IF($C15="","",'Profile &amp; Baseline'!CN15/INDEX('Global Constants'!CG$38:CG$40,$H15))</f>
        <v>0</v>
      </c>
      <c r="CO15" s="26">
        <f ca="1">IF($C15="","",'Profile &amp; Baseline'!CO15/INDEX('Global Constants'!CH$38:CH$40,$H15))</f>
        <v>0</v>
      </c>
      <c r="CP15" s="26">
        <f ca="1">IF($C15="","",'Profile &amp; Baseline'!CP15/INDEX('Global Constants'!CI$38:CI$40,$H15))</f>
        <v>0</v>
      </c>
      <c r="CQ15" s="26">
        <f ca="1">IF($C15="","",'Profile &amp; Baseline'!CQ15/INDEX('Global Constants'!CJ$38:CJ$40,$H15))</f>
        <v>0</v>
      </c>
      <c r="CR15" s="26">
        <f ca="1">IF($C15="","",'Profile &amp; Baseline'!CR15/INDEX('Global Constants'!CK$38:CK$40,$H15))</f>
        <v>0</v>
      </c>
      <c r="CS15" s="26">
        <f ca="1">IF($C15="","",'Profile &amp; Baseline'!CS15/INDEX('Global Constants'!CL$38:CL$40,$H15))</f>
        <v>0</v>
      </c>
      <c r="CT15" s="26">
        <f ca="1">IF($C15="","",'Profile &amp; Baseline'!CT15/INDEX('Global Constants'!CM$38:CM$40,$H15))</f>
        <v>0</v>
      </c>
      <c r="CU15" s="26">
        <f ca="1">IF($C15="","",'Profile &amp; Baseline'!CU15/INDEX('Global Constants'!CN$38:CN$40,$H15))</f>
        <v>0</v>
      </c>
      <c r="CV15" s="26">
        <f ca="1">IF($C15="","",'Profile &amp; Baseline'!CV15/INDEX('Global Constants'!CO$38:CO$40,$H15))</f>
        <v>0</v>
      </c>
      <c r="CW15" s="26">
        <f ca="1">IF($C15="","",'Profile &amp; Baseline'!CW15/INDEX('Global Constants'!CP$38:CP$40,$H15))</f>
        <v>0</v>
      </c>
      <c r="CX15" s="26">
        <f ca="1">IF($C15="","",'Profile &amp; Baseline'!CX15/INDEX('Global Constants'!CQ$38:CQ$40,$H15))</f>
        <v>0</v>
      </c>
      <c r="CZ15" s="26">
        <f t="shared" ca="1" si="1"/>
        <v>0</v>
      </c>
      <c r="DA15" s="26">
        <f t="shared" ca="1" si="2"/>
        <v>10046.250861203498</v>
      </c>
    </row>
    <row r="16" spans="1:105" x14ac:dyDescent="0.3">
      <c r="C16" s="4" t="str">
        <f>IF('Cost &amp; Risk Inputs'!C17="","",'Cost &amp; Risk Inputs'!C17)</f>
        <v>Test 7</v>
      </c>
      <c r="D16" s="4" t="str">
        <f>IF(C16="","",'Cost &amp; Risk Inputs'!H17)</f>
        <v>Assessment</v>
      </c>
      <c r="E16" s="4" t="str">
        <f>IF(C16="","",'Cost &amp; Risk Inputs'!I17)</f>
        <v>Logistics</v>
      </c>
      <c r="F16" s="4" t="str">
        <f>IF(C16="","",'Cost &amp; Risk Inputs'!G17)</f>
        <v>GBP</v>
      </c>
      <c r="H16" s="18">
        <f t="shared" si="0"/>
        <v>1</v>
      </c>
      <c r="M16" s="26">
        <f ca="1">IF($C16="","",'Profile &amp; Baseline'!M16/INDEX('Global Constants'!F$38:F$40,$H16))</f>
        <v>0</v>
      </c>
      <c r="N16" s="26">
        <f ca="1">IF($C16="","",'Profile &amp; Baseline'!N16/INDEX('Global Constants'!G$38:G$40,$H16))</f>
        <v>0</v>
      </c>
      <c r="O16" s="26">
        <f ca="1">IF($C16="","",'Profile &amp; Baseline'!O16/INDEX('Global Constants'!H$38:H$40,$H16))</f>
        <v>0</v>
      </c>
      <c r="P16" s="26">
        <f ca="1">IF($C16="","",'Profile &amp; Baseline'!P16/INDEX('Global Constants'!I$38:I$40,$H16))</f>
        <v>0</v>
      </c>
      <c r="Q16" s="26">
        <f ca="1">IF($C16="","",'Profile &amp; Baseline'!Q16/INDEX('Global Constants'!J$38:J$40,$H16))</f>
        <v>0</v>
      </c>
      <c r="R16" s="26">
        <f ca="1">IF($C16="","",'Profile &amp; Baseline'!R16/INDEX('Global Constants'!K$38:K$40,$H16))</f>
        <v>0</v>
      </c>
      <c r="S16" s="26">
        <f ca="1">IF($C16="","",'Profile &amp; Baseline'!S16/INDEX('Global Constants'!L$38:L$40,$H16))</f>
        <v>0</v>
      </c>
      <c r="T16" s="26">
        <f ca="1">IF($C16="","",'Profile &amp; Baseline'!T16/INDEX('Global Constants'!M$38:M$40,$H16))</f>
        <v>0</v>
      </c>
      <c r="U16" s="26">
        <f ca="1">IF($C16="","",'Profile &amp; Baseline'!U16/INDEX('Global Constants'!N$38:N$40,$H16))</f>
        <v>0</v>
      </c>
      <c r="V16" s="26">
        <f ca="1">IF($C16="","",'Profile &amp; Baseline'!V16/INDEX('Global Constants'!O$38:O$40,$H16))</f>
        <v>0</v>
      </c>
      <c r="W16" s="26">
        <f ca="1">IF($C16="","",'Profile &amp; Baseline'!W16/INDEX('Global Constants'!P$38:P$40,$H16))</f>
        <v>0</v>
      </c>
      <c r="X16" s="26">
        <f ca="1">IF($C16="","",'Profile &amp; Baseline'!X16/INDEX('Global Constants'!Q$38:Q$40,$H16))</f>
        <v>0</v>
      </c>
      <c r="Y16" s="26">
        <f ca="1">IF($C16="","",'Profile &amp; Baseline'!Y16/INDEX('Global Constants'!R$38:R$40,$H16))</f>
        <v>0</v>
      </c>
      <c r="Z16" s="26">
        <f ca="1">IF($C16="","",'Profile &amp; Baseline'!Z16/INDEX('Global Constants'!S$38:S$40,$H16))</f>
        <v>0</v>
      </c>
      <c r="AA16" s="26">
        <f ca="1">IF($C16="","",'Profile &amp; Baseline'!AA16/INDEX('Global Constants'!T$38:T$40,$H16))</f>
        <v>0</v>
      </c>
      <c r="AB16" s="26">
        <f ca="1">IF($C16="","",'Profile &amp; Baseline'!AB16/INDEX('Global Constants'!U$38:U$40,$H16))</f>
        <v>0</v>
      </c>
      <c r="AC16" s="26">
        <f ca="1">IF($C16="","",'Profile &amp; Baseline'!AC16/INDEX('Global Constants'!V$38:V$40,$H16))</f>
        <v>0</v>
      </c>
      <c r="AD16" s="26">
        <f ca="1">IF($C16="","",'Profile &amp; Baseline'!AD16/INDEX('Global Constants'!W$38:W$40,$H16))</f>
        <v>7829.8256118501567</v>
      </c>
      <c r="AE16" s="26">
        <f ca="1">IF($C16="","",'Profile &amp; Baseline'!AE16/INDEX('Global Constants'!X$38:X$40,$H16))</f>
        <v>7829.8256118501567</v>
      </c>
      <c r="AF16" s="26">
        <f ca="1">IF($C16="","",'Profile &amp; Baseline'!AF16/INDEX('Global Constants'!Y$38:Y$40,$H16))</f>
        <v>7829.8256118501567</v>
      </c>
      <c r="AG16" s="26">
        <f ca="1">IF($C16="","",'Profile &amp; Baseline'!AG16/INDEX('Global Constants'!Z$38:Z$40,$H16))</f>
        <v>7829.8256118501567</v>
      </c>
      <c r="AH16" s="26">
        <f ca="1">IF($C16="","",'Profile &amp; Baseline'!AH16/INDEX('Global Constants'!AA$38:AA$40,$H16))</f>
        <v>7829.8256118501567</v>
      </c>
      <c r="AI16" s="26">
        <f ca="1">IF($C16="","",'Profile &amp; Baseline'!AI16/INDEX('Global Constants'!AB$38:AB$40,$H16))</f>
        <v>0</v>
      </c>
      <c r="AJ16" s="26">
        <f ca="1">IF($C16="","",'Profile &amp; Baseline'!AJ16/INDEX('Global Constants'!AC$38:AC$40,$H16))</f>
        <v>0</v>
      </c>
      <c r="AK16" s="26">
        <f ca="1">IF($C16="","",'Profile &amp; Baseline'!AK16/INDEX('Global Constants'!AD$38:AD$40,$H16))</f>
        <v>0</v>
      </c>
      <c r="AL16" s="26">
        <f ca="1">IF($C16="","",'Profile &amp; Baseline'!AL16/INDEX('Global Constants'!AE$38:AE$40,$H16))</f>
        <v>0</v>
      </c>
      <c r="AM16" s="26">
        <f ca="1">IF($C16="","",'Profile &amp; Baseline'!AM16/INDEX('Global Constants'!AF$38:AF$40,$H16))</f>
        <v>0</v>
      </c>
      <c r="AN16" s="26">
        <f ca="1">IF($C16="","",'Profile &amp; Baseline'!AN16/INDEX('Global Constants'!AG$38:AG$40,$H16))</f>
        <v>0</v>
      </c>
      <c r="AO16" s="26">
        <f ca="1">IF($C16="","",'Profile &amp; Baseline'!AO16/INDEX('Global Constants'!AH$38:AH$40,$H16))</f>
        <v>0</v>
      </c>
      <c r="AP16" s="26">
        <f ca="1">IF($C16="","",'Profile &amp; Baseline'!AP16/INDEX('Global Constants'!AI$38:AI$40,$H16))</f>
        <v>0</v>
      </c>
      <c r="AQ16" s="26">
        <f ca="1">IF($C16="","",'Profile &amp; Baseline'!AQ16/INDEX('Global Constants'!AJ$38:AJ$40,$H16))</f>
        <v>0</v>
      </c>
      <c r="AR16" s="26">
        <f ca="1">IF($C16="","",'Profile &amp; Baseline'!AR16/INDEX('Global Constants'!AK$38:AK$40,$H16))</f>
        <v>0</v>
      </c>
      <c r="AS16" s="26">
        <f ca="1">IF($C16="","",'Profile &amp; Baseline'!AS16/INDEX('Global Constants'!AL$38:AL$40,$H16))</f>
        <v>0</v>
      </c>
      <c r="AT16" s="26">
        <f ca="1">IF($C16="","",'Profile &amp; Baseline'!AT16/INDEX('Global Constants'!AM$38:AM$40,$H16))</f>
        <v>0</v>
      </c>
      <c r="AU16" s="26">
        <f ca="1">IF($C16="","",'Profile &amp; Baseline'!AU16/INDEX('Global Constants'!AN$38:AN$40,$H16))</f>
        <v>0</v>
      </c>
      <c r="AV16" s="26">
        <f ca="1">IF($C16="","",'Profile &amp; Baseline'!AV16/INDEX('Global Constants'!AO$38:AO$40,$H16))</f>
        <v>0</v>
      </c>
      <c r="AW16" s="26">
        <f ca="1">IF($C16="","",'Profile &amp; Baseline'!AW16/INDEX('Global Constants'!AP$38:AP$40,$H16))</f>
        <v>0</v>
      </c>
      <c r="AX16" s="26">
        <f ca="1">IF($C16="","",'Profile &amp; Baseline'!AX16/INDEX('Global Constants'!AQ$38:AQ$40,$H16))</f>
        <v>0</v>
      </c>
      <c r="AY16" s="26">
        <f ca="1">IF($C16="","",'Profile &amp; Baseline'!AY16/INDEX('Global Constants'!AR$38:AR$40,$H16))</f>
        <v>0</v>
      </c>
      <c r="AZ16" s="26">
        <f ca="1">IF($C16="","",'Profile &amp; Baseline'!AZ16/INDEX('Global Constants'!AS$38:AS$40,$H16))</f>
        <v>0</v>
      </c>
      <c r="BA16" s="26">
        <f ca="1">IF($C16="","",'Profile &amp; Baseline'!BA16/INDEX('Global Constants'!AT$38:AT$40,$H16))</f>
        <v>0</v>
      </c>
      <c r="BB16" s="26">
        <f ca="1">IF($C16="","",'Profile &amp; Baseline'!BB16/INDEX('Global Constants'!AU$38:AU$40,$H16))</f>
        <v>0</v>
      </c>
      <c r="BC16" s="26">
        <f ca="1">IF($C16="","",'Profile &amp; Baseline'!BC16/INDEX('Global Constants'!AV$38:AV$40,$H16))</f>
        <v>0</v>
      </c>
      <c r="BD16" s="26">
        <f ca="1">IF($C16="","",'Profile &amp; Baseline'!BD16/INDEX('Global Constants'!AW$38:AW$40,$H16))</f>
        <v>0</v>
      </c>
      <c r="BE16" s="26">
        <f ca="1">IF($C16="","",'Profile &amp; Baseline'!BE16/INDEX('Global Constants'!AX$38:AX$40,$H16))</f>
        <v>0</v>
      </c>
      <c r="BF16" s="26">
        <f ca="1">IF($C16="","",'Profile &amp; Baseline'!BF16/INDEX('Global Constants'!AY$38:AY$40,$H16))</f>
        <v>0</v>
      </c>
      <c r="BG16" s="26">
        <f ca="1">IF($C16="","",'Profile &amp; Baseline'!BG16/INDEX('Global Constants'!AZ$38:AZ$40,$H16))</f>
        <v>0</v>
      </c>
      <c r="BH16" s="26">
        <f ca="1">IF($C16="","",'Profile &amp; Baseline'!BH16/INDEX('Global Constants'!BA$38:BA$40,$H16))</f>
        <v>0</v>
      </c>
      <c r="BI16" s="26">
        <f ca="1">IF($C16="","",'Profile &amp; Baseline'!BI16/INDEX('Global Constants'!BB$38:BB$40,$H16))</f>
        <v>0</v>
      </c>
      <c r="BJ16" s="26">
        <f ca="1">IF($C16="","",'Profile &amp; Baseline'!BJ16/INDEX('Global Constants'!BC$38:BC$40,$H16))</f>
        <v>0</v>
      </c>
      <c r="BK16" s="26">
        <f ca="1">IF($C16="","",'Profile &amp; Baseline'!BK16/INDEX('Global Constants'!BD$38:BD$40,$H16))</f>
        <v>0</v>
      </c>
      <c r="BL16" s="26">
        <f ca="1">IF($C16="","",'Profile &amp; Baseline'!BL16/INDEX('Global Constants'!BE$38:BE$40,$H16))</f>
        <v>0</v>
      </c>
      <c r="BM16" s="26">
        <f ca="1">IF($C16="","",'Profile &amp; Baseline'!BM16/INDEX('Global Constants'!BF$38:BF$40,$H16))</f>
        <v>0</v>
      </c>
      <c r="BN16" s="26">
        <f ca="1">IF($C16="","",'Profile &amp; Baseline'!BN16/INDEX('Global Constants'!BG$38:BG$40,$H16))</f>
        <v>0</v>
      </c>
      <c r="BO16" s="26">
        <f ca="1">IF($C16="","",'Profile &amp; Baseline'!BO16/INDEX('Global Constants'!BH$38:BH$40,$H16))</f>
        <v>0</v>
      </c>
      <c r="BP16" s="26">
        <f ca="1">IF($C16="","",'Profile &amp; Baseline'!BP16/INDEX('Global Constants'!BI$38:BI$40,$H16))</f>
        <v>0</v>
      </c>
      <c r="BQ16" s="26">
        <f ca="1">IF($C16="","",'Profile &amp; Baseline'!BQ16/INDEX('Global Constants'!BJ$38:BJ$40,$H16))</f>
        <v>0</v>
      </c>
      <c r="BR16" s="26">
        <f ca="1">IF($C16="","",'Profile &amp; Baseline'!BR16/INDEX('Global Constants'!BK$38:BK$40,$H16))</f>
        <v>0</v>
      </c>
      <c r="BS16" s="26">
        <f ca="1">IF($C16="","",'Profile &amp; Baseline'!BS16/INDEX('Global Constants'!BL$38:BL$40,$H16))</f>
        <v>0</v>
      </c>
      <c r="BT16" s="26">
        <f ca="1">IF($C16="","",'Profile &amp; Baseline'!BT16/INDEX('Global Constants'!BM$38:BM$40,$H16))</f>
        <v>0</v>
      </c>
      <c r="BU16" s="26">
        <f ca="1">IF($C16="","",'Profile &amp; Baseline'!BU16/INDEX('Global Constants'!BN$38:BN$40,$H16))</f>
        <v>0</v>
      </c>
      <c r="BV16" s="26">
        <f ca="1">IF($C16="","",'Profile &amp; Baseline'!BV16/INDEX('Global Constants'!BO$38:BO$40,$H16))</f>
        <v>0</v>
      </c>
      <c r="BW16" s="26">
        <f ca="1">IF($C16="","",'Profile &amp; Baseline'!BW16/INDEX('Global Constants'!BP$38:BP$40,$H16))</f>
        <v>0</v>
      </c>
      <c r="BX16" s="26">
        <f ca="1">IF($C16="","",'Profile &amp; Baseline'!BX16/INDEX('Global Constants'!BQ$38:BQ$40,$H16))</f>
        <v>0</v>
      </c>
      <c r="BY16" s="26">
        <f ca="1">IF($C16="","",'Profile &amp; Baseline'!BY16/INDEX('Global Constants'!BR$38:BR$40,$H16))</f>
        <v>0</v>
      </c>
      <c r="BZ16" s="26">
        <f ca="1">IF($C16="","",'Profile &amp; Baseline'!BZ16/INDEX('Global Constants'!BS$38:BS$40,$H16))</f>
        <v>0</v>
      </c>
      <c r="CA16" s="26">
        <f ca="1">IF($C16="","",'Profile &amp; Baseline'!CA16/INDEX('Global Constants'!BT$38:BT$40,$H16))</f>
        <v>0</v>
      </c>
      <c r="CB16" s="26">
        <f ca="1">IF($C16="","",'Profile &amp; Baseline'!CB16/INDEX('Global Constants'!BU$38:BU$40,$H16))</f>
        <v>0</v>
      </c>
      <c r="CC16" s="26">
        <f ca="1">IF($C16="","",'Profile &amp; Baseline'!CC16/INDEX('Global Constants'!BV$38:BV$40,$H16))</f>
        <v>0</v>
      </c>
      <c r="CD16" s="26">
        <f ca="1">IF($C16="","",'Profile &amp; Baseline'!CD16/INDEX('Global Constants'!BW$38:BW$40,$H16))</f>
        <v>0</v>
      </c>
      <c r="CE16" s="26">
        <f ca="1">IF($C16="","",'Profile &amp; Baseline'!CE16/INDEX('Global Constants'!BX$38:BX$40,$H16))</f>
        <v>0</v>
      </c>
      <c r="CF16" s="26">
        <f ca="1">IF($C16="","",'Profile &amp; Baseline'!CF16/INDEX('Global Constants'!BY$38:BY$40,$H16))</f>
        <v>0</v>
      </c>
      <c r="CG16" s="26">
        <f ca="1">IF($C16="","",'Profile &amp; Baseline'!CG16/INDEX('Global Constants'!BZ$38:BZ$40,$H16))</f>
        <v>0</v>
      </c>
      <c r="CH16" s="26">
        <f ca="1">IF($C16="","",'Profile &amp; Baseline'!CH16/INDEX('Global Constants'!CA$38:CA$40,$H16))</f>
        <v>0</v>
      </c>
      <c r="CI16" s="26">
        <f ca="1">IF($C16="","",'Profile &amp; Baseline'!CI16/INDEX('Global Constants'!CB$38:CB$40,$H16))</f>
        <v>0</v>
      </c>
      <c r="CJ16" s="26">
        <f ca="1">IF($C16="","",'Profile &amp; Baseline'!CJ16/INDEX('Global Constants'!CC$38:CC$40,$H16))</f>
        <v>0</v>
      </c>
      <c r="CK16" s="26">
        <f ca="1">IF($C16="","",'Profile &amp; Baseline'!CK16/INDEX('Global Constants'!CD$38:CD$40,$H16))</f>
        <v>0</v>
      </c>
      <c r="CL16" s="26">
        <f ca="1">IF($C16="","",'Profile &amp; Baseline'!CL16/INDEX('Global Constants'!CE$38:CE$40,$H16))</f>
        <v>0</v>
      </c>
      <c r="CM16" s="26">
        <f ca="1">IF($C16="","",'Profile &amp; Baseline'!CM16/INDEX('Global Constants'!CF$38:CF$40,$H16))</f>
        <v>0</v>
      </c>
      <c r="CN16" s="26">
        <f ca="1">IF($C16="","",'Profile &amp; Baseline'!CN16/INDEX('Global Constants'!CG$38:CG$40,$H16))</f>
        <v>0</v>
      </c>
      <c r="CO16" s="26">
        <f ca="1">IF($C16="","",'Profile &amp; Baseline'!CO16/INDEX('Global Constants'!CH$38:CH$40,$H16))</f>
        <v>0</v>
      </c>
      <c r="CP16" s="26">
        <f ca="1">IF($C16="","",'Profile &amp; Baseline'!CP16/INDEX('Global Constants'!CI$38:CI$40,$H16))</f>
        <v>0</v>
      </c>
      <c r="CQ16" s="26">
        <f ca="1">IF($C16="","",'Profile &amp; Baseline'!CQ16/INDEX('Global Constants'!CJ$38:CJ$40,$H16))</f>
        <v>0</v>
      </c>
      <c r="CR16" s="26">
        <f ca="1">IF($C16="","",'Profile &amp; Baseline'!CR16/INDEX('Global Constants'!CK$38:CK$40,$H16))</f>
        <v>0</v>
      </c>
      <c r="CS16" s="26">
        <f ca="1">IF($C16="","",'Profile &amp; Baseline'!CS16/INDEX('Global Constants'!CL$38:CL$40,$H16))</f>
        <v>0</v>
      </c>
      <c r="CT16" s="26">
        <f ca="1">IF($C16="","",'Profile &amp; Baseline'!CT16/INDEX('Global Constants'!CM$38:CM$40,$H16))</f>
        <v>0</v>
      </c>
      <c r="CU16" s="26">
        <f ca="1">IF($C16="","",'Profile &amp; Baseline'!CU16/INDEX('Global Constants'!CN$38:CN$40,$H16))</f>
        <v>0</v>
      </c>
      <c r="CV16" s="26">
        <f ca="1">IF($C16="","",'Profile &amp; Baseline'!CV16/INDEX('Global Constants'!CO$38:CO$40,$H16))</f>
        <v>0</v>
      </c>
      <c r="CW16" s="26">
        <f ca="1">IF($C16="","",'Profile &amp; Baseline'!CW16/INDEX('Global Constants'!CP$38:CP$40,$H16))</f>
        <v>0</v>
      </c>
      <c r="CX16" s="26">
        <f ca="1">IF($C16="","",'Profile &amp; Baseline'!CX16/INDEX('Global Constants'!CQ$38:CQ$40,$H16))</f>
        <v>0</v>
      </c>
      <c r="CZ16" s="26">
        <f t="shared" ca="1" si="1"/>
        <v>0</v>
      </c>
      <c r="DA16" s="26">
        <f t="shared" ca="1" si="2"/>
        <v>39149.128059250783</v>
      </c>
    </row>
    <row r="17" spans="3:105" x14ac:dyDescent="0.3">
      <c r="C17" s="4" t="str">
        <f>IF('Cost &amp; Risk Inputs'!C18="","",'Cost &amp; Risk Inputs'!C18)</f>
        <v>Test 8</v>
      </c>
      <c r="D17" s="4" t="str">
        <f>IF(C17="","",'Cost &amp; Risk Inputs'!H18)</f>
        <v>Design</v>
      </c>
      <c r="E17" s="4" t="str">
        <f>IF(C17="","",'Cost &amp; Risk Inputs'!I18)</f>
        <v>Training</v>
      </c>
      <c r="F17" s="4" t="str">
        <f>IF(C17="","",'Cost &amp; Risk Inputs'!G18)</f>
        <v>GBP</v>
      </c>
      <c r="H17" s="18">
        <f t="shared" si="0"/>
        <v>1</v>
      </c>
      <c r="M17" s="26">
        <f ca="1">IF($C17="","",'Profile &amp; Baseline'!M17/INDEX('Global Constants'!F$38:F$40,$H17))</f>
        <v>0</v>
      </c>
      <c r="N17" s="26">
        <f ca="1">IF($C17="","",'Profile &amp; Baseline'!N17/INDEX('Global Constants'!G$38:G$40,$H17))</f>
        <v>0</v>
      </c>
      <c r="O17" s="26">
        <f ca="1">IF($C17="","",'Profile &amp; Baseline'!O17/INDEX('Global Constants'!H$38:H$40,$H17))</f>
        <v>0</v>
      </c>
      <c r="P17" s="26">
        <f ca="1">IF($C17="","",'Profile &amp; Baseline'!P17/INDEX('Global Constants'!I$38:I$40,$H17))</f>
        <v>0</v>
      </c>
      <c r="Q17" s="26">
        <f ca="1">IF($C17="","",'Profile &amp; Baseline'!Q17/INDEX('Global Constants'!J$38:J$40,$H17))</f>
        <v>0</v>
      </c>
      <c r="R17" s="26">
        <f ca="1">IF($C17="","",'Profile &amp; Baseline'!R17/INDEX('Global Constants'!K$38:K$40,$H17))</f>
        <v>0</v>
      </c>
      <c r="S17" s="26">
        <f ca="1">IF($C17="","",'Profile &amp; Baseline'!S17/INDEX('Global Constants'!L$38:L$40,$H17))</f>
        <v>0</v>
      </c>
      <c r="T17" s="26">
        <f ca="1">IF($C17="","",'Profile &amp; Baseline'!T17/INDEX('Global Constants'!M$38:M$40,$H17))</f>
        <v>0</v>
      </c>
      <c r="U17" s="26">
        <f ca="1">IF($C17="","",'Profile &amp; Baseline'!U17/INDEX('Global Constants'!N$38:N$40,$H17))</f>
        <v>0</v>
      </c>
      <c r="V17" s="26">
        <f ca="1">IF($C17="","",'Profile &amp; Baseline'!V17/INDEX('Global Constants'!O$38:O$40,$H17))</f>
        <v>0</v>
      </c>
      <c r="W17" s="26">
        <f ca="1">IF($C17="","",'Profile &amp; Baseline'!W17/INDEX('Global Constants'!P$38:P$40,$H17))</f>
        <v>0</v>
      </c>
      <c r="X17" s="26">
        <f ca="1">IF($C17="","",'Profile &amp; Baseline'!X17/INDEX('Global Constants'!Q$38:Q$40,$H17))</f>
        <v>0</v>
      </c>
      <c r="Y17" s="26">
        <f ca="1">IF($C17="","",'Profile &amp; Baseline'!Y17/INDEX('Global Constants'!R$38:R$40,$H17))</f>
        <v>0</v>
      </c>
      <c r="Z17" s="26">
        <f ca="1">IF($C17="","",'Profile &amp; Baseline'!Z17/INDEX('Global Constants'!S$38:S$40,$H17))</f>
        <v>0</v>
      </c>
      <c r="AA17" s="26">
        <f ca="1">IF($C17="","",'Profile &amp; Baseline'!AA17/INDEX('Global Constants'!T$38:T$40,$H17))</f>
        <v>0</v>
      </c>
      <c r="AB17" s="26">
        <f ca="1">IF($C17="","",'Profile &amp; Baseline'!AB17/INDEX('Global Constants'!U$38:U$40,$H17))</f>
        <v>0</v>
      </c>
      <c r="AC17" s="26">
        <f ca="1">IF($C17="","",'Profile &amp; Baseline'!AC17/INDEX('Global Constants'!V$38:V$40,$H17))</f>
        <v>0</v>
      </c>
      <c r="AD17" s="26">
        <f ca="1">IF($C17="","",'Profile &amp; Baseline'!AD17/INDEX('Global Constants'!W$38:W$40,$H17))</f>
        <v>12152.729503752933</v>
      </c>
      <c r="AE17" s="26">
        <f ca="1">IF($C17="","",'Profile &amp; Baseline'!AE17/INDEX('Global Constants'!X$38:X$40,$H17))</f>
        <v>12152.729503752933</v>
      </c>
      <c r="AF17" s="26">
        <f ca="1">IF($C17="","",'Profile &amp; Baseline'!AF17/INDEX('Global Constants'!Y$38:Y$40,$H17))</f>
        <v>12152.729503752933</v>
      </c>
      <c r="AG17" s="26">
        <f ca="1">IF($C17="","",'Profile &amp; Baseline'!AG17/INDEX('Global Constants'!Z$38:Z$40,$H17))</f>
        <v>12152.729503752933</v>
      </c>
      <c r="AH17" s="26">
        <f ca="1">IF($C17="","",'Profile &amp; Baseline'!AH17/INDEX('Global Constants'!AA$38:AA$40,$H17))</f>
        <v>12152.729503752933</v>
      </c>
      <c r="AI17" s="26">
        <f ca="1">IF($C17="","",'Profile &amp; Baseline'!AI17/INDEX('Global Constants'!AB$38:AB$40,$H17))</f>
        <v>0</v>
      </c>
      <c r="AJ17" s="26">
        <f ca="1">IF($C17="","",'Profile &amp; Baseline'!AJ17/INDEX('Global Constants'!AC$38:AC$40,$H17))</f>
        <v>0</v>
      </c>
      <c r="AK17" s="26">
        <f ca="1">IF($C17="","",'Profile &amp; Baseline'!AK17/INDEX('Global Constants'!AD$38:AD$40,$H17))</f>
        <v>0</v>
      </c>
      <c r="AL17" s="26">
        <f ca="1">IF($C17="","",'Profile &amp; Baseline'!AL17/INDEX('Global Constants'!AE$38:AE$40,$H17))</f>
        <v>0</v>
      </c>
      <c r="AM17" s="26">
        <f ca="1">IF($C17="","",'Profile &amp; Baseline'!AM17/INDEX('Global Constants'!AF$38:AF$40,$H17))</f>
        <v>0</v>
      </c>
      <c r="AN17" s="26">
        <f ca="1">IF($C17="","",'Profile &amp; Baseline'!AN17/INDEX('Global Constants'!AG$38:AG$40,$H17))</f>
        <v>0</v>
      </c>
      <c r="AO17" s="26">
        <f ca="1">IF($C17="","",'Profile &amp; Baseline'!AO17/INDEX('Global Constants'!AH$38:AH$40,$H17))</f>
        <v>0</v>
      </c>
      <c r="AP17" s="26">
        <f ca="1">IF($C17="","",'Profile &amp; Baseline'!AP17/INDEX('Global Constants'!AI$38:AI$40,$H17))</f>
        <v>0</v>
      </c>
      <c r="AQ17" s="26">
        <f ca="1">IF($C17="","",'Profile &amp; Baseline'!AQ17/INDEX('Global Constants'!AJ$38:AJ$40,$H17))</f>
        <v>0</v>
      </c>
      <c r="AR17" s="26">
        <f ca="1">IF($C17="","",'Profile &amp; Baseline'!AR17/INDEX('Global Constants'!AK$38:AK$40,$H17))</f>
        <v>0</v>
      </c>
      <c r="AS17" s="26">
        <f ca="1">IF($C17="","",'Profile &amp; Baseline'!AS17/INDEX('Global Constants'!AL$38:AL$40,$H17))</f>
        <v>0</v>
      </c>
      <c r="AT17" s="26">
        <f ca="1">IF($C17="","",'Profile &amp; Baseline'!AT17/INDEX('Global Constants'!AM$38:AM$40,$H17))</f>
        <v>0</v>
      </c>
      <c r="AU17" s="26">
        <f ca="1">IF($C17="","",'Profile &amp; Baseline'!AU17/INDEX('Global Constants'!AN$38:AN$40,$H17))</f>
        <v>0</v>
      </c>
      <c r="AV17" s="26">
        <f ca="1">IF($C17="","",'Profile &amp; Baseline'!AV17/INDEX('Global Constants'!AO$38:AO$40,$H17))</f>
        <v>0</v>
      </c>
      <c r="AW17" s="26">
        <f ca="1">IF($C17="","",'Profile &amp; Baseline'!AW17/INDEX('Global Constants'!AP$38:AP$40,$H17))</f>
        <v>0</v>
      </c>
      <c r="AX17" s="26">
        <f ca="1">IF($C17="","",'Profile &amp; Baseline'!AX17/INDEX('Global Constants'!AQ$38:AQ$40,$H17))</f>
        <v>0</v>
      </c>
      <c r="AY17" s="26">
        <f ca="1">IF($C17="","",'Profile &amp; Baseline'!AY17/INDEX('Global Constants'!AR$38:AR$40,$H17))</f>
        <v>0</v>
      </c>
      <c r="AZ17" s="26">
        <f ca="1">IF($C17="","",'Profile &amp; Baseline'!AZ17/INDEX('Global Constants'!AS$38:AS$40,$H17))</f>
        <v>0</v>
      </c>
      <c r="BA17" s="26">
        <f ca="1">IF($C17="","",'Profile &amp; Baseline'!BA17/INDEX('Global Constants'!AT$38:AT$40,$H17))</f>
        <v>0</v>
      </c>
      <c r="BB17" s="26">
        <f ca="1">IF($C17="","",'Profile &amp; Baseline'!BB17/INDEX('Global Constants'!AU$38:AU$40,$H17))</f>
        <v>0</v>
      </c>
      <c r="BC17" s="26">
        <f ca="1">IF($C17="","",'Profile &amp; Baseline'!BC17/INDEX('Global Constants'!AV$38:AV$40,$H17))</f>
        <v>0</v>
      </c>
      <c r="BD17" s="26">
        <f ca="1">IF($C17="","",'Profile &amp; Baseline'!BD17/INDEX('Global Constants'!AW$38:AW$40,$H17))</f>
        <v>0</v>
      </c>
      <c r="BE17" s="26">
        <f ca="1">IF($C17="","",'Profile &amp; Baseline'!BE17/INDEX('Global Constants'!AX$38:AX$40,$H17))</f>
        <v>0</v>
      </c>
      <c r="BF17" s="26">
        <f ca="1">IF($C17="","",'Profile &amp; Baseline'!BF17/INDEX('Global Constants'!AY$38:AY$40,$H17))</f>
        <v>0</v>
      </c>
      <c r="BG17" s="26">
        <f ca="1">IF($C17="","",'Profile &amp; Baseline'!BG17/INDEX('Global Constants'!AZ$38:AZ$40,$H17))</f>
        <v>0</v>
      </c>
      <c r="BH17" s="26">
        <f ca="1">IF($C17="","",'Profile &amp; Baseline'!BH17/INDEX('Global Constants'!BA$38:BA$40,$H17))</f>
        <v>0</v>
      </c>
      <c r="BI17" s="26">
        <f ca="1">IF($C17="","",'Profile &amp; Baseline'!BI17/INDEX('Global Constants'!BB$38:BB$40,$H17))</f>
        <v>0</v>
      </c>
      <c r="BJ17" s="26">
        <f ca="1">IF($C17="","",'Profile &amp; Baseline'!BJ17/INDEX('Global Constants'!BC$38:BC$40,$H17))</f>
        <v>0</v>
      </c>
      <c r="BK17" s="26">
        <f ca="1">IF($C17="","",'Profile &amp; Baseline'!BK17/INDEX('Global Constants'!BD$38:BD$40,$H17))</f>
        <v>0</v>
      </c>
      <c r="BL17" s="26">
        <f ca="1">IF($C17="","",'Profile &amp; Baseline'!BL17/INDEX('Global Constants'!BE$38:BE$40,$H17))</f>
        <v>0</v>
      </c>
      <c r="BM17" s="26">
        <f ca="1">IF($C17="","",'Profile &amp; Baseline'!BM17/INDEX('Global Constants'!BF$38:BF$40,$H17))</f>
        <v>0</v>
      </c>
      <c r="BN17" s="26">
        <f ca="1">IF($C17="","",'Profile &amp; Baseline'!BN17/INDEX('Global Constants'!BG$38:BG$40,$H17))</f>
        <v>0</v>
      </c>
      <c r="BO17" s="26">
        <f ca="1">IF($C17="","",'Profile &amp; Baseline'!BO17/INDEX('Global Constants'!BH$38:BH$40,$H17))</f>
        <v>0</v>
      </c>
      <c r="BP17" s="26">
        <f ca="1">IF($C17="","",'Profile &amp; Baseline'!BP17/INDEX('Global Constants'!BI$38:BI$40,$H17))</f>
        <v>0</v>
      </c>
      <c r="BQ17" s="26">
        <f ca="1">IF($C17="","",'Profile &amp; Baseline'!BQ17/INDEX('Global Constants'!BJ$38:BJ$40,$H17))</f>
        <v>0</v>
      </c>
      <c r="BR17" s="26">
        <f ca="1">IF($C17="","",'Profile &amp; Baseline'!BR17/INDEX('Global Constants'!BK$38:BK$40,$H17))</f>
        <v>0</v>
      </c>
      <c r="BS17" s="26">
        <f ca="1">IF($C17="","",'Profile &amp; Baseline'!BS17/INDEX('Global Constants'!BL$38:BL$40,$H17))</f>
        <v>0</v>
      </c>
      <c r="BT17" s="26">
        <f ca="1">IF($C17="","",'Profile &amp; Baseline'!BT17/INDEX('Global Constants'!BM$38:BM$40,$H17))</f>
        <v>0</v>
      </c>
      <c r="BU17" s="26">
        <f ca="1">IF($C17="","",'Profile &amp; Baseline'!BU17/INDEX('Global Constants'!BN$38:BN$40,$H17))</f>
        <v>0</v>
      </c>
      <c r="BV17" s="26">
        <f ca="1">IF($C17="","",'Profile &amp; Baseline'!BV17/INDEX('Global Constants'!BO$38:BO$40,$H17))</f>
        <v>0</v>
      </c>
      <c r="BW17" s="26">
        <f ca="1">IF($C17="","",'Profile &amp; Baseline'!BW17/INDEX('Global Constants'!BP$38:BP$40,$H17))</f>
        <v>0</v>
      </c>
      <c r="BX17" s="26">
        <f ca="1">IF($C17="","",'Profile &amp; Baseline'!BX17/INDEX('Global Constants'!BQ$38:BQ$40,$H17))</f>
        <v>0</v>
      </c>
      <c r="BY17" s="26">
        <f ca="1">IF($C17="","",'Profile &amp; Baseline'!BY17/INDEX('Global Constants'!BR$38:BR$40,$H17))</f>
        <v>0</v>
      </c>
      <c r="BZ17" s="26">
        <f ca="1">IF($C17="","",'Profile &amp; Baseline'!BZ17/INDEX('Global Constants'!BS$38:BS$40,$H17))</f>
        <v>0</v>
      </c>
      <c r="CA17" s="26">
        <f ca="1">IF($C17="","",'Profile &amp; Baseline'!CA17/INDEX('Global Constants'!BT$38:BT$40,$H17))</f>
        <v>0</v>
      </c>
      <c r="CB17" s="26">
        <f ca="1">IF($C17="","",'Profile &amp; Baseline'!CB17/INDEX('Global Constants'!BU$38:BU$40,$H17))</f>
        <v>0</v>
      </c>
      <c r="CC17" s="26">
        <f ca="1">IF($C17="","",'Profile &amp; Baseline'!CC17/INDEX('Global Constants'!BV$38:BV$40,$H17))</f>
        <v>0</v>
      </c>
      <c r="CD17" s="26">
        <f ca="1">IF($C17="","",'Profile &amp; Baseline'!CD17/INDEX('Global Constants'!BW$38:BW$40,$H17))</f>
        <v>0</v>
      </c>
      <c r="CE17" s="26">
        <f ca="1">IF($C17="","",'Profile &amp; Baseline'!CE17/INDEX('Global Constants'!BX$38:BX$40,$H17))</f>
        <v>0</v>
      </c>
      <c r="CF17" s="26">
        <f ca="1">IF($C17="","",'Profile &amp; Baseline'!CF17/INDEX('Global Constants'!BY$38:BY$40,$H17))</f>
        <v>0</v>
      </c>
      <c r="CG17" s="26">
        <f ca="1">IF($C17="","",'Profile &amp; Baseline'!CG17/INDEX('Global Constants'!BZ$38:BZ$40,$H17))</f>
        <v>0</v>
      </c>
      <c r="CH17" s="26">
        <f ca="1">IF($C17="","",'Profile &amp; Baseline'!CH17/INDEX('Global Constants'!CA$38:CA$40,$H17))</f>
        <v>0</v>
      </c>
      <c r="CI17" s="26">
        <f ca="1">IF($C17="","",'Profile &amp; Baseline'!CI17/INDEX('Global Constants'!CB$38:CB$40,$H17))</f>
        <v>0</v>
      </c>
      <c r="CJ17" s="26">
        <f ca="1">IF($C17="","",'Profile &amp; Baseline'!CJ17/INDEX('Global Constants'!CC$38:CC$40,$H17))</f>
        <v>0</v>
      </c>
      <c r="CK17" s="26">
        <f ca="1">IF($C17="","",'Profile &amp; Baseline'!CK17/INDEX('Global Constants'!CD$38:CD$40,$H17))</f>
        <v>0</v>
      </c>
      <c r="CL17" s="26">
        <f ca="1">IF($C17="","",'Profile &amp; Baseline'!CL17/INDEX('Global Constants'!CE$38:CE$40,$H17))</f>
        <v>0</v>
      </c>
      <c r="CM17" s="26">
        <f ca="1">IF($C17="","",'Profile &amp; Baseline'!CM17/INDEX('Global Constants'!CF$38:CF$40,$H17))</f>
        <v>0</v>
      </c>
      <c r="CN17" s="26">
        <f ca="1">IF($C17="","",'Profile &amp; Baseline'!CN17/INDEX('Global Constants'!CG$38:CG$40,$H17))</f>
        <v>0</v>
      </c>
      <c r="CO17" s="26">
        <f ca="1">IF($C17="","",'Profile &amp; Baseline'!CO17/INDEX('Global Constants'!CH$38:CH$40,$H17))</f>
        <v>0</v>
      </c>
      <c r="CP17" s="26">
        <f ca="1">IF($C17="","",'Profile &amp; Baseline'!CP17/INDEX('Global Constants'!CI$38:CI$40,$H17))</f>
        <v>0</v>
      </c>
      <c r="CQ17" s="26">
        <f ca="1">IF($C17="","",'Profile &amp; Baseline'!CQ17/INDEX('Global Constants'!CJ$38:CJ$40,$H17))</f>
        <v>0</v>
      </c>
      <c r="CR17" s="26">
        <f ca="1">IF($C17="","",'Profile &amp; Baseline'!CR17/INDEX('Global Constants'!CK$38:CK$40,$H17))</f>
        <v>0</v>
      </c>
      <c r="CS17" s="26">
        <f ca="1">IF($C17="","",'Profile &amp; Baseline'!CS17/INDEX('Global Constants'!CL$38:CL$40,$H17))</f>
        <v>0</v>
      </c>
      <c r="CT17" s="26">
        <f ca="1">IF($C17="","",'Profile &amp; Baseline'!CT17/INDEX('Global Constants'!CM$38:CM$40,$H17))</f>
        <v>0</v>
      </c>
      <c r="CU17" s="26">
        <f ca="1">IF($C17="","",'Profile &amp; Baseline'!CU17/INDEX('Global Constants'!CN$38:CN$40,$H17))</f>
        <v>0</v>
      </c>
      <c r="CV17" s="26">
        <f ca="1">IF($C17="","",'Profile &amp; Baseline'!CV17/INDEX('Global Constants'!CO$38:CO$40,$H17))</f>
        <v>0</v>
      </c>
      <c r="CW17" s="26">
        <f ca="1">IF($C17="","",'Profile &amp; Baseline'!CW17/INDEX('Global Constants'!CP$38:CP$40,$H17))</f>
        <v>0</v>
      </c>
      <c r="CX17" s="26">
        <f ca="1">IF($C17="","",'Profile &amp; Baseline'!CX17/INDEX('Global Constants'!CQ$38:CQ$40,$H17))</f>
        <v>0</v>
      </c>
      <c r="CZ17" s="26">
        <f t="shared" ca="1" si="1"/>
        <v>0</v>
      </c>
      <c r="DA17" s="26">
        <f t="shared" ca="1" si="2"/>
        <v>60763.647518764665</v>
      </c>
    </row>
    <row r="18" spans="3:105" x14ac:dyDescent="0.3">
      <c r="C18" s="4" t="str">
        <f>IF('Cost &amp; Risk Inputs'!C19="","",'Cost &amp; Risk Inputs'!C19)</f>
        <v/>
      </c>
      <c r="D18" s="4" t="str">
        <f>IF(C18="","",'Cost &amp; Risk Inputs'!H19)</f>
        <v/>
      </c>
      <c r="E18" s="4" t="str">
        <f>IF(C18="","",'Cost &amp; Risk Inputs'!I19)</f>
        <v/>
      </c>
      <c r="F18" s="4" t="str">
        <f>IF(C18="","",'Cost &amp; Risk Inputs'!G19)</f>
        <v/>
      </c>
      <c r="H18" s="18" t="str">
        <f t="shared" si="0"/>
        <v/>
      </c>
      <c r="M18" s="26" t="str">
        <f>IF($C18="","",'Profile &amp; Baseline'!M18/INDEX('Global Constants'!F$38:F$40,$H18))</f>
        <v/>
      </c>
      <c r="N18" s="26" t="str">
        <f>IF($C18="","",'Profile &amp; Baseline'!N18/INDEX('Global Constants'!G$38:G$40,$H18))</f>
        <v/>
      </c>
      <c r="O18" s="26" t="str">
        <f>IF($C18="","",'Profile &amp; Baseline'!O18/INDEX('Global Constants'!H$38:H$40,$H18))</f>
        <v/>
      </c>
      <c r="P18" s="26" t="str">
        <f>IF($C18="","",'Profile &amp; Baseline'!P18/INDEX('Global Constants'!I$38:I$40,$H18))</f>
        <v/>
      </c>
      <c r="Q18" s="26" t="str">
        <f>IF($C18="","",'Profile &amp; Baseline'!Q18/INDEX('Global Constants'!J$38:J$40,$H18))</f>
        <v/>
      </c>
      <c r="R18" s="26" t="str">
        <f>IF($C18="","",'Profile &amp; Baseline'!R18/INDEX('Global Constants'!K$38:K$40,$H18))</f>
        <v/>
      </c>
      <c r="S18" s="26" t="str">
        <f>IF($C18="","",'Profile &amp; Baseline'!S18/INDEX('Global Constants'!L$38:L$40,$H18))</f>
        <v/>
      </c>
      <c r="T18" s="26" t="str">
        <f>IF($C18="","",'Profile &amp; Baseline'!T18/INDEX('Global Constants'!M$38:M$40,$H18))</f>
        <v/>
      </c>
      <c r="U18" s="26" t="str">
        <f>IF($C18="","",'Profile &amp; Baseline'!U18/INDEX('Global Constants'!N$38:N$40,$H18))</f>
        <v/>
      </c>
      <c r="V18" s="26" t="str">
        <f>IF($C18="","",'Profile &amp; Baseline'!V18/INDEX('Global Constants'!O$38:O$40,$H18))</f>
        <v/>
      </c>
      <c r="W18" s="26" t="str">
        <f>IF($C18="","",'Profile &amp; Baseline'!W18/INDEX('Global Constants'!P$38:P$40,$H18))</f>
        <v/>
      </c>
      <c r="X18" s="26" t="str">
        <f>IF($C18="","",'Profile &amp; Baseline'!X18/INDEX('Global Constants'!Q$38:Q$40,$H18))</f>
        <v/>
      </c>
      <c r="Y18" s="26" t="str">
        <f>IF($C18="","",'Profile &amp; Baseline'!Y18/INDEX('Global Constants'!R$38:R$40,$H18))</f>
        <v/>
      </c>
      <c r="Z18" s="26" t="str">
        <f>IF($C18="","",'Profile &amp; Baseline'!Z18/INDEX('Global Constants'!S$38:S$40,$H18))</f>
        <v/>
      </c>
      <c r="AA18" s="26" t="str">
        <f>IF($C18="","",'Profile &amp; Baseline'!AA18/INDEX('Global Constants'!T$38:T$40,$H18))</f>
        <v/>
      </c>
      <c r="AB18" s="26" t="str">
        <f>IF($C18="","",'Profile &amp; Baseline'!AB18/INDEX('Global Constants'!U$38:U$40,$H18))</f>
        <v/>
      </c>
      <c r="AC18" s="26" t="str">
        <f>IF($C18="","",'Profile &amp; Baseline'!AC18/INDEX('Global Constants'!V$38:V$40,$H18))</f>
        <v/>
      </c>
      <c r="AD18" s="26" t="str">
        <f>IF($C18="","",'Profile &amp; Baseline'!AD18/INDEX('Global Constants'!W$38:W$40,$H18))</f>
        <v/>
      </c>
      <c r="AE18" s="26" t="str">
        <f>IF($C18="","",'Profile &amp; Baseline'!AE18/INDEX('Global Constants'!X$38:X$40,$H18))</f>
        <v/>
      </c>
      <c r="AF18" s="26" t="str">
        <f>IF($C18="","",'Profile &amp; Baseline'!AF18/INDEX('Global Constants'!Y$38:Y$40,$H18))</f>
        <v/>
      </c>
      <c r="AG18" s="26" t="str">
        <f>IF($C18="","",'Profile &amp; Baseline'!AG18/INDEX('Global Constants'!Z$38:Z$40,$H18))</f>
        <v/>
      </c>
      <c r="AH18" s="26" t="str">
        <f>IF($C18="","",'Profile &amp; Baseline'!AH18/INDEX('Global Constants'!AA$38:AA$40,$H18))</f>
        <v/>
      </c>
      <c r="AI18" s="26" t="str">
        <f>IF($C18="","",'Profile &amp; Baseline'!AI18/INDEX('Global Constants'!AB$38:AB$40,$H18))</f>
        <v/>
      </c>
      <c r="AJ18" s="26" t="str">
        <f>IF($C18="","",'Profile &amp; Baseline'!AJ18/INDEX('Global Constants'!AC$38:AC$40,$H18))</f>
        <v/>
      </c>
      <c r="AK18" s="26" t="str">
        <f>IF($C18="","",'Profile &amp; Baseline'!AK18/INDEX('Global Constants'!AD$38:AD$40,$H18))</f>
        <v/>
      </c>
      <c r="AL18" s="26" t="str">
        <f>IF($C18="","",'Profile &amp; Baseline'!AL18/INDEX('Global Constants'!AE$38:AE$40,$H18))</f>
        <v/>
      </c>
      <c r="AM18" s="26" t="str">
        <f>IF($C18="","",'Profile &amp; Baseline'!AM18/INDEX('Global Constants'!AF$38:AF$40,$H18))</f>
        <v/>
      </c>
      <c r="AN18" s="26" t="str">
        <f>IF($C18="","",'Profile &amp; Baseline'!AN18/INDEX('Global Constants'!AG$38:AG$40,$H18))</f>
        <v/>
      </c>
      <c r="AO18" s="26" t="str">
        <f>IF($C18="","",'Profile &amp; Baseline'!AO18/INDEX('Global Constants'!AH$38:AH$40,$H18))</f>
        <v/>
      </c>
      <c r="AP18" s="26" t="str">
        <f>IF($C18="","",'Profile &amp; Baseline'!AP18/INDEX('Global Constants'!AI$38:AI$40,$H18))</f>
        <v/>
      </c>
      <c r="AQ18" s="26" t="str">
        <f>IF($C18="","",'Profile &amp; Baseline'!AQ18/INDEX('Global Constants'!AJ$38:AJ$40,$H18))</f>
        <v/>
      </c>
      <c r="AR18" s="26" t="str">
        <f>IF($C18="","",'Profile &amp; Baseline'!AR18/INDEX('Global Constants'!AK$38:AK$40,$H18))</f>
        <v/>
      </c>
      <c r="AS18" s="26" t="str">
        <f>IF($C18="","",'Profile &amp; Baseline'!AS18/INDEX('Global Constants'!AL$38:AL$40,$H18))</f>
        <v/>
      </c>
      <c r="AT18" s="26" t="str">
        <f>IF($C18="","",'Profile &amp; Baseline'!AT18/INDEX('Global Constants'!AM$38:AM$40,$H18))</f>
        <v/>
      </c>
      <c r="AU18" s="26" t="str">
        <f>IF($C18="","",'Profile &amp; Baseline'!AU18/INDEX('Global Constants'!AN$38:AN$40,$H18))</f>
        <v/>
      </c>
      <c r="AV18" s="26" t="str">
        <f>IF($C18="","",'Profile &amp; Baseline'!AV18/INDEX('Global Constants'!AO$38:AO$40,$H18))</f>
        <v/>
      </c>
      <c r="AW18" s="26" t="str">
        <f>IF($C18="","",'Profile &amp; Baseline'!AW18/INDEX('Global Constants'!AP$38:AP$40,$H18))</f>
        <v/>
      </c>
      <c r="AX18" s="26" t="str">
        <f>IF($C18="","",'Profile &amp; Baseline'!AX18/INDEX('Global Constants'!AQ$38:AQ$40,$H18))</f>
        <v/>
      </c>
      <c r="AY18" s="26" t="str">
        <f>IF($C18="","",'Profile &amp; Baseline'!AY18/INDEX('Global Constants'!AR$38:AR$40,$H18))</f>
        <v/>
      </c>
      <c r="AZ18" s="26" t="str">
        <f>IF($C18="","",'Profile &amp; Baseline'!AZ18/INDEX('Global Constants'!AS$38:AS$40,$H18))</f>
        <v/>
      </c>
      <c r="BA18" s="26" t="str">
        <f>IF($C18="","",'Profile &amp; Baseline'!BA18/INDEX('Global Constants'!AT$38:AT$40,$H18))</f>
        <v/>
      </c>
      <c r="BB18" s="26" t="str">
        <f>IF($C18="","",'Profile &amp; Baseline'!BB18/INDEX('Global Constants'!AU$38:AU$40,$H18))</f>
        <v/>
      </c>
      <c r="BC18" s="26" t="str">
        <f>IF($C18="","",'Profile &amp; Baseline'!BC18/INDEX('Global Constants'!AV$38:AV$40,$H18))</f>
        <v/>
      </c>
      <c r="BD18" s="26" t="str">
        <f>IF($C18="","",'Profile &amp; Baseline'!BD18/INDEX('Global Constants'!AW$38:AW$40,$H18))</f>
        <v/>
      </c>
      <c r="BE18" s="26" t="str">
        <f>IF($C18="","",'Profile &amp; Baseline'!BE18/INDEX('Global Constants'!AX$38:AX$40,$H18))</f>
        <v/>
      </c>
      <c r="BF18" s="26" t="str">
        <f>IF($C18="","",'Profile &amp; Baseline'!BF18/INDEX('Global Constants'!AY$38:AY$40,$H18))</f>
        <v/>
      </c>
      <c r="BG18" s="26" t="str">
        <f>IF($C18="","",'Profile &amp; Baseline'!BG18/INDEX('Global Constants'!AZ$38:AZ$40,$H18))</f>
        <v/>
      </c>
      <c r="BH18" s="26" t="str">
        <f>IF($C18="","",'Profile &amp; Baseline'!BH18/INDEX('Global Constants'!BA$38:BA$40,$H18))</f>
        <v/>
      </c>
      <c r="BI18" s="26" t="str">
        <f>IF($C18="","",'Profile &amp; Baseline'!BI18/INDEX('Global Constants'!BB$38:BB$40,$H18))</f>
        <v/>
      </c>
      <c r="BJ18" s="26" t="str">
        <f>IF($C18="","",'Profile &amp; Baseline'!BJ18/INDEX('Global Constants'!BC$38:BC$40,$H18))</f>
        <v/>
      </c>
      <c r="BK18" s="26" t="str">
        <f>IF($C18="","",'Profile &amp; Baseline'!BK18/INDEX('Global Constants'!BD$38:BD$40,$H18))</f>
        <v/>
      </c>
      <c r="BL18" s="26" t="str">
        <f>IF($C18="","",'Profile &amp; Baseline'!BL18/INDEX('Global Constants'!BE$38:BE$40,$H18))</f>
        <v/>
      </c>
      <c r="BM18" s="26" t="str">
        <f>IF($C18="","",'Profile &amp; Baseline'!BM18/INDEX('Global Constants'!BF$38:BF$40,$H18))</f>
        <v/>
      </c>
      <c r="BN18" s="26" t="str">
        <f>IF($C18="","",'Profile &amp; Baseline'!BN18/INDEX('Global Constants'!BG$38:BG$40,$H18))</f>
        <v/>
      </c>
      <c r="BO18" s="26" t="str">
        <f>IF($C18="","",'Profile &amp; Baseline'!BO18/INDEX('Global Constants'!BH$38:BH$40,$H18))</f>
        <v/>
      </c>
      <c r="BP18" s="26" t="str">
        <f>IF($C18="","",'Profile &amp; Baseline'!BP18/INDEX('Global Constants'!BI$38:BI$40,$H18))</f>
        <v/>
      </c>
      <c r="BQ18" s="26" t="str">
        <f>IF($C18="","",'Profile &amp; Baseline'!BQ18/INDEX('Global Constants'!BJ$38:BJ$40,$H18))</f>
        <v/>
      </c>
      <c r="BR18" s="26" t="str">
        <f>IF($C18="","",'Profile &amp; Baseline'!BR18/INDEX('Global Constants'!BK$38:BK$40,$H18))</f>
        <v/>
      </c>
      <c r="BS18" s="26" t="str">
        <f>IF($C18="","",'Profile &amp; Baseline'!BS18/INDEX('Global Constants'!BL$38:BL$40,$H18))</f>
        <v/>
      </c>
      <c r="BT18" s="26" t="str">
        <f>IF($C18="","",'Profile &amp; Baseline'!BT18/INDEX('Global Constants'!BM$38:BM$40,$H18))</f>
        <v/>
      </c>
      <c r="BU18" s="26" t="str">
        <f>IF($C18="","",'Profile &amp; Baseline'!BU18/INDEX('Global Constants'!BN$38:BN$40,$H18))</f>
        <v/>
      </c>
      <c r="BV18" s="26" t="str">
        <f>IF($C18="","",'Profile &amp; Baseline'!BV18/INDEX('Global Constants'!BO$38:BO$40,$H18))</f>
        <v/>
      </c>
      <c r="BW18" s="26" t="str">
        <f>IF($C18="","",'Profile &amp; Baseline'!BW18/INDEX('Global Constants'!BP$38:BP$40,$H18))</f>
        <v/>
      </c>
      <c r="BX18" s="26" t="str">
        <f>IF($C18="","",'Profile &amp; Baseline'!BX18/INDEX('Global Constants'!BQ$38:BQ$40,$H18))</f>
        <v/>
      </c>
      <c r="BY18" s="26" t="str">
        <f>IF($C18="","",'Profile &amp; Baseline'!BY18/INDEX('Global Constants'!BR$38:BR$40,$H18))</f>
        <v/>
      </c>
      <c r="BZ18" s="26" t="str">
        <f>IF($C18="","",'Profile &amp; Baseline'!BZ18/INDEX('Global Constants'!BS$38:BS$40,$H18))</f>
        <v/>
      </c>
      <c r="CA18" s="26" t="str">
        <f>IF($C18="","",'Profile &amp; Baseline'!CA18/INDEX('Global Constants'!BT$38:BT$40,$H18))</f>
        <v/>
      </c>
      <c r="CB18" s="26" t="str">
        <f>IF($C18="","",'Profile &amp; Baseline'!CB18/INDEX('Global Constants'!BU$38:BU$40,$H18))</f>
        <v/>
      </c>
      <c r="CC18" s="26" t="str">
        <f>IF($C18="","",'Profile &amp; Baseline'!CC18/INDEX('Global Constants'!BV$38:BV$40,$H18))</f>
        <v/>
      </c>
      <c r="CD18" s="26" t="str">
        <f>IF($C18="","",'Profile &amp; Baseline'!CD18/INDEX('Global Constants'!BW$38:BW$40,$H18))</f>
        <v/>
      </c>
      <c r="CE18" s="26" t="str">
        <f>IF($C18="","",'Profile &amp; Baseline'!CE18/INDEX('Global Constants'!BX$38:BX$40,$H18))</f>
        <v/>
      </c>
      <c r="CF18" s="26" t="str">
        <f>IF($C18="","",'Profile &amp; Baseline'!CF18/INDEX('Global Constants'!BY$38:BY$40,$H18))</f>
        <v/>
      </c>
      <c r="CG18" s="26" t="str">
        <f>IF($C18="","",'Profile &amp; Baseline'!CG18/INDEX('Global Constants'!BZ$38:BZ$40,$H18))</f>
        <v/>
      </c>
      <c r="CH18" s="26" t="str">
        <f>IF($C18="","",'Profile &amp; Baseline'!CH18/INDEX('Global Constants'!CA$38:CA$40,$H18))</f>
        <v/>
      </c>
      <c r="CI18" s="26" t="str">
        <f>IF($C18="","",'Profile &amp; Baseline'!CI18/INDEX('Global Constants'!CB$38:CB$40,$H18))</f>
        <v/>
      </c>
      <c r="CJ18" s="26" t="str">
        <f>IF($C18="","",'Profile &amp; Baseline'!CJ18/INDEX('Global Constants'!CC$38:CC$40,$H18))</f>
        <v/>
      </c>
      <c r="CK18" s="26" t="str">
        <f>IF($C18="","",'Profile &amp; Baseline'!CK18/INDEX('Global Constants'!CD$38:CD$40,$H18))</f>
        <v/>
      </c>
      <c r="CL18" s="26" t="str">
        <f>IF($C18="","",'Profile &amp; Baseline'!CL18/INDEX('Global Constants'!CE$38:CE$40,$H18))</f>
        <v/>
      </c>
      <c r="CM18" s="26" t="str">
        <f>IF($C18="","",'Profile &amp; Baseline'!CM18/INDEX('Global Constants'!CF$38:CF$40,$H18))</f>
        <v/>
      </c>
      <c r="CN18" s="26" t="str">
        <f>IF($C18="","",'Profile &amp; Baseline'!CN18/INDEX('Global Constants'!CG$38:CG$40,$H18))</f>
        <v/>
      </c>
      <c r="CO18" s="26" t="str">
        <f>IF($C18="","",'Profile &amp; Baseline'!CO18/INDEX('Global Constants'!CH$38:CH$40,$H18))</f>
        <v/>
      </c>
      <c r="CP18" s="26" t="str">
        <f>IF($C18="","",'Profile &amp; Baseline'!CP18/INDEX('Global Constants'!CI$38:CI$40,$H18))</f>
        <v/>
      </c>
      <c r="CQ18" s="26" t="str">
        <f>IF($C18="","",'Profile &amp; Baseline'!CQ18/INDEX('Global Constants'!CJ$38:CJ$40,$H18))</f>
        <v/>
      </c>
      <c r="CR18" s="26" t="str">
        <f>IF($C18="","",'Profile &amp; Baseline'!CR18/INDEX('Global Constants'!CK$38:CK$40,$H18))</f>
        <v/>
      </c>
      <c r="CS18" s="26" t="str">
        <f>IF($C18="","",'Profile &amp; Baseline'!CS18/INDEX('Global Constants'!CL$38:CL$40,$H18))</f>
        <v/>
      </c>
      <c r="CT18" s="26" t="str">
        <f>IF($C18="","",'Profile &amp; Baseline'!CT18/INDEX('Global Constants'!CM$38:CM$40,$H18))</f>
        <v/>
      </c>
      <c r="CU18" s="26" t="str">
        <f>IF($C18="","",'Profile &amp; Baseline'!CU18/INDEX('Global Constants'!CN$38:CN$40,$H18))</f>
        <v/>
      </c>
      <c r="CV18" s="26" t="str">
        <f>IF($C18="","",'Profile &amp; Baseline'!CV18/INDEX('Global Constants'!CO$38:CO$40,$H18))</f>
        <v/>
      </c>
      <c r="CW18" s="26" t="str">
        <f>IF($C18="","",'Profile &amp; Baseline'!CW18/INDEX('Global Constants'!CP$38:CP$40,$H18))</f>
        <v/>
      </c>
      <c r="CX18" s="26" t="str">
        <f>IF($C18="","",'Profile &amp; Baseline'!CX18/INDEX('Global Constants'!CQ$38:CQ$40,$H18))</f>
        <v/>
      </c>
      <c r="CZ18" s="26">
        <f t="shared" ca="1" si="1"/>
        <v>0</v>
      </c>
      <c r="DA18" s="26">
        <f t="shared" si="2"/>
        <v>0</v>
      </c>
    </row>
    <row r="19" spans="3:105" x14ac:dyDescent="0.3">
      <c r="C19" s="4" t="str">
        <f>IF('Cost &amp; Risk Inputs'!C20="","",'Cost &amp; Risk Inputs'!C20)</f>
        <v/>
      </c>
      <c r="D19" s="4" t="str">
        <f>IF(C19="","",'Cost &amp; Risk Inputs'!H20)</f>
        <v/>
      </c>
      <c r="E19" s="4" t="str">
        <f>IF(C19="","",'Cost &amp; Risk Inputs'!I20)</f>
        <v/>
      </c>
      <c r="F19" s="4" t="str">
        <f>IF(C19="","",'Cost &amp; Risk Inputs'!G20)</f>
        <v/>
      </c>
      <c r="H19" s="18" t="str">
        <f t="shared" si="0"/>
        <v/>
      </c>
      <c r="M19" s="26" t="str">
        <f>IF($C19="","",'Profile &amp; Baseline'!M19/INDEX('Global Constants'!F$38:F$40,$H19))</f>
        <v/>
      </c>
      <c r="N19" s="26" t="str">
        <f>IF($C19="","",'Profile &amp; Baseline'!N19/INDEX('Global Constants'!G$38:G$40,$H19))</f>
        <v/>
      </c>
      <c r="O19" s="26" t="str">
        <f>IF($C19="","",'Profile &amp; Baseline'!O19/INDEX('Global Constants'!H$38:H$40,$H19))</f>
        <v/>
      </c>
      <c r="P19" s="26" t="str">
        <f>IF($C19="","",'Profile &amp; Baseline'!P19/INDEX('Global Constants'!I$38:I$40,$H19))</f>
        <v/>
      </c>
      <c r="Q19" s="26" t="str">
        <f>IF($C19="","",'Profile &amp; Baseline'!Q19/INDEX('Global Constants'!J$38:J$40,$H19))</f>
        <v/>
      </c>
      <c r="R19" s="26" t="str">
        <f>IF($C19="","",'Profile &amp; Baseline'!R19/INDEX('Global Constants'!K$38:K$40,$H19))</f>
        <v/>
      </c>
      <c r="S19" s="26" t="str">
        <f>IF($C19="","",'Profile &amp; Baseline'!S19/INDEX('Global Constants'!L$38:L$40,$H19))</f>
        <v/>
      </c>
      <c r="T19" s="26" t="str">
        <f>IF($C19="","",'Profile &amp; Baseline'!T19/INDEX('Global Constants'!M$38:M$40,$H19))</f>
        <v/>
      </c>
      <c r="U19" s="26" t="str">
        <f>IF($C19="","",'Profile &amp; Baseline'!U19/INDEX('Global Constants'!N$38:N$40,$H19))</f>
        <v/>
      </c>
      <c r="V19" s="26" t="str">
        <f>IF($C19="","",'Profile &amp; Baseline'!V19/INDEX('Global Constants'!O$38:O$40,$H19))</f>
        <v/>
      </c>
      <c r="W19" s="26" t="str">
        <f>IF($C19="","",'Profile &amp; Baseline'!W19/INDEX('Global Constants'!P$38:P$40,$H19))</f>
        <v/>
      </c>
      <c r="X19" s="26" t="str">
        <f>IF($C19="","",'Profile &amp; Baseline'!X19/INDEX('Global Constants'!Q$38:Q$40,$H19))</f>
        <v/>
      </c>
      <c r="Y19" s="26" t="str">
        <f>IF($C19="","",'Profile &amp; Baseline'!Y19/INDEX('Global Constants'!R$38:R$40,$H19))</f>
        <v/>
      </c>
      <c r="Z19" s="26" t="str">
        <f>IF($C19="","",'Profile &amp; Baseline'!Z19/INDEX('Global Constants'!S$38:S$40,$H19))</f>
        <v/>
      </c>
      <c r="AA19" s="26" t="str">
        <f>IF($C19="","",'Profile &amp; Baseline'!AA19/INDEX('Global Constants'!T$38:T$40,$H19))</f>
        <v/>
      </c>
      <c r="AB19" s="26" t="str">
        <f>IF($C19="","",'Profile &amp; Baseline'!AB19/INDEX('Global Constants'!U$38:U$40,$H19))</f>
        <v/>
      </c>
      <c r="AC19" s="26" t="str">
        <f>IF($C19="","",'Profile &amp; Baseline'!AC19/INDEX('Global Constants'!V$38:V$40,$H19))</f>
        <v/>
      </c>
      <c r="AD19" s="26" t="str">
        <f>IF($C19="","",'Profile &amp; Baseline'!AD19/INDEX('Global Constants'!W$38:W$40,$H19))</f>
        <v/>
      </c>
      <c r="AE19" s="26" t="str">
        <f>IF($C19="","",'Profile &amp; Baseline'!AE19/INDEX('Global Constants'!X$38:X$40,$H19))</f>
        <v/>
      </c>
      <c r="AF19" s="26" t="str">
        <f>IF($C19="","",'Profile &amp; Baseline'!AF19/INDEX('Global Constants'!Y$38:Y$40,$H19))</f>
        <v/>
      </c>
      <c r="AG19" s="26" t="str">
        <f>IF($C19="","",'Profile &amp; Baseline'!AG19/INDEX('Global Constants'!Z$38:Z$40,$H19))</f>
        <v/>
      </c>
      <c r="AH19" s="26" t="str">
        <f>IF($C19="","",'Profile &amp; Baseline'!AH19/INDEX('Global Constants'!AA$38:AA$40,$H19))</f>
        <v/>
      </c>
      <c r="AI19" s="26" t="str">
        <f>IF($C19="","",'Profile &amp; Baseline'!AI19/INDEX('Global Constants'!AB$38:AB$40,$H19))</f>
        <v/>
      </c>
      <c r="AJ19" s="26" t="str">
        <f>IF($C19="","",'Profile &amp; Baseline'!AJ19/INDEX('Global Constants'!AC$38:AC$40,$H19))</f>
        <v/>
      </c>
      <c r="AK19" s="26" t="str">
        <f>IF($C19="","",'Profile &amp; Baseline'!AK19/INDEX('Global Constants'!AD$38:AD$40,$H19))</f>
        <v/>
      </c>
      <c r="AL19" s="26" t="str">
        <f>IF($C19="","",'Profile &amp; Baseline'!AL19/INDEX('Global Constants'!AE$38:AE$40,$H19))</f>
        <v/>
      </c>
      <c r="AM19" s="26" t="str">
        <f>IF($C19="","",'Profile &amp; Baseline'!AM19/INDEX('Global Constants'!AF$38:AF$40,$H19))</f>
        <v/>
      </c>
      <c r="AN19" s="26" t="str">
        <f>IF($C19="","",'Profile &amp; Baseline'!AN19/INDEX('Global Constants'!AG$38:AG$40,$H19))</f>
        <v/>
      </c>
      <c r="AO19" s="26" t="str">
        <f>IF($C19="","",'Profile &amp; Baseline'!AO19/INDEX('Global Constants'!AH$38:AH$40,$H19))</f>
        <v/>
      </c>
      <c r="AP19" s="26" t="str">
        <f>IF($C19="","",'Profile &amp; Baseline'!AP19/INDEX('Global Constants'!AI$38:AI$40,$H19))</f>
        <v/>
      </c>
      <c r="AQ19" s="26" t="str">
        <f>IF($C19="","",'Profile &amp; Baseline'!AQ19/INDEX('Global Constants'!AJ$38:AJ$40,$H19))</f>
        <v/>
      </c>
      <c r="AR19" s="26" t="str">
        <f>IF($C19="","",'Profile &amp; Baseline'!AR19/INDEX('Global Constants'!AK$38:AK$40,$H19))</f>
        <v/>
      </c>
      <c r="AS19" s="26" t="str">
        <f>IF($C19="","",'Profile &amp; Baseline'!AS19/INDEX('Global Constants'!AL$38:AL$40,$H19))</f>
        <v/>
      </c>
      <c r="AT19" s="26" t="str">
        <f>IF($C19="","",'Profile &amp; Baseline'!AT19/INDEX('Global Constants'!AM$38:AM$40,$H19))</f>
        <v/>
      </c>
      <c r="AU19" s="26" t="str">
        <f>IF($C19="","",'Profile &amp; Baseline'!AU19/INDEX('Global Constants'!AN$38:AN$40,$H19))</f>
        <v/>
      </c>
      <c r="AV19" s="26" t="str">
        <f>IF($C19="","",'Profile &amp; Baseline'!AV19/INDEX('Global Constants'!AO$38:AO$40,$H19))</f>
        <v/>
      </c>
      <c r="AW19" s="26" t="str">
        <f>IF($C19="","",'Profile &amp; Baseline'!AW19/INDEX('Global Constants'!AP$38:AP$40,$H19))</f>
        <v/>
      </c>
      <c r="AX19" s="26" t="str">
        <f>IF($C19="","",'Profile &amp; Baseline'!AX19/INDEX('Global Constants'!AQ$38:AQ$40,$H19))</f>
        <v/>
      </c>
      <c r="AY19" s="26" t="str">
        <f>IF($C19="","",'Profile &amp; Baseline'!AY19/INDEX('Global Constants'!AR$38:AR$40,$H19))</f>
        <v/>
      </c>
      <c r="AZ19" s="26" t="str">
        <f>IF($C19="","",'Profile &amp; Baseline'!AZ19/INDEX('Global Constants'!AS$38:AS$40,$H19))</f>
        <v/>
      </c>
      <c r="BA19" s="26" t="str">
        <f>IF($C19="","",'Profile &amp; Baseline'!BA19/INDEX('Global Constants'!AT$38:AT$40,$H19))</f>
        <v/>
      </c>
      <c r="BB19" s="26" t="str">
        <f>IF($C19="","",'Profile &amp; Baseline'!BB19/INDEX('Global Constants'!AU$38:AU$40,$H19))</f>
        <v/>
      </c>
      <c r="BC19" s="26" t="str">
        <f>IF($C19="","",'Profile &amp; Baseline'!BC19/INDEX('Global Constants'!AV$38:AV$40,$H19))</f>
        <v/>
      </c>
      <c r="BD19" s="26" t="str">
        <f>IF($C19="","",'Profile &amp; Baseline'!BD19/INDEX('Global Constants'!AW$38:AW$40,$H19))</f>
        <v/>
      </c>
      <c r="BE19" s="26" t="str">
        <f>IF($C19="","",'Profile &amp; Baseline'!BE19/INDEX('Global Constants'!AX$38:AX$40,$H19))</f>
        <v/>
      </c>
      <c r="BF19" s="26" t="str">
        <f>IF($C19="","",'Profile &amp; Baseline'!BF19/INDEX('Global Constants'!AY$38:AY$40,$H19))</f>
        <v/>
      </c>
      <c r="BG19" s="26" t="str">
        <f>IF($C19="","",'Profile &amp; Baseline'!BG19/INDEX('Global Constants'!AZ$38:AZ$40,$H19))</f>
        <v/>
      </c>
      <c r="BH19" s="26" t="str">
        <f>IF($C19="","",'Profile &amp; Baseline'!BH19/INDEX('Global Constants'!BA$38:BA$40,$H19))</f>
        <v/>
      </c>
      <c r="BI19" s="26" t="str">
        <f>IF($C19="","",'Profile &amp; Baseline'!BI19/INDEX('Global Constants'!BB$38:BB$40,$H19))</f>
        <v/>
      </c>
      <c r="BJ19" s="26" t="str">
        <f>IF($C19="","",'Profile &amp; Baseline'!BJ19/INDEX('Global Constants'!BC$38:BC$40,$H19))</f>
        <v/>
      </c>
      <c r="BK19" s="26" t="str">
        <f>IF($C19="","",'Profile &amp; Baseline'!BK19/INDEX('Global Constants'!BD$38:BD$40,$H19))</f>
        <v/>
      </c>
      <c r="BL19" s="26" t="str">
        <f>IF($C19="","",'Profile &amp; Baseline'!BL19/INDEX('Global Constants'!BE$38:BE$40,$H19))</f>
        <v/>
      </c>
      <c r="BM19" s="26" t="str">
        <f>IF($C19="","",'Profile &amp; Baseline'!BM19/INDEX('Global Constants'!BF$38:BF$40,$H19))</f>
        <v/>
      </c>
      <c r="BN19" s="26" t="str">
        <f>IF($C19="","",'Profile &amp; Baseline'!BN19/INDEX('Global Constants'!BG$38:BG$40,$H19))</f>
        <v/>
      </c>
      <c r="BO19" s="26" t="str">
        <f>IF($C19="","",'Profile &amp; Baseline'!BO19/INDEX('Global Constants'!BH$38:BH$40,$H19))</f>
        <v/>
      </c>
      <c r="BP19" s="26" t="str">
        <f>IF($C19="","",'Profile &amp; Baseline'!BP19/INDEX('Global Constants'!BI$38:BI$40,$H19))</f>
        <v/>
      </c>
      <c r="BQ19" s="26" t="str">
        <f>IF($C19="","",'Profile &amp; Baseline'!BQ19/INDEX('Global Constants'!BJ$38:BJ$40,$H19))</f>
        <v/>
      </c>
      <c r="BR19" s="26" t="str">
        <f>IF($C19="","",'Profile &amp; Baseline'!BR19/INDEX('Global Constants'!BK$38:BK$40,$H19))</f>
        <v/>
      </c>
      <c r="BS19" s="26" t="str">
        <f>IF($C19="","",'Profile &amp; Baseline'!BS19/INDEX('Global Constants'!BL$38:BL$40,$H19))</f>
        <v/>
      </c>
      <c r="BT19" s="26" t="str">
        <f>IF($C19="","",'Profile &amp; Baseline'!BT19/INDEX('Global Constants'!BM$38:BM$40,$H19))</f>
        <v/>
      </c>
      <c r="BU19" s="26" t="str">
        <f>IF($C19="","",'Profile &amp; Baseline'!BU19/INDEX('Global Constants'!BN$38:BN$40,$H19))</f>
        <v/>
      </c>
      <c r="BV19" s="26" t="str">
        <f>IF($C19="","",'Profile &amp; Baseline'!BV19/INDEX('Global Constants'!BO$38:BO$40,$H19))</f>
        <v/>
      </c>
      <c r="BW19" s="26" t="str">
        <f>IF($C19="","",'Profile &amp; Baseline'!BW19/INDEX('Global Constants'!BP$38:BP$40,$H19))</f>
        <v/>
      </c>
      <c r="BX19" s="26" t="str">
        <f>IF($C19="","",'Profile &amp; Baseline'!BX19/INDEX('Global Constants'!BQ$38:BQ$40,$H19))</f>
        <v/>
      </c>
      <c r="BY19" s="26" t="str">
        <f>IF($C19="","",'Profile &amp; Baseline'!BY19/INDEX('Global Constants'!BR$38:BR$40,$H19))</f>
        <v/>
      </c>
      <c r="BZ19" s="26" t="str">
        <f>IF($C19="","",'Profile &amp; Baseline'!BZ19/INDEX('Global Constants'!BS$38:BS$40,$H19))</f>
        <v/>
      </c>
      <c r="CA19" s="26" t="str">
        <f>IF($C19="","",'Profile &amp; Baseline'!CA19/INDEX('Global Constants'!BT$38:BT$40,$H19))</f>
        <v/>
      </c>
      <c r="CB19" s="26" t="str">
        <f>IF($C19="","",'Profile &amp; Baseline'!CB19/INDEX('Global Constants'!BU$38:BU$40,$H19))</f>
        <v/>
      </c>
      <c r="CC19" s="26" t="str">
        <f>IF($C19="","",'Profile &amp; Baseline'!CC19/INDEX('Global Constants'!BV$38:BV$40,$H19))</f>
        <v/>
      </c>
      <c r="CD19" s="26" t="str">
        <f>IF($C19="","",'Profile &amp; Baseline'!CD19/INDEX('Global Constants'!BW$38:BW$40,$H19))</f>
        <v/>
      </c>
      <c r="CE19" s="26" t="str">
        <f>IF($C19="","",'Profile &amp; Baseline'!CE19/INDEX('Global Constants'!BX$38:BX$40,$H19))</f>
        <v/>
      </c>
      <c r="CF19" s="26" t="str">
        <f>IF($C19="","",'Profile &amp; Baseline'!CF19/INDEX('Global Constants'!BY$38:BY$40,$H19))</f>
        <v/>
      </c>
      <c r="CG19" s="26" t="str">
        <f>IF($C19="","",'Profile &amp; Baseline'!CG19/INDEX('Global Constants'!BZ$38:BZ$40,$H19))</f>
        <v/>
      </c>
      <c r="CH19" s="26" t="str">
        <f>IF($C19="","",'Profile &amp; Baseline'!CH19/INDEX('Global Constants'!CA$38:CA$40,$H19))</f>
        <v/>
      </c>
      <c r="CI19" s="26" t="str">
        <f>IF($C19="","",'Profile &amp; Baseline'!CI19/INDEX('Global Constants'!CB$38:CB$40,$H19))</f>
        <v/>
      </c>
      <c r="CJ19" s="26" t="str">
        <f>IF($C19="","",'Profile &amp; Baseline'!CJ19/INDEX('Global Constants'!CC$38:CC$40,$H19))</f>
        <v/>
      </c>
      <c r="CK19" s="26" t="str">
        <f>IF($C19="","",'Profile &amp; Baseline'!CK19/INDEX('Global Constants'!CD$38:CD$40,$H19))</f>
        <v/>
      </c>
      <c r="CL19" s="26" t="str">
        <f>IF($C19="","",'Profile &amp; Baseline'!CL19/INDEX('Global Constants'!CE$38:CE$40,$H19))</f>
        <v/>
      </c>
      <c r="CM19" s="26" t="str">
        <f>IF($C19="","",'Profile &amp; Baseline'!CM19/INDEX('Global Constants'!CF$38:CF$40,$H19))</f>
        <v/>
      </c>
      <c r="CN19" s="26" t="str">
        <f>IF($C19="","",'Profile &amp; Baseline'!CN19/INDEX('Global Constants'!CG$38:CG$40,$H19))</f>
        <v/>
      </c>
      <c r="CO19" s="26" t="str">
        <f>IF($C19="","",'Profile &amp; Baseline'!CO19/INDEX('Global Constants'!CH$38:CH$40,$H19))</f>
        <v/>
      </c>
      <c r="CP19" s="26" t="str">
        <f>IF($C19="","",'Profile &amp; Baseline'!CP19/INDEX('Global Constants'!CI$38:CI$40,$H19))</f>
        <v/>
      </c>
      <c r="CQ19" s="26" t="str">
        <f>IF($C19="","",'Profile &amp; Baseline'!CQ19/INDEX('Global Constants'!CJ$38:CJ$40,$H19))</f>
        <v/>
      </c>
      <c r="CR19" s="26" t="str">
        <f>IF($C19="","",'Profile &amp; Baseline'!CR19/INDEX('Global Constants'!CK$38:CK$40,$H19))</f>
        <v/>
      </c>
      <c r="CS19" s="26" t="str">
        <f>IF($C19="","",'Profile &amp; Baseline'!CS19/INDEX('Global Constants'!CL$38:CL$40,$H19))</f>
        <v/>
      </c>
      <c r="CT19" s="26" t="str">
        <f>IF($C19="","",'Profile &amp; Baseline'!CT19/INDEX('Global Constants'!CM$38:CM$40,$H19))</f>
        <v/>
      </c>
      <c r="CU19" s="26" t="str">
        <f>IF($C19="","",'Profile &amp; Baseline'!CU19/INDEX('Global Constants'!CN$38:CN$40,$H19))</f>
        <v/>
      </c>
      <c r="CV19" s="26" t="str">
        <f>IF($C19="","",'Profile &amp; Baseline'!CV19/INDEX('Global Constants'!CO$38:CO$40,$H19))</f>
        <v/>
      </c>
      <c r="CW19" s="26" t="str">
        <f>IF($C19="","",'Profile &amp; Baseline'!CW19/INDEX('Global Constants'!CP$38:CP$40,$H19))</f>
        <v/>
      </c>
      <c r="CX19" s="26" t="str">
        <f>IF($C19="","",'Profile &amp; Baseline'!CX19/INDEX('Global Constants'!CQ$38:CQ$40,$H19))</f>
        <v/>
      </c>
      <c r="CZ19" s="26">
        <f t="shared" ca="1" si="1"/>
        <v>0</v>
      </c>
      <c r="DA19" s="26">
        <f t="shared" si="2"/>
        <v>0</v>
      </c>
    </row>
    <row r="20" spans="3:105" x14ac:dyDescent="0.3">
      <c r="C20" s="4" t="str">
        <f>IF('Cost &amp; Risk Inputs'!C21="","",'Cost &amp; Risk Inputs'!C21)</f>
        <v/>
      </c>
      <c r="D20" s="4" t="str">
        <f>IF(C20="","",'Cost &amp; Risk Inputs'!H21)</f>
        <v/>
      </c>
      <c r="E20" s="4" t="str">
        <f>IF(C20="","",'Cost &amp; Risk Inputs'!I21)</f>
        <v/>
      </c>
      <c r="F20" s="4" t="str">
        <f>IF(C20="","",'Cost &amp; Risk Inputs'!G21)</f>
        <v/>
      </c>
      <c r="H20" s="18" t="str">
        <f t="shared" si="0"/>
        <v/>
      </c>
      <c r="M20" s="26" t="str">
        <f>IF($C20="","",'Profile &amp; Baseline'!M20/INDEX('Global Constants'!F$38:F$40,$H20))</f>
        <v/>
      </c>
      <c r="N20" s="26" t="str">
        <f>IF($C20="","",'Profile &amp; Baseline'!N20/INDEX('Global Constants'!G$38:G$40,$H20))</f>
        <v/>
      </c>
      <c r="O20" s="26" t="str">
        <f>IF($C20="","",'Profile &amp; Baseline'!O20/INDEX('Global Constants'!H$38:H$40,$H20))</f>
        <v/>
      </c>
      <c r="P20" s="26" t="str">
        <f>IF($C20="","",'Profile &amp; Baseline'!P20/INDEX('Global Constants'!I$38:I$40,$H20))</f>
        <v/>
      </c>
      <c r="Q20" s="26" t="str">
        <f>IF($C20="","",'Profile &amp; Baseline'!Q20/INDEX('Global Constants'!J$38:J$40,$H20))</f>
        <v/>
      </c>
      <c r="R20" s="26" t="str">
        <f>IF($C20="","",'Profile &amp; Baseline'!R20/INDEX('Global Constants'!K$38:K$40,$H20))</f>
        <v/>
      </c>
      <c r="S20" s="26" t="str">
        <f>IF($C20="","",'Profile &amp; Baseline'!S20/INDEX('Global Constants'!L$38:L$40,$H20))</f>
        <v/>
      </c>
      <c r="T20" s="26" t="str">
        <f>IF($C20="","",'Profile &amp; Baseline'!T20/INDEX('Global Constants'!M$38:M$40,$H20))</f>
        <v/>
      </c>
      <c r="U20" s="26" t="str">
        <f>IF($C20="","",'Profile &amp; Baseline'!U20/INDEX('Global Constants'!N$38:N$40,$H20))</f>
        <v/>
      </c>
      <c r="V20" s="26" t="str">
        <f>IF($C20="","",'Profile &amp; Baseline'!V20/INDEX('Global Constants'!O$38:O$40,$H20))</f>
        <v/>
      </c>
      <c r="W20" s="26" t="str">
        <f>IF($C20="","",'Profile &amp; Baseline'!W20/INDEX('Global Constants'!P$38:P$40,$H20))</f>
        <v/>
      </c>
      <c r="X20" s="26" t="str">
        <f>IF($C20="","",'Profile &amp; Baseline'!X20/INDEX('Global Constants'!Q$38:Q$40,$H20))</f>
        <v/>
      </c>
      <c r="Y20" s="26" t="str">
        <f>IF($C20="","",'Profile &amp; Baseline'!Y20/INDEX('Global Constants'!R$38:R$40,$H20))</f>
        <v/>
      </c>
      <c r="Z20" s="26" t="str">
        <f>IF($C20="","",'Profile &amp; Baseline'!Z20/INDEX('Global Constants'!S$38:S$40,$H20))</f>
        <v/>
      </c>
      <c r="AA20" s="26" t="str">
        <f>IF($C20="","",'Profile &amp; Baseline'!AA20/INDEX('Global Constants'!T$38:T$40,$H20))</f>
        <v/>
      </c>
      <c r="AB20" s="26" t="str">
        <f>IF($C20="","",'Profile &amp; Baseline'!AB20/INDEX('Global Constants'!U$38:U$40,$H20))</f>
        <v/>
      </c>
      <c r="AC20" s="26" t="str">
        <f>IF($C20="","",'Profile &amp; Baseline'!AC20/INDEX('Global Constants'!V$38:V$40,$H20))</f>
        <v/>
      </c>
      <c r="AD20" s="26" t="str">
        <f>IF($C20="","",'Profile &amp; Baseline'!AD20/INDEX('Global Constants'!W$38:W$40,$H20))</f>
        <v/>
      </c>
      <c r="AE20" s="26" t="str">
        <f>IF($C20="","",'Profile &amp; Baseline'!AE20/INDEX('Global Constants'!X$38:X$40,$H20))</f>
        <v/>
      </c>
      <c r="AF20" s="26" t="str">
        <f>IF($C20="","",'Profile &amp; Baseline'!AF20/INDEX('Global Constants'!Y$38:Y$40,$H20))</f>
        <v/>
      </c>
      <c r="AG20" s="26" t="str">
        <f>IF($C20="","",'Profile &amp; Baseline'!AG20/INDEX('Global Constants'!Z$38:Z$40,$H20))</f>
        <v/>
      </c>
      <c r="AH20" s="26" t="str">
        <f>IF($C20="","",'Profile &amp; Baseline'!AH20/INDEX('Global Constants'!AA$38:AA$40,$H20))</f>
        <v/>
      </c>
      <c r="AI20" s="26" t="str">
        <f>IF($C20="","",'Profile &amp; Baseline'!AI20/INDEX('Global Constants'!AB$38:AB$40,$H20))</f>
        <v/>
      </c>
      <c r="AJ20" s="26" t="str">
        <f>IF($C20="","",'Profile &amp; Baseline'!AJ20/INDEX('Global Constants'!AC$38:AC$40,$H20))</f>
        <v/>
      </c>
      <c r="AK20" s="26" t="str">
        <f>IF($C20="","",'Profile &amp; Baseline'!AK20/INDEX('Global Constants'!AD$38:AD$40,$H20))</f>
        <v/>
      </c>
      <c r="AL20" s="26" t="str">
        <f>IF($C20="","",'Profile &amp; Baseline'!AL20/INDEX('Global Constants'!AE$38:AE$40,$H20))</f>
        <v/>
      </c>
      <c r="AM20" s="26" t="str">
        <f>IF($C20="","",'Profile &amp; Baseline'!AM20/INDEX('Global Constants'!AF$38:AF$40,$H20))</f>
        <v/>
      </c>
      <c r="AN20" s="26" t="str">
        <f>IF($C20="","",'Profile &amp; Baseline'!AN20/INDEX('Global Constants'!AG$38:AG$40,$H20))</f>
        <v/>
      </c>
      <c r="AO20" s="26" t="str">
        <f>IF($C20="","",'Profile &amp; Baseline'!AO20/INDEX('Global Constants'!AH$38:AH$40,$H20))</f>
        <v/>
      </c>
      <c r="AP20" s="26" t="str">
        <f>IF($C20="","",'Profile &amp; Baseline'!AP20/INDEX('Global Constants'!AI$38:AI$40,$H20))</f>
        <v/>
      </c>
      <c r="AQ20" s="26" t="str">
        <f>IF($C20="","",'Profile &amp; Baseline'!AQ20/INDEX('Global Constants'!AJ$38:AJ$40,$H20))</f>
        <v/>
      </c>
      <c r="AR20" s="26" t="str">
        <f>IF($C20="","",'Profile &amp; Baseline'!AR20/INDEX('Global Constants'!AK$38:AK$40,$H20))</f>
        <v/>
      </c>
      <c r="AS20" s="26" t="str">
        <f>IF($C20="","",'Profile &amp; Baseline'!AS20/INDEX('Global Constants'!AL$38:AL$40,$H20))</f>
        <v/>
      </c>
      <c r="AT20" s="26" t="str">
        <f>IF($C20="","",'Profile &amp; Baseline'!AT20/INDEX('Global Constants'!AM$38:AM$40,$H20))</f>
        <v/>
      </c>
      <c r="AU20" s="26" t="str">
        <f>IF($C20="","",'Profile &amp; Baseline'!AU20/INDEX('Global Constants'!AN$38:AN$40,$H20))</f>
        <v/>
      </c>
      <c r="AV20" s="26" t="str">
        <f>IF($C20="","",'Profile &amp; Baseline'!AV20/INDEX('Global Constants'!AO$38:AO$40,$H20))</f>
        <v/>
      </c>
      <c r="AW20" s="26" t="str">
        <f>IF($C20="","",'Profile &amp; Baseline'!AW20/INDEX('Global Constants'!AP$38:AP$40,$H20))</f>
        <v/>
      </c>
      <c r="AX20" s="26" t="str">
        <f>IF($C20="","",'Profile &amp; Baseline'!AX20/INDEX('Global Constants'!AQ$38:AQ$40,$H20))</f>
        <v/>
      </c>
      <c r="AY20" s="26" t="str">
        <f>IF($C20="","",'Profile &amp; Baseline'!AY20/INDEX('Global Constants'!AR$38:AR$40,$H20))</f>
        <v/>
      </c>
      <c r="AZ20" s="26" t="str">
        <f>IF($C20="","",'Profile &amp; Baseline'!AZ20/INDEX('Global Constants'!AS$38:AS$40,$H20))</f>
        <v/>
      </c>
      <c r="BA20" s="26" t="str">
        <f>IF($C20="","",'Profile &amp; Baseline'!BA20/INDEX('Global Constants'!AT$38:AT$40,$H20))</f>
        <v/>
      </c>
      <c r="BB20" s="26" t="str">
        <f>IF($C20="","",'Profile &amp; Baseline'!BB20/INDEX('Global Constants'!AU$38:AU$40,$H20))</f>
        <v/>
      </c>
      <c r="BC20" s="26" t="str">
        <f>IF($C20="","",'Profile &amp; Baseline'!BC20/INDEX('Global Constants'!AV$38:AV$40,$H20))</f>
        <v/>
      </c>
      <c r="BD20" s="26" t="str">
        <f>IF($C20="","",'Profile &amp; Baseline'!BD20/INDEX('Global Constants'!AW$38:AW$40,$H20))</f>
        <v/>
      </c>
      <c r="BE20" s="26" t="str">
        <f>IF($C20="","",'Profile &amp; Baseline'!BE20/INDEX('Global Constants'!AX$38:AX$40,$H20))</f>
        <v/>
      </c>
      <c r="BF20" s="26" t="str">
        <f>IF($C20="","",'Profile &amp; Baseline'!BF20/INDEX('Global Constants'!AY$38:AY$40,$H20))</f>
        <v/>
      </c>
      <c r="BG20" s="26" t="str">
        <f>IF($C20="","",'Profile &amp; Baseline'!BG20/INDEX('Global Constants'!AZ$38:AZ$40,$H20))</f>
        <v/>
      </c>
      <c r="BH20" s="26" t="str">
        <f>IF($C20="","",'Profile &amp; Baseline'!BH20/INDEX('Global Constants'!BA$38:BA$40,$H20))</f>
        <v/>
      </c>
      <c r="BI20" s="26" t="str">
        <f>IF($C20="","",'Profile &amp; Baseline'!BI20/INDEX('Global Constants'!BB$38:BB$40,$H20))</f>
        <v/>
      </c>
      <c r="BJ20" s="26" t="str">
        <f>IF($C20="","",'Profile &amp; Baseline'!BJ20/INDEX('Global Constants'!BC$38:BC$40,$H20))</f>
        <v/>
      </c>
      <c r="BK20" s="26" t="str">
        <f>IF($C20="","",'Profile &amp; Baseline'!BK20/INDEX('Global Constants'!BD$38:BD$40,$H20))</f>
        <v/>
      </c>
      <c r="BL20" s="26" t="str">
        <f>IF($C20="","",'Profile &amp; Baseline'!BL20/INDEX('Global Constants'!BE$38:BE$40,$H20))</f>
        <v/>
      </c>
      <c r="BM20" s="26" t="str">
        <f>IF($C20="","",'Profile &amp; Baseline'!BM20/INDEX('Global Constants'!BF$38:BF$40,$H20))</f>
        <v/>
      </c>
      <c r="BN20" s="26" t="str">
        <f>IF($C20="","",'Profile &amp; Baseline'!BN20/INDEX('Global Constants'!BG$38:BG$40,$H20))</f>
        <v/>
      </c>
      <c r="BO20" s="26" t="str">
        <f>IF($C20="","",'Profile &amp; Baseline'!BO20/INDEX('Global Constants'!BH$38:BH$40,$H20))</f>
        <v/>
      </c>
      <c r="BP20" s="26" t="str">
        <f>IF($C20="","",'Profile &amp; Baseline'!BP20/INDEX('Global Constants'!BI$38:BI$40,$H20))</f>
        <v/>
      </c>
      <c r="BQ20" s="26" t="str">
        <f>IF($C20="","",'Profile &amp; Baseline'!BQ20/INDEX('Global Constants'!BJ$38:BJ$40,$H20))</f>
        <v/>
      </c>
      <c r="BR20" s="26" t="str">
        <f>IF($C20="","",'Profile &amp; Baseline'!BR20/INDEX('Global Constants'!BK$38:BK$40,$H20))</f>
        <v/>
      </c>
      <c r="BS20" s="26" t="str">
        <f>IF($C20="","",'Profile &amp; Baseline'!BS20/INDEX('Global Constants'!BL$38:BL$40,$H20))</f>
        <v/>
      </c>
      <c r="BT20" s="26" t="str">
        <f>IF($C20="","",'Profile &amp; Baseline'!BT20/INDEX('Global Constants'!BM$38:BM$40,$H20))</f>
        <v/>
      </c>
      <c r="BU20" s="26" t="str">
        <f>IF($C20="","",'Profile &amp; Baseline'!BU20/INDEX('Global Constants'!BN$38:BN$40,$H20))</f>
        <v/>
      </c>
      <c r="BV20" s="26" t="str">
        <f>IF($C20="","",'Profile &amp; Baseline'!BV20/INDEX('Global Constants'!BO$38:BO$40,$H20))</f>
        <v/>
      </c>
      <c r="BW20" s="26" t="str">
        <f>IF($C20="","",'Profile &amp; Baseline'!BW20/INDEX('Global Constants'!BP$38:BP$40,$H20))</f>
        <v/>
      </c>
      <c r="BX20" s="26" t="str">
        <f>IF($C20="","",'Profile &amp; Baseline'!BX20/INDEX('Global Constants'!BQ$38:BQ$40,$H20))</f>
        <v/>
      </c>
      <c r="BY20" s="26" t="str">
        <f>IF($C20="","",'Profile &amp; Baseline'!BY20/INDEX('Global Constants'!BR$38:BR$40,$H20))</f>
        <v/>
      </c>
      <c r="BZ20" s="26" t="str">
        <f>IF($C20="","",'Profile &amp; Baseline'!BZ20/INDEX('Global Constants'!BS$38:BS$40,$H20))</f>
        <v/>
      </c>
      <c r="CA20" s="26" t="str">
        <f>IF($C20="","",'Profile &amp; Baseline'!CA20/INDEX('Global Constants'!BT$38:BT$40,$H20))</f>
        <v/>
      </c>
      <c r="CB20" s="26" t="str">
        <f>IF($C20="","",'Profile &amp; Baseline'!CB20/INDEX('Global Constants'!BU$38:BU$40,$H20))</f>
        <v/>
      </c>
      <c r="CC20" s="26" t="str">
        <f>IF($C20="","",'Profile &amp; Baseline'!CC20/INDEX('Global Constants'!BV$38:BV$40,$H20))</f>
        <v/>
      </c>
      <c r="CD20" s="26" t="str">
        <f>IF($C20="","",'Profile &amp; Baseline'!CD20/INDEX('Global Constants'!BW$38:BW$40,$H20))</f>
        <v/>
      </c>
      <c r="CE20" s="26" t="str">
        <f>IF($C20="","",'Profile &amp; Baseline'!CE20/INDEX('Global Constants'!BX$38:BX$40,$H20))</f>
        <v/>
      </c>
      <c r="CF20" s="26" t="str">
        <f>IF($C20="","",'Profile &amp; Baseline'!CF20/INDEX('Global Constants'!BY$38:BY$40,$H20))</f>
        <v/>
      </c>
      <c r="CG20" s="26" t="str">
        <f>IF($C20="","",'Profile &amp; Baseline'!CG20/INDEX('Global Constants'!BZ$38:BZ$40,$H20))</f>
        <v/>
      </c>
      <c r="CH20" s="26" t="str">
        <f>IF($C20="","",'Profile &amp; Baseline'!CH20/INDEX('Global Constants'!CA$38:CA$40,$H20))</f>
        <v/>
      </c>
      <c r="CI20" s="26" t="str">
        <f>IF($C20="","",'Profile &amp; Baseline'!CI20/INDEX('Global Constants'!CB$38:CB$40,$H20))</f>
        <v/>
      </c>
      <c r="CJ20" s="26" t="str">
        <f>IF($C20="","",'Profile &amp; Baseline'!CJ20/INDEX('Global Constants'!CC$38:CC$40,$H20))</f>
        <v/>
      </c>
      <c r="CK20" s="26" t="str">
        <f>IF($C20="","",'Profile &amp; Baseline'!CK20/INDEX('Global Constants'!CD$38:CD$40,$H20))</f>
        <v/>
      </c>
      <c r="CL20" s="26" t="str">
        <f>IF($C20="","",'Profile &amp; Baseline'!CL20/INDEX('Global Constants'!CE$38:CE$40,$H20))</f>
        <v/>
      </c>
      <c r="CM20" s="26" t="str">
        <f>IF($C20="","",'Profile &amp; Baseline'!CM20/INDEX('Global Constants'!CF$38:CF$40,$H20))</f>
        <v/>
      </c>
      <c r="CN20" s="26" t="str">
        <f>IF($C20="","",'Profile &amp; Baseline'!CN20/INDEX('Global Constants'!CG$38:CG$40,$H20))</f>
        <v/>
      </c>
      <c r="CO20" s="26" t="str">
        <f>IF($C20="","",'Profile &amp; Baseline'!CO20/INDEX('Global Constants'!CH$38:CH$40,$H20))</f>
        <v/>
      </c>
      <c r="CP20" s="26" t="str">
        <f>IF($C20="","",'Profile &amp; Baseline'!CP20/INDEX('Global Constants'!CI$38:CI$40,$H20))</f>
        <v/>
      </c>
      <c r="CQ20" s="26" t="str">
        <f>IF($C20="","",'Profile &amp; Baseline'!CQ20/INDEX('Global Constants'!CJ$38:CJ$40,$H20))</f>
        <v/>
      </c>
      <c r="CR20" s="26" t="str">
        <f>IF($C20="","",'Profile &amp; Baseline'!CR20/INDEX('Global Constants'!CK$38:CK$40,$H20))</f>
        <v/>
      </c>
      <c r="CS20" s="26" t="str">
        <f>IF($C20="","",'Profile &amp; Baseline'!CS20/INDEX('Global Constants'!CL$38:CL$40,$H20))</f>
        <v/>
      </c>
      <c r="CT20" s="26" t="str">
        <f>IF($C20="","",'Profile &amp; Baseline'!CT20/INDEX('Global Constants'!CM$38:CM$40,$H20))</f>
        <v/>
      </c>
      <c r="CU20" s="26" t="str">
        <f>IF($C20="","",'Profile &amp; Baseline'!CU20/INDEX('Global Constants'!CN$38:CN$40,$H20))</f>
        <v/>
      </c>
      <c r="CV20" s="26" t="str">
        <f>IF($C20="","",'Profile &amp; Baseline'!CV20/INDEX('Global Constants'!CO$38:CO$40,$H20))</f>
        <v/>
      </c>
      <c r="CW20" s="26" t="str">
        <f>IF($C20="","",'Profile &amp; Baseline'!CW20/INDEX('Global Constants'!CP$38:CP$40,$H20))</f>
        <v/>
      </c>
      <c r="CX20" s="26" t="str">
        <f>IF($C20="","",'Profile &amp; Baseline'!CX20/INDEX('Global Constants'!CQ$38:CQ$40,$H20))</f>
        <v/>
      </c>
      <c r="CZ20" s="26">
        <f t="shared" ca="1" si="1"/>
        <v>0</v>
      </c>
      <c r="DA20" s="26">
        <f t="shared" si="2"/>
        <v>0</v>
      </c>
    </row>
    <row r="21" spans="3:105" x14ac:dyDescent="0.3">
      <c r="C21" s="4" t="str">
        <f>IF('Cost &amp; Risk Inputs'!C22="","",'Cost &amp; Risk Inputs'!C22)</f>
        <v/>
      </c>
      <c r="D21" s="4" t="str">
        <f>IF(C21="","",'Cost &amp; Risk Inputs'!H22)</f>
        <v/>
      </c>
      <c r="E21" s="4" t="str">
        <f>IF(C21="","",'Cost &amp; Risk Inputs'!I22)</f>
        <v/>
      </c>
      <c r="F21" s="4" t="str">
        <f>IF(C21="","",'Cost &amp; Risk Inputs'!G22)</f>
        <v/>
      </c>
      <c r="H21" s="18" t="str">
        <f t="shared" si="0"/>
        <v/>
      </c>
      <c r="M21" s="26" t="str">
        <f>IF($C21="","",'Profile &amp; Baseline'!M21/INDEX('Global Constants'!F$38:F$40,$H21))</f>
        <v/>
      </c>
      <c r="N21" s="26" t="str">
        <f>IF($C21="","",'Profile &amp; Baseline'!N21/INDEX('Global Constants'!G$38:G$40,$H21))</f>
        <v/>
      </c>
      <c r="O21" s="26" t="str">
        <f>IF($C21="","",'Profile &amp; Baseline'!O21/INDEX('Global Constants'!H$38:H$40,$H21))</f>
        <v/>
      </c>
      <c r="P21" s="26" t="str">
        <f>IF($C21="","",'Profile &amp; Baseline'!P21/INDEX('Global Constants'!I$38:I$40,$H21))</f>
        <v/>
      </c>
      <c r="Q21" s="26" t="str">
        <f>IF($C21="","",'Profile &amp; Baseline'!Q21/INDEX('Global Constants'!J$38:J$40,$H21))</f>
        <v/>
      </c>
      <c r="R21" s="26" t="str">
        <f>IF($C21="","",'Profile &amp; Baseline'!R21/INDEX('Global Constants'!K$38:K$40,$H21))</f>
        <v/>
      </c>
      <c r="S21" s="26" t="str">
        <f>IF($C21="","",'Profile &amp; Baseline'!S21/INDEX('Global Constants'!L$38:L$40,$H21))</f>
        <v/>
      </c>
      <c r="T21" s="26" t="str">
        <f>IF($C21="","",'Profile &amp; Baseline'!T21/INDEX('Global Constants'!M$38:M$40,$H21))</f>
        <v/>
      </c>
      <c r="U21" s="26" t="str">
        <f>IF($C21="","",'Profile &amp; Baseline'!U21/INDEX('Global Constants'!N$38:N$40,$H21))</f>
        <v/>
      </c>
      <c r="V21" s="26" t="str">
        <f>IF($C21="","",'Profile &amp; Baseline'!V21/INDEX('Global Constants'!O$38:O$40,$H21))</f>
        <v/>
      </c>
      <c r="W21" s="26" t="str">
        <f>IF($C21="","",'Profile &amp; Baseline'!W21/INDEX('Global Constants'!P$38:P$40,$H21))</f>
        <v/>
      </c>
      <c r="X21" s="26" t="str">
        <f>IF($C21="","",'Profile &amp; Baseline'!X21/INDEX('Global Constants'!Q$38:Q$40,$H21))</f>
        <v/>
      </c>
      <c r="Y21" s="26" t="str">
        <f>IF($C21="","",'Profile &amp; Baseline'!Y21/INDEX('Global Constants'!R$38:R$40,$H21))</f>
        <v/>
      </c>
      <c r="Z21" s="26" t="str">
        <f>IF($C21="","",'Profile &amp; Baseline'!Z21/INDEX('Global Constants'!S$38:S$40,$H21))</f>
        <v/>
      </c>
      <c r="AA21" s="26" t="str">
        <f>IF($C21="","",'Profile &amp; Baseline'!AA21/INDEX('Global Constants'!T$38:T$40,$H21))</f>
        <v/>
      </c>
      <c r="AB21" s="26" t="str">
        <f>IF($C21="","",'Profile &amp; Baseline'!AB21/INDEX('Global Constants'!U$38:U$40,$H21))</f>
        <v/>
      </c>
      <c r="AC21" s="26" t="str">
        <f>IF($C21="","",'Profile &amp; Baseline'!AC21/INDEX('Global Constants'!V$38:V$40,$H21))</f>
        <v/>
      </c>
      <c r="AD21" s="26" t="str">
        <f>IF($C21="","",'Profile &amp; Baseline'!AD21/INDEX('Global Constants'!W$38:W$40,$H21))</f>
        <v/>
      </c>
      <c r="AE21" s="26" t="str">
        <f>IF($C21="","",'Profile &amp; Baseline'!AE21/INDEX('Global Constants'!X$38:X$40,$H21))</f>
        <v/>
      </c>
      <c r="AF21" s="26" t="str">
        <f>IF($C21="","",'Profile &amp; Baseline'!AF21/INDEX('Global Constants'!Y$38:Y$40,$H21))</f>
        <v/>
      </c>
      <c r="AG21" s="26" t="str">
        <f>IF($C21="","",'Profile &amp; Baseline'!AG21/INDEX('Global Constants'!Z$38:Z$40,$H21))</f>
        <v/>
      </c>
      <c r="AH21" s="26" t="str">
        <f>IF($C21="","",'Profile &amp; Baseline'!AH21/INDEX('Global Constants'!AA$38:AA$40,$H21))</f>
        <v/>
      </c>
      <c r="AI21" s="26" t="str">
        <f>IF($C21="","",'Profile &amp; Baseline'!AI21/INDEX('Global Constants'!AB$38:AB$40,$H21))</f>
        <v/>
      </c>
      <c r="AJ21" s="26" t="str">
        <f>IF($C21="","",'Profile &amp; Baseline'!AJ21/INDEX('Global Constants'!AC$38:AC$40,$H21))</f>
        <v/>
      </c>
      <c r="AK21" s="26" t="str">
        <f>IF($C21="","",'Profile &amp; Baseline'!AK21/INDEX('Global Constants'!AD$38:AD$40,$H21))</f>
        <v/>
      </c>
      <c r="AL21" s="26" t="str">
        <f>IF($C21="","",'Profile &amp; Baseline'!AL21/INDEX('Global Constants'!AE$38:AE$40,$H21))</f>
        <v/>
      </c>
      <c r="AM21" s="26" t="str">
        <f>IF($C21="","",'Profile &amp; Baseline'!AM21/INDEX('Global Constants'!AF$38:AF$40,$H21))</f>
        <v/>
      </c>
      <c r="AN21" s="26" t="str">
        <f>IF($C21="","",'Profile &amp; Baseline'!AN21/INDEX('Global Constants'!AG$38:AG$40,$H21))</f>
        <v/>
      </c>
      <c r="AO21" s="26" t="str">
        <f>IF($C21="","",'Profile &amp; Baseline'!AO21/INDEX('Global Constants'!AH$38:AH$40,$H21))</f>
        <v/>
      </c>
      <c r="AP21" s="26" t="str">
        <f>IF($C21="","",'Profile &amp; Baseline'!AP21/INDEX('Global Constants'!AI$38:AI$40,$H21))</f>
        <v/>
      </c>
      <c r="AQ21" s="26" t="str">
        <f>IF($C21="","",'Profile &amp; Baseline'!AQ21/INDEX('Global Constants'!AJ$38:AJ$40,$H21))</f>
        <v/>
      </c>
      <c r="AR21" s="26" t="str">
        <f>IF($C21="","",'Profile &amp; Baseline'!AR21/INDEX('Global Constants'!AK$38:AK$40,$H21))</f>
        <v/>
      </c>
      <c r="AS21" s="26" t="str">
        <f>IF($C21="","",'Profile &amp; Baseline'!AS21/INDEX('Global Constants'!AL$38:AL$40,$H21))</f>
        <v/>
      </c>
      <c r="AT21" s="26" t="str">
        <f>IF($C21="","",'Profile &amp; Baseline'!AT21/INDEX('Global Constants'!AM$38:AM$40,$H21))</f>
        <v/>
      </c>
      <c r="AU21" s="26" t="str">
        <f>IF($C21="","",'Profile &amp; Baseline'!AU21/INDEX('Global Constants'!AN$38:AN$40,$H21))</f>
        <v/>
      </c>
      <c r="AV21" s="26" t="str">
        <f>IF($C21="","",'Profile &amp; Baseline'!AV21/INDEX('Global Constants'!AO$38:AO$40,$H21))</f>
        <v/>
      </c>
      <c r="AW21" s="26" t="str">
        <f>IF($C21="","",'Profile &amp; Baseline'!AW21/INDEX('Global Constants'!AP$38:AP$40,$H21))</f>
        <v/>
      </c>
      <c r="AX21" s="26" t="str">
        <f>IF($C21="","",'Profile &amp; Baseline'!AX21/INDEX('Global Constants'!AQ$38:AQ$40,$H21))</f>
        <v/>
      </c>
      <c r="AY21" s="26" t="str">
        <f>IF($C21="","",'Profile &amp; Baseline'!AY21/INDEX('Global Constants'!AR$38:AR$40,$H21))</f>
        <v/>
      </c>
      <c r="AZ21" s="26" t="str">
        <f>IF($C21="","",'Profile &amp; Baseline'!AZ21/INDEX('Global Constants'!AS$38:AS$40,$H21))</f>
        <v/>
      </c>
      <c r="BA21" s="26" t="str">
        <f>IF($C21="","",'Profile &amp; Baseline'!BA21/INDEX('Global Constants'!AT$38:AT$40,$H21))</f>
        <v/>
      </c>
      <c r="BB21" s="26" t="str">
        <f>IF($C21="","",'Profile &amp; Baseline'!BB21/INDEX('Global Constants'!AU$38:AU$40,$H21))</f>
        <v/>
      </c>
      <c r="BC21" s="26" t="str">
        <f>IF($C21="","",'Profile &amp; Baseline'!BC21/INDEX('Global Constants'!AV$38:AV$40,$H21))</f>
        <v/>
      </c>
      <c r="BD21" s="26" t="str">
        <f>IF($C21="","",'Profile &amp; Baseline'!BD21/INDEX('Global Constants'!AW$38:AW$40,$H21))</f>
        <v/>
      </c>
      <c r="BE21" s="26" t="str">
        <f>IF($C21="","",'Profile &amp; Baseline'!BE21/INDEX('Global Constants'!AX$38:AX$40,$H21))</f>
        <v/>
      </c>
      <c r="BF21" s="26" t="str">
        <f>IF($C21="","",'Profile &amp; Baseline'!BF21/INDEX('Global Constants'!AY$38:AY$40,$H21))</f>
        <v/>
      </c>
      <c r="BG21" s="26" t="str">
        <f>IF($C21="","",'Profile &amp; Baseline'!BG21/INDEX('Global Constants'!AZ$38:AZ$40,$H21))</f>
        <v/>
      </c>
      <c r="BH21" s="26" t="str">
        <f>IF($C21="","",'Profile &amp; Baseline'!BH21/INDEX('Global Constants'!BA$38:BA$40,$H21))</f>
        <v/>
      </c>
      <c r="BI21" s="26" t="str">
        <f>IF($C21="","",'Profile &amp; Baseline'!BI21/INDEX('Global Constants'!BB$38:BB$40,$H21))</f>
        <v/>
      </c>
      <c r="BJ21" s="26" t="str">
        <f>IF($C21="","",'Profile &amp; Baseline'!BJ21/INDEX('Global Constants'!BC$38:BC$40,$H21))</f>
        <v/>
      </c>
      <c r="BK21" s="26" t="str">
        <f>IF($C21="","",'Profile &amp; Baseline'!BK21/INDEX('Global Constants'!BD$38:BD$40,$H21))</f>
        <v/>
      </c>
      <c r="BL21" s="26" t="str">
        <f>IF($C21="","",'Profile &amp; Baseline'!BL21/INDEX('Global Constants'!BE$38:BE$40,$H21))</f>
        <v/>
      </c>
      <c r="BM21" s="26" t="str">
        <f>IF($C21="","",'Profile &amp; Baseline'!BM21/INDEX('Global Constants'!BF$38:BF$40,$H21))</f>
        <v/>
      </c>
      <c r="BN21" s="26" t="str">
        <f>IF($C21="","",'Profile &amp; Baseline'!BN21/INDEX('Global Constants'!BG$38:BG$40,$H21))</f>
        <v/>
      </c>
      <c r="BO21" s="26" t="str">
        <f>IF($C21="","",'Profile &amp; Baseline'!BO21/INDEX('Global Constants'!BH$38:BH$40,$H21))</f>
        <v/>
      </c>
      <c r="BP21" s="26" t="str">
        <f>IF($C21="","",'Profile &amp; Baseline'!BP21/INDEX('Global Constants'!BI$38:BI$40,$H21))</f>
        <v/>
      </c>
      <c r="BQ21" s="26" t="str">
        <f>IF($C21="","",'Profile &amp; Baseline'!BQ21/INDEX('Global Constants'!BJ$38:BJ$40,$H21))</f>
        <v/>
      </c>
      <c r="BR21" s="26" t="str">
        <f>IF($C21="","",'Profile &amp; Baseline'!BR21/INDEX('Global Constants'!BK$38:BK$40,$H21))</f>
        <v/>
      </c>
      <c r="BS21" s="26" t="str">
        <f>IF($C21="","",'Profile &amp; Baseline'!BS21/INDEX('Global Constants'!BL$38:BL$40,$H21))</f>
        <v/>
      </c>
      <c r="BT21" s="26" t="str">
        <f>IF($C21="","",'Profile &amp; Baseline'!BT21/INDEX('Global Constants'!BM$38:BM$40,$H21))</f>
        <v/>
      </c>
      <c r="BU21" s="26" t="str">
        <f>IF($C21="","",'Profile &amp; Baseline'!BU21/INDEX('Global Constants'!BN$38:BN$40,$H21))</f>
        <v/>
      </c>
      <c r="BV21" s="26" t="str">
        <f>IF($C21="","",'Profile &amp; Baseline'!BV21/INDEX('Global Constants'!BO$38:BO$40,$H21))</f>
        <v/>
      </c>
      <c r="BW21" s="26" t="str">
        <f>IF($C21="","",'Profile &amp; Baseline'!BW21/INDEX('Global Constants'!BP$38:BP$40,$H21))</f>
        <v/>
      </c>
      <c r="BX21" s="26" t="str">
        <f>IF($C21="","",'Profile &amp; Baseline'!BX21/INDEX('Global Constants'!BQ$38:BQ$40,$H21))</f>
        <v/>
      </c>
      <c r="BY21" s="26" t="str">
        <f>IF($C21="","",'Profile &amp; Baseline'!BY21/INDEX('Global Constants'!BR$38:BR$40,$H21))</f>
        <v/>
      </c>
      <c r="BZ21" s="26" t="str">
        <f>IF($C21="","",'Profile &amp; Baseline'!BZ21/INDEX('Global Constants'!BS$38:BS$40,$H21))</f>
        <v/>
      </c>
      <c r="CA21" s="26" t="str">
        <f>IF($C21="","",'Profile &amp; Baseline'!CA21/INDEX('Global Constants'!BT$38:BT$40,$H21))</f>
        <v/>
      </c>
      <c r="CB21" s="26" t="str">
        <f>IF($C21="","",'Profile &amp; Baseline'!CB21/INDEX('Global Constants'!BU$38:BU$40,$H21))</f>
        <v/>
      </c>
      <c r="CC21" s="26" t="str">
        <f>IF($C21="","",'Profile &amp; Baseline'!CC21/INDEX('Global Constants'!BV$38:BV$40,$H21))</f>
        <v/>
      </c>
      <c r="CD21" s="26" t="str">
        <f>IF($C21="","",'Profile &amp; Baseline'!CD21/INDEX('Global Constants'!BW$38:BW$40,$H21))</f>
        <v/>
      </c>
      <c r="CE21" s="26" t="str">
        <f>IF($C21="","",'Profile &amp; Baseline'!CE21/INDEX('Global Constants'!BX$38:BX$40,$H21))</f>
        <v/>
      </c>
      <c r="CF21" s="26" t="str">
        <f>IF($C21="","",'Profile &amp; Baseline'!CF21/INDEX('Global Constants'!BY$38:BY$40,$H21))</f>
        <v/>
      </c>
      <c r="CG21" s="26" t="str">
        <f>IF($C21="","",'Profile &amp; Baseline'!CG21/INDEX('Global Constants'!BZ$38:BZ$40,$H21))</f>
        <v/>
      </c>
      <c r="CH21" s="26" t="str">
        <f>IF($C21="","",'Profile &amp; Baseline'!CH21/INDEX('Global Constants'!CA$38:CA$40,$H21))</f>
        <v/>
      </c>
      <c r="CI21" s="26" t="str">
        <f>IF($C21="","",'Profile &amp; Baseline'!CI21/INDEX('Global Constants'!CB$38:CB$40,$H21))</f>
        <v/>
      </c>
      <c r="CJ21" s="26" t="str">
        <f>IF($C21="","",'Profile &amp; Baseline'!CJ21/INDEX('Global Constants'!CC$38:CC$40,$H21))</f>
        <v/>
      </c>
      <c r="CK21" s="26" t="str">
        <f>IF($C21="","",'Profile &amp; Baseline'!CK21/INDEX('Global Constants'!CD$38:CD$40,$H21))</f>
        <v/>
      </c>
      <c r="CL21" s="26" t="str">
        <f>IF($C21="","",'Profile &amp; Baseline'!CL21/INDEX('Global Constants'!CE$38:CE$40,$H21))</f>
        <v/>
      </c>
      <c r="CM21" s="26" t="str">
        <f>IF($C21="","",'Profile &amp; Baseline'!CM21/INDEX('Global Constants'!CF$38:CF$40,$H21))</f>
        <v/>
      </c>
      <c r="CN21" s="26" t="str">
        <f>IF($C21="","",'Profile &amp; Baseline'!CN21/INDEX('Global Constants'!CG$38:CG$40,$H21))</f>
        <v/>
      </c>
      <c r="CO21" s="26" t="str">
        <f>IF($C21="","",'Profile &amp; Baseline'!CO21/INDEX('Global Constants'!CH$38:CH$40,$H21))</f>
        <v/>
      </c>
      <c r="CP21" s="26" t="str">
        <f>IF($C21="","",'Profile &amp; Baseline'!CP21/INDEX('Global Constants'!CI$38:CI$40,$H21))</f>
        <v/>
      </c>
      <c r="CQ21" s="26" t="str">
        <f>IF($C21="","",'Profile &amp; Baseline'!CQ21/INDEX('Global Constants'!CJ$38:CJ$40,$H21))</f>
        <v/>
      </c>
      <c r="CR21" s="26" t="str">
        <f>IF($C21="","",'Profile &amp; Baseline'!CR21/INDEX('Global Constants'!CK$38:CK$40,$H21))</f>
        <v/>
      </c>
      <c r="CS21" s="26" t="str">
        <f>IF($C21="","",'Profile &amp; Baseline'!CS21/INDEX('Global Constants'!CL$38:CL$40,$H21))</f>
        <v/>
      </c>
      <c r="CT21" s="26" t="str">
        <f>IF($C21="","",'Profile &amp; Baseline'!CT21/INDEX('Global Constants'!CM$38:CM$40,$H21))</f>
        <v/>
      </c>
      <c r="CU21" s="26" t="str">
        <f>IF($C21="","",'Profile &amp; Baseline'!CU21/INDEX('Global Constants'!CN$38:CN$40,$H21))</f>
        <v/>
      </c>
      <c r="CV21" s="26" t="str">
        <f>IF($C21="","",'Profile &amp; Baseline'!CV21/INDEX('Global Constants'!CO$38:CO$40,$H21))</f>
        <v/>
      </c>
      <c r="CW21" s="26" t="str">
        <f>IF($C21="","",'Profile &amp; Baseline'!CW21/INDEX('Global Constants'!CP$38:CP$40,$H21))</f>
        <v/>
      </c>
      <c r="CX21" s="26" t="str">
        <f>IF($C21="","",'Profile &amp; Baseline'!CX21/INDEX('Global Constants'!CQ$38:CQ$40,$H21))</f>
        <v/>
      </c>
      <c r="CZ21" s="26">
        <f t="shared" ca="1" si="1"/>
        <v>0</v>
      </c>
      <c r="DA21" s="26">
        <f t="shared" si="2"/>
        <v>0</v>
      </c>
    </row>
    <row r="22" spans="3:105" x14ac:dyDescent="0.3">
      <c r="C22" s="4" t="str">
        <f>IF('Cost &amp; Risk Inputs'!C23="","",'Cost &amp; Risk Inputs'!C23)</f>
        <v/>
      </c>
      <c r="D22" s="4" t="str">
        <f>IF(C22="","",'Cost &amp; Risk Inputs'!H23)</f>
        <v/>
      </c>
      <c r="E22" s="4" t="str">
        <f>IF(C22="","",'Cost &amp; Risk Inputs'!I23)</f>
        <v/>
      </c>
      <c r="F22" s="4" t="str">
        <f>IF(C22="","",'Cost &amp; Risk Inputs'!G23)</f>
        <v/>
      </c>
      <c r="H22" s="18" t="str">
        <f t="shared" si="0"/>
        <v/>
      </c>
      <c r="M22" s="26" t="str">
        <f>IF($C22="","",'Profile &amp; Baseline'!M22/INDEX('Global Constants'!F$38:F$40,$H22))</f>
        <v/>
      </c>
      <c r="N22" s="26" t="str">
        <f>IF($C22="","",'Profile &amp; Baseline'!N22/INDEX('Global Constants'!G$38:G$40,$H22))</f>
        <v/>
      </c>
      <c r="O22" s="26" t="str">
        <f>IF($C22="","",'Profile &amp; Baseline'!O22/INDEX('Global Constants'!H$38:H$40,$H22))</f>
        <v/>
      </c>
      <c r="P22" s="26" t="str">
        <f>IF($C22="","",'Profile &amp; Baseline'!P22/INDEX('Global Constants'!I$38:I$40,$H22))</f>
        <v/>
      </c>
      <c r="Q22" s="26" t="str">
        <f>IF($C22="","",'Profile &amp; Baseline'!Q22/INDEX('Global Constants'!J$38:J$40,$H22))</f>
        <v/>
      </c>
      <c r="R22" s="26" t="str">
        <f>IF($C22="","",'Profile &amp; Baseline'!R22/INDEX('Global Constants'!K$38:K$40,$H22))</f>
        <v/>
      </c>
      <c r="S22" s="26" t="str">
        <f>IF($C22="","",'Profile &amp; Baseline'!S22/INDEX('Global Constants'!L$38:L$40,$H22))</f>
        <v/>
      </c>
      <c r="T22" s="26" t="str">
        <f>IF($C22="","",'Profile &amp; Baseline'!T22/INDEX('Global Constants'!M$38:M$40,$H22))</f>
        <v/>
      </c>
      <c r="U22" s="26" t="str">
        <f>IF($C22="","",'Profile &amp; Baseline'!U22/INDEX('Global Constants'!N$38:N$40,$H22))</f>
        <v/>
      </c>
      <c r="V22" s="26" t="str">
        <f>IF($C22="","",'Profile &amp; Baseline'!V22/INDEX('Global Constants'!O$38:O$40,$H22))</f>
        <v/>
      </c>
      <c r="W22" s="26" t="str">
        <f>IF($C22="","",'Profile &amp; Baseline'!W22/INDEX('Global Constants'!P$38:P$40,$H22))</f>
        <v/>
      </c>
      <c r="X22" s="26" t="str">
        <f>IF($C22="","",'Profile &amp; Baseline'!X22/INDEX('Global Constants'!Q$38:Q$40,$H22))</f>
        <v/>
      </c>
      <c r="Y22" s="26" t="str">
        <f>IF($C22="","",'Profile &amp; Baseline'!Y22/INDEX('Global Constants'!R$38:R$40,$H22))</f>
        <v/>
      </c>
      <c r="Z22" s="26" t="str">
        <f>IF($C22="","",'Profile &amp; Baseline'!Z22/INDEX('Global Constants'!S$38:S$40,$H22))</f>
        <v/>
      </c>
      <c r="AA22" s="26" t="str">
        <f>IF($C22="","",'Profile &amp; Baseline'!AA22/INDEX('Global Constants'!T$38:T$40,$H22))</f>
        <v/>
      </c>
      <c r="AB22" s="26" t="str">
        <f>IF($C22="","",'Profile &amp; Baseline'!AB22/INDEX('Global Constants'!U$38:U$40,$H22))</f>
        <v/>
      </c>
      <c r="AC22" s="26" t="str">
        <f>IF($C22="","",'Profile &amp; Baseline'!AC22/INDEX('Global Constants'!V$38:V$40,$H22))</f>
        <v/>
      </c>
      <c r="AD22" s="26" t="str">
        <f>IF($C22="","",'Profile &amp; Baseline'!AD22/INDEX('Global Constants'!W$38:W$40,$H22))</f>
        <v/>
      </c>
      <c r="AE22" s="26" t="str">
        <f>IF($C22="","",'Profile &amp; Baseline'!AE22/INDEX('Global Constants'!X$38:X$40,$H22))</f>
        <v/>
      </c>
      <c r="AF22" s="26" t="str">
        <f>IF($C22="","",'Profile &amp; Baseline'!AF22/INDEX('Global Constants'!Y$38:Y$40,$H22))</f>
        <v/>
      </c>
      <c r="AG22" s="26" t="str">
        <f>IF($C22="","",'Profile &amp; Baseline'!AG22/INDEX('Global Constants'!Z$38:Z$40,$H22))</f>
        <v/>
      </c>
      <c r="AH22" s="26" t="str">
        <f>IF($C22="","",'Profile &amp; Baseline'!AH22/INDEX('Global Constants'!AA$38:AA$40,$H22))</f>
        <v/>
      </c>
      <c r="AI22" s="26" t="str">
        <f>IF($C22="","",'Profile &amp; Baseline'!AI22/INDEX('Global Constants'!AB$38:AB$40,$H22))</f>
        <v/>
      </c>
      <c r="AJ22" s="26" t="str">
        <f>IF($C22="","",'Profile &amp; Baseline'!AJ22/INDEX('Global Constants'!AC$38:AC$40,$H22))</f>
        <v/>
      </c>
      <c r="AK22" s="26" t="str">
        <f>IF($C22="","",'Profile &amp; Baseline'!AK22/INDEX('Global Constants'!AD$38:AD$40,$H22))</f>
        <v/>
      </c>
      <c r="AL22" s="26" t="str">
        <f>IF($C22="","",'Profile &amp; Baseline'!AL22/INDEX('Global Constants'!AE$38:AE$40,$H22))</f>
        <v/>
      </c>
      <c r="AM22" s="26" t="str">
        <f>IF($C22="","",'Profile &amp; Baseline'!AM22/INDEX('Global Constants'!AF$38:AF$40,$H22))</f>
        <v/>
      </c>
      <c r="AN22" s="26" t="str">
        <f>IF($C22="","",'Profile &amp; Baseline'!AN22/INDEX('Global Constants'!AG$38:AG$40,$H22))</f>
        <v/>
      </c>
      <c r="AO22" s="26" t="str">
        <f>IF($C22="","",'Profile &amp; Baseline'!AO22/INDEX('Global Constants'!AH$38:AH$40,$H22))</f>
        <v/>
      </c>
      <c r="AP22" s="26" t="str">
        <f>IF($C22="","",'Profile &amp; Baseline'!AP22/INDEX('Global Constants'!AI$38:AI$40,$H22))</f>
        <v/>
      </c>
      <c r="AQ22" s="26" t="str">
        <f>IF($C22="","",'Profile &amp; Baseline'!AQ22/INDEX('Global Constants'!AJ$38:AJ$40,$H22))</f>
        <v/>
      </c>
      <c r="AR22" s="26" t="str">
        <f>IF($C22="","",'Profile &amp; Baseline'!AR22/INDEX('Global Constants'!AK$38:AK$40,$H22))</f>
        <v/>
      </c>
      <c r="AS22" s="26" t="str">
        <f>IF($C22="","",'Profile &amp; Baseline'!AS22/INDEX('Global Constants'!AL$38:AL$40,$H22))</f>
        <v/>
      </c>
      <c r="AT22" s="26" t="str">
        <f>IF($C22="","",'Profile &amp; Baseline'!AT22/INDEX('Global Constants'!AM$38:AM$40,$H22))</f>
        <v/>
      </c>
      <c r="AU22" s="26" t="str">
        <f>IF($C22="","",'Profile &amp; Baseline'!AU22/INDEX('Global Constants'!AN$38:AN$40,$H22))</f>
        <v/>
      </c>
      <c r="AV22" s="26" t="str">
        <f>IF($C22="","",'Profile &amp; Baseline'!AV22/INDEX('Global Constants'!AO$38:AO$40,$H22))</f>
        <v/>
      </c>
      <c r="AW22" s="26" t="str">
        <f>IF($C22="","",'Profile &amp; Baseline'!AW22/INDEX('Global Constants'!AP$38:AP$40,$H22))</f>
        <v/>
      </c>
      <c r="AX22" s="26" t="str">
        <f>IF($C22="","",'Profile &amp; Baseline'!AX22/INDEX('Global Constants'!AQ$38:AQ$40,$H22))</f>
        <v/>
      </c>
      <c r="AY22" s="26" t="str">
        <f>IF($C22="","",'Profile &amp; Baseline'!AY22/INDEX('Global Constants'!AR$38:AR$40,$H22))</f>
        <v/>
      </c>
      <c r="AZ22" s="26" t="str">
        <f>IF($C22="","",'Profile &amp; Baseline'!AZ22/INDEX('Global Constants'!AS$38:AS$40,$H22))</f>
        <v/>
      </c>
      <c r="BA22" s="26" t="str">
        <f>IF($C22="","",'Profile &amp; Baseline'!BA22/INDEX('Global Constants'!AT$38:AT$40,$H22))</f>
        <v/>
      </c>
      <c r="BB22" s="26" t="str">
        <f>IF($C22="","",'Profile &amp; Baseline'!BB22/INDEX('Global Constants'!AU$38:AU$40,$H22))</f>
        <v/>
      </c>
      <c r="BC22" s="26" t="str">
        <f>IF($C22="","",'Profile &amp; Baseline'!BC22/INDEX('Global Constants'!AV$38:AV$40,$H22))</f>
        <v/>
      </c>
      <c r="BD22" s="26" t="str">
        <f>IF($C22="","",'Profile &amp; Baseline'!BD22/INDEX('Global Constants'!AW$38:AW$40,$H22))</f>
        <v/>
      </c>
      <c r="BE22" s="26" t="str">
        <f>IF($C22="","",'Profile &amp; Baseline'!BE22/INDEX('Global Constants'!AX$38:AX$40,$H22))</f>
        <v/>
      </c>
      <c r="BF22" s="26" t="str">
        <f>IF($C22="","",'Profile &amp; Baseline'!BF22/INDEX('Global Constants'!AY$38:AY$40,$H22))</f>
        <v/>
      </c>
      <c r="BG22" s="26" t="str">
        <f>IF($C22="","",'Profile &amp; Baseline'!BG22/INDEX('Global Constants'!AZ$38:AZ$40,$H22))</f>
        <v/>
      </c>
      <c r="BH22" s="26" t="str">
        <f>IF($C22="","",'Profile &amp; Baseline'!BH22/INDEX('Global Constants'!BA$38:BA$40,$H22))</f>
        <v/>
      </c>
      <c r="BI22" s="26" t="str">
        <f>IF($C22="","",'Profile &amp; Baseline'!BI22/INDEX('Global Constants'!BB$38:BB$40,$H22))</f>
        <v/>
      </c>
      <c r="BJ22" s="26" t="str">
        <f>IF($C22="","",'Profile &amp; Baseline'!BJ22/INDEX('Global Constants'!BC$38:BC$40,$H22))</f>
        <v/>
      </c>
      <c r="BK22" s="26" t="str">
        <f>IF($C22="","",'Profile &amp; Baseline'!BK22/INDEX('Global Constants'!BD$38:BD$40,$H22))</f>
        <v/>
      </c>
      <c r="BL22" s="26" t="str">
        <f>IF($C22="","",'Profile &amp; Baseline'!BL22/INDEX('Global Constants'!BE$38:BE$40,$H22))</f>
        <v/>
      </c>
      <c r="BM22" s="26" t="str">
        <f>IF($C22="","",'Profile &amp; Baseline'!BM22/INDEX('Global Constants'!BF$38:BF$40,$H22))</f>
        <v/>
      </c>
      <c r="BN22" s="26" t="str">
        <f>IF($C22="","",'Profile &amp; Baseline'!BN22/INDEX('Global Constants'!BG$38:BG$40,$H22))</f>
        <v/>
      </c>
      <c r="BO22" s="26" t="str">
        <f>IF($C22="","",'Profile &amp; Baseline'!BO22/INDEX('Global Constants'!BH$38:BH$40,$H22))</f>
        <v/>
      </c>
      <c r="BP22" s="26" t="str">
        <f>IF($C22="","",'Profile &amp; Baseline'!BP22/INDEX('Global Constants'!BI$38:BI$40,$H22))</f>
        <v/>
      </c>
      <c r="BQ22" s="26" t="str">
        <f>IF($C22="","",'Profile &amp; Baseline'!BQ22/INDEX('Global Constants'!BJ$38:BJ$40,$H22))</f>
        <v/>
      </c>
      <c r="BR22" s="26" t="str">
        <f>IF($C22="","",'Profile &amp; Baseline'!BR22/INDEX('Global Constants'!BK$38:BK$40,$H22))</f>
        <v/>
      </c>
      <c r="BS22" s="26" t="str">
        <f>IF($C22="","",'Profile &amp; Baseline'!BS22/INDEX('Global Constants'!BL$38:BL$40,$H22))</f>
        <v/>
      </c>
      <c r="BT22" s="26" t="str">
        <f>IF($C22="","",'Profile &amp; Baseline'!BT22/INDEX('Global Constants'!BM$38:BM$40,$H22))</f>
        <v/>
      </c>
      <c r="BU22" s="26" t="str">
        <f>IF($C22="","",'Profile &amp; Baseline'!BU22/INDEX('Global Constants'!BN$38:BN$40,$H22))</f>
        <v/>
      </c>
      <c r="BV22" s="26" t="str">
        <f>IF($C22="","",'Profile &amp; Baseline'!BV22/INDEX('Global Constants'!BO$38:BO$40,$H22))</f>
        <v/>
      </c>
      <c r="BW22" s="26" t="str">
        <f>IF($C22="","",'Profile &amp; Baseline'!BW22/INDEX('Global Constants'!BP$38:BP$40,$H22))</f>
        <v/>
      </c>
      <c r="BX22" s="26" t="str">
        <f>IF($C22="","",'Profile &amp; Baseline'!BX22/INDEX('Global Constants'!BQ$38:BQ$40,$H22))</f>
        <v/>
      </c>
      <c r="BY22" s="26" t="str">
        <f>IF($C22="","",'Profile &amp; Baseline'!BY22/INDEX('Global Constants'!BR$38:BR$40,$H22))</f>
        <v/>
      </c>
      <c r="BZ22" s="26" t="str">
        <f>IF($C22="","",'Profile &amp; Baseline'!BZ22/INDEX('Global Constants'!BS$38:BS$40,$H22))</f>
        <v/>
      </c>
      <c r="CA22" s="26" t="str">
        <f>IF($C22="","",'Profile &amp; Baseline'!CA22/INDEX('Global Constants'!BT$38:BT$40,$H22))</f>
        <v/>
      </c>
      <c r="CB22" s="26" t="str">
        <f>IF($C22="","",'Profile &amp; Baseline'!CB22/INDEX('Global Constants'!BU$38:BU$40,$H22))</f>
        <v/>
      </c>
      <c r="CC22" s="26" t="str">
        <f>IF($C22="","",'Profile &amp; Baseline'!CC22/INDEX('Global Constants'!BV$38:BV$40,$H22))</f>
        <v/>
      </c>
      <c r="CD22" s="26" t="str">
        <f>IF($C22="","",'Profile &amp; Baseline'!CD22/INDEX('Global Constants'!BW$38:BW$40,$H22))</f>
        <v/>
      </c>
      <c r="CE22" s="26" t="str">
        <f>IF($C22="","",'Profile &amp; Baseline'!CE22/INDEX('Global Constants'!BX$38:BX$40,$H22))</f>
        <v/>
      </c>
      <c r="CF22" s="26" t="str">
        <f>IF($C22="","",'Profile &amp; Baseline'!CF22/INDEX('Global Constants'!BY$38:BY$40,$H22))</f>
        <v/>
      </c>
      <c r="CG22" s="26" t="str">
        <f>IF($C22="","",'Profile &amp; Baseline'!CG22/INDEX('Global Constants'!BZ$38:BZ$40,$H22))</f>
        <v/>
      </c>
      <c r="CH22" s="26" t="str">
        <f>IF($C22="","",'Profile &amp; Baseline'!CH22/INDEX('Global Constants'!CA$38:CA$40,$H22))</f>
        <v/>
      </c>
      <c r="CI22" s="26" t="str">
        <f>IF($C22="","",'Profile &amp; Baseline'!CI22/INDEX('Global Constants'!CB$38:CB$40,$H22))</f>
        <v/>
      </c>
      <c r="CJ22" s="26" t="str">
        <f>IF($C22="","",'Profile &amp; Baseline'!CJ22/INDEX('Global Constants'!CC$38:CC$40,$H22))</f>
        <v/>
      </c>
      <c r="CK22" s="26" t="str">
        <f>IF($C22="","",'Profile &amp; Baseline'!CK22/INDEX('Global Constants'!CD$38:CD$40,$H22))</f>
        <v/>
      </c>
      <c r="CL22" s="26" t="str">
        <f>IF($C22="","",'Profile &amp; Baseline'!CL22/INDEX('Global Constants'!CE$38:CE$40,$H22))</f>
        <v/>
      </c>
      <c r="CM22" s="26" t="str">
        <f>IF($C22="","",'Profile &amp; Baseline'!CM22/INDEX('Global Constants'!CF$38:CF$40,$H22))</f>
        <v/>
      </c>
      <c r="CN22" s="26" t="str">
        <f>IF($C22="","",'Profile &amp; Baseline'!CN22/INDEX('Global Constants'!CG$38:CG$40,$H22))</f>
        <v/>
      </c>
      <c r="CO22" s="26" t="str">
        <f>IF($C22="","",'Profile &amp; Baseline'!CO22/INDEX('Global Constants'!CH$38:CH$40,$H22))</f>
        <v/>
      </c>
      <c r="CP22" s="26" t="str">
        <f>IF($C22="","",'Profile &amp; Baseline'!CP22/INDEX('Global Constants'!CI$38:CI$40,$H22))</f>
        <v/>
      </c>
      <c r="CQ22" s="26" t="str">
        <f>IF($C22="","",'Profile &amp; Baseline'!CQ22/INDEX('Global Constants'!CJ$38:CJ$40,$H22))</f>
        <v/>
      </c>
      <c r="CR22" s="26" t="str">
        <f>IF($C22="","",'Profile &amp; Baseline'!CR22/INDEX('Global Constants'!CK$38:CK$40,$H22))</f>
        <v/>
      </c>
      <c r="CS22" s="26" t="str">
        <f>IF($C22="","",'Profile &amp; Baseline'!CS22/INDEX('Global Constants'!CL$38:CL$40,$H22))</f>
        <v/>
      </c>
      <c r="CT22" s="26" t="str">
        <f>IF($C22="","",'Profile &amp; Baseline'!CT22/INDEX('Global Constants'!CM$38:CM$40,$H22))</f>
        <v/>
      </c>
      <c r="CU22" s="26" t="str">
        <f>IF($C22="","",'Profile &amp; Baseline'!CU22/INDEX('Global Constants'!CN$38:CN$40,$H22))</f>
        <v/>
      </c>
      <c r="CV22" s="26" t="str">
        <f>IF($C22="","",'Profile &amp; Baseline'!CV22/INDEX('Global Constants'!CO$38:CO$40,$H22))</f>
        <v/>
      </c>
      <c r="CW22" s="26" t="str">
        <f>IF($C22="","",'Profile &amp; Baseline'!CW22/INDEX('Global Constants'!CP$38:CP$40,$H22))</f>
        <v/>
      </c>
      <c r="CX22" s="26" t="str">
        <f>IF($C22="","",'Profile &amp; Baseline'!CX22/INDEX('Global Constants'!CQ$38:CQ$40,$H22))</f>
        <v/>
      </c>
      <c r="CZ22" s="26">
        <f t="shared" ca="1" si="1"/>
        <v>0</v>
      </c>
      <c r="DA22" s="26">
        <f t="shared" si="2"/>
        <v>0</v>
      </c>
    </row>
    <row r="23" spans="3:105" x14ac:dyDescent="0.3">
      <c r="C23" s="4" t="str">
        <f>IF('Cost &amp; Risk Inputs'!C24="","",'Cost &amp; Risk Inputs'!C24)</f>
        <v/>
      </c>
      <c r="D23" s="4" t="str">
        <f>IF(C23="","",'Cost &amp; Risk Inputs'!H24)</f>
        <v/>
      </c>
      <c r="E23" s="4" t="str">
        <f>IF(C23="","",'Cost &amp; Risk Inputs'!I24)</f>
        <v/>
      </c>
      <c r="F23" s="4" t="str">
        <f>IF(C23="","",'Cost &amp; Risk Inputs'!G24)</f>
        <v/>
      </c>
      <c r="H23" s="18" t="str">
        <f t="shared" si="0"/>
        <v/>
      </c>
      <c r="M23" s="26" t="str">
        <f>IF($C23="","",'Profile &amp; Baseline'!M23/INDEX('Global Constants'!F$38:F$40,$H23))</f>
        <v/>
      </c>
      <c r="N23" s="26" t="str">
        <f>IF($C23="","",'Profile &amp; Baseline'!N23/INDEX('Global Constants'!G$38:G$40,$H23))</f>
        <v/>
      </c>
      <c r="O23" s="26" t="str">
        <f>IF($C23="","",'Profile &amp; Baseline'!O23/INDEX('Global Constants'!H$38:H$40,$H23))</f>
        <v/>
      </c>
      <c r="P23" s="26" t="str">
        <f>IF($C23="","",'Profile &amp; Baseline'!P23/INDEX('Global Constants'!I$38:I$40,$H23))</f>
        <v/>
      </c>
      <c r="Q23" s="26" t="str">
        <f>IF($C23="","",'Profile &amp; Baseline'!Q23/INDEX('Global Constants'!J$38:J$40,$H23))</f>
        <v/>
      </c>
      <c r="R23" s="26" t="str">
        <f>IF($C23="","",'Profile &amp; Baseline'!R23/INDEX('Global Constants'!K$38:K$40,$H23))</f>
        <v/>
      </c>
      <c r="S23" s="26" t="str">
        <f>IF($C23="","",'Profile &amp; Baseline'!S23/INDEX('Global Constants'!L$38:L$40,$H23))</f>
        <v/>
      </c>
      <c r="T23" s="26" t="str">
        <f>IF($C23="","",'Profile &amp; Baseline'!T23/INDEX('Global Constants'!M$38:M$40,$H23))</f>
        <v/>
      </c>
      <c r="U23" s="26" t="str">
        <f>IF($C23="","",'Profile &amp; Baseline'!U23/INDEX('Global Constants'!N$38:N$40,$H23))</f>
        <v/>
      </c>
      <c r="V23" s="26" t="str">
        <f>IF($C23="","",'Profile &amp; Baseline'!V23/INDEX('Global Constants'!O$38:O$40,$H23))</f>
        <v/>
      </c>
      <c r="W23" s="26" t="str">
        <f>IF($C23="","",'Profile &amp; Baseline'!W23/INDEX('Global Constants'!P$38:P$40,$H23))</f>
        <v/>
      </c>
      <c r="X23" s="26" t="str">
        <f>IF($C23="","",'Profile &amp; Baseline'!X23/INDEX('Global Constants'!Q$38:Q$40,$H23))</f>
        <v/>
      </c>
      <c r="Y23" s="26" t="str">
        <f>IF($C23="","",'Profile &amp; Baseline'!Y23/INDEX('Global Constants'!R$38:R$40,$H23))</f>
        <v/>
      </c>
      <c r="Z23" s="26" t="str">
        <f>IF($C23="","",'Profile &amp; Baseline'!Z23/INDEX('Global Constants'!S$38:S$40,$H23))</f>
        <v/>
      </c>
      <c r="AA23" s="26" t="str">
        <f>IF($C23="","",'Profile &amp; Baseline'!AA23/INDEX('Global Constants'!T$38:T$40,$H23))</f>
        <v/>
      </c>
      <c r="AB23" s="26" t="str">
        <f>IF($C23="","",'Profile &amp; Baseline'!AB23/INDEX('Global Constants'!U$38:U$40,$H23))</f>
        <v/>
      </c>
      <c r="AC23" s="26" t="str">
        <f>IF($C23="","",'Profile &amp; Baseline'!AC23/INDEX('Global Constants'!V$38:V$40,$H23))</f>
        <v/>
      </c>
      <c r="AD23" s="26" t="str">
        <f>IF($C23="","",'Profile &amp; Baseline'!AD23/INDEX('Global Constants'!W$38:W$40,$H23))</f>
        <v/>
      </c>
      <c r="AE23" s="26" t="str">
        <f>IF($C23="","",'Profile &amp; Baseline'!AE23/INDEX('Global Constants'!X$38:X$40,$H23))</f>
        <v/>
      </c>
      <c r="AF23" s="26" t="str">
        <f>IF($C23="","",'Profile &amp; Baseline'!AF23/INDEX('Global Constants'!Y$38:Y$40,$H23))</f>
        <v/>
      </c>
      <c r="AG23" s="26" t="str">
        <f>IF($C23="","",'Profile &amp; Baseline'!AG23/INDEX('Global Constants'!Z$38:Z$40,$H23))</f>
        <v/>
      </c>
      <c r="AH23" s="26" t="str">
        <f>IF($C23="","",'Profile &amp; Baseline'!AH23/INDEX('Global Constants'!AA$38:AA$40,$H23))</f>
        <v/>
      </c>
      <c r="AI23" s="26" t="str">
        <f>IF($C23="","",'Profile &amp; Baseline'!AI23/INDEX('Global Constants'!AB$38:AB$40,$H23))</f>
        <v/>
      </c>
      <c r="AJ23" s="26" t="str">
        <f>IF($C23="","",'Profile &amp; Baseline'!AJ23/INDEX('Global Constants'!AC$38:AC$40,$H23))</f>
        <v/>
      </c>
      <c r="AK23" s="26" t="str">
        <f>IF($C23="","",'Profile &amp; Baseline'!AK23/INDEX('Global Constants'!AD$38:AD$40,$H23))</f>
        <v/>
      </c>
      <c r="AL23" s="26" t="str">
        <f>IF($C23="","",'Profile &amp; Baseline'!AL23/INDEX('Global Constants'!AE$38:AE$40,$H23))</f>
        <v/>
      </c>
      <c r="AM23" s="26" t="str">
        <f>IF($C23="","",'Profile &amp; Baseline'!AM23/INDEX('Global Constants'!AF$38:AF$40,$H23))</f>
        <v/>
      </c>
      <c r="AN23" s="26" t="str">
        <f>IF($C23="","",'Profile &amp; Baseline'!AN23/INDEX('Global Constants'!AG$38:AG$40,$H23))</f>
        <v/>
      </c>
      <c r="AO23" s="26" t="str">
        <f>IF($C23="","",'Profile &amp; Baseline'!AO23/INDEX('Global Constants'!AH$38:AH$40,$H23))</f>
        <v/>
      </c>
      <c r="AP23" s="26" t="str">
        <f>IF($C23="","",'Profile &amp; Baseline'!AP23/INDEX('Global Constants'!AI$38:AI$40,$H23))</f>
        <v/>
      </c>
      <c r="AQ23" s="26" t="str">
        <f>IF($C23="","",'Profile &amp; Baseline'!AQ23/INDEX('Global Constants'!AJ$38:AJ$40,$H23))</f>
        <v/>
      </c>
      <c r="AR23" s="26" t="str">
        <f>IF($C23="","",'Profile &amp; Baseline'!AR23/INDEX('Global Constants'!AK$38:AK$40,$H23))</f>
        <v/>
      </c>
      <c r="AS23" s="26" t="str">
        <f>IF($C23="","",'Profile &amp; Baseline'!AS23/INDEX('Global Constants'!AL$38:AL$40,$H23))</f>
        <v/>
      </c>
      <c r="AT23" s="26" t="str">
        <f>IF($C23="","",'Profile &amp; Baseline'!AT23/INDEX('Global Constants'!AM$38:AM$40,$H23))</f>
        <v/>
      </c>
      <c r="AU23" s="26" t="str">
        <f>IF($C23="","",'Profile &amp; Baseline'!AU23/INDEX('Global Constants'!AN$38:AN$40,$H23))</f>
        <v/>
      </c>
      <c r="AV23" s="26" t="str">
        <f>IF($C23="","",'Profile &amp; Baseline'!AV23/INDEX('Global Constants'!AO$38:AO$40,$H23))</f>
        <v/>
      </c>
      <c r="AW23" s="26" t="str">
        <f>IF($C23="","",'Profile &amp; Baseline'!AW23/INDEX('Global Constants'!AP$38:AP$40,$H23))</f>
        <v/>
      </c>
      <c r="AX23" s="26" t="str">
        <f>IF($C23="","",'Profile &amp; Baseline'!AX23/INDEX('Global Constants'!AQ$38:AQ$40,$H23))</f>
        <v/>
      </c>
      <c r="AY23" s="26" t="str">
        <f>IF($C23="","",'Profile &amp; Baseline'!AY23/INDEX('Global Constants'!AR$38:AR$40,$H23))</f>
        <v/>
      </c>
      <c r="AZ23" s="26" t="str">
        <f>IF($C23="","",'Profile &amp; Baseline'!AZ23/INDEX('Global Constants'!AS$38:AS$40,$H23))</f>
        <v/>
      </c>
      <c r="BA23" s="26" t="str">
        <f>IF($C23="","",'Profile &amp; Baseline'!BA23/INDEX('Global Constants'!AT$38:AT$40,$H23))</f>
        <v/>
      </c>
      <c r="BB23" s="26" t="str">
        <f>IF($C23="","",'Profile &amp; Baseline'!BB23/INDEX('Global Constants'!AU$38:AU$40,$H23))</f>
        <v/>
      </c>
      <c r="BC23" s="26" t="str">
        <f>IF($C23="","",'Profile &amp; Baseline'!BC23/INDEX('Global Constants'!AV$38:AV$40,$H23))</f>
        <v/>
      </c>
      <c r="BD23" s="26" t="str">
        <f>IF($C23="","",'Profile &amp; Baseline'!BD23/INDEX('Global Constants'!AW$38:AW$40,$H23))</f>
        <v/>
      </c>
      <c r="BE23" s="26" t="str">
        <f>IF($C23="","",'Profile &amp; Baseline'!BE23/INDEX('Global Constants'!AX$38:AX$40,$H23))</f>
        <v/>
      </c>
      <c r="BF23" s="26" t="str">
        <f>IF($C23="","",'Profile &amp; Baseline'!BF23/INDEX('Global Constants'!AY$38:AY$40,$H23))</f>
        <v/>
      </c>
      <c r="BG23" s="26" t="str">
        <f>IF($C23="","",'Profile &amp; Baseline'!BG23/INDEX('Global Constants'!AZ$38:AZ$40,$H23))</f>
        <v/>
      </c>
      <c r="BH23" s="26" t="str">
        <f>IF($C23="","",'Profile &amp; Baseline'!BH23/INDEX('Global Constants'!BA$38:BA$40,$H23))</f>
        <v/>
      </c>
      <c r="BI23" s="26" t="str">
        <f>IF($C23="","",'Profile &amp; Baseline'!BI23/INDEX('Global Constants'!BB$38:BB$40,$H23))</f>
        <v/>
      </c>
      <c r="BJ23" s="26" t="str">
        <f>IF($C23="","",'Profile &amp; Baseline'!BJ23/INDEX('Global Constants'!BC$38:BC$40,$H23))</f>
        <v/>
      </c>
      <c r="BK23" s="26" t="str">
        <f>IF($C23="","",'Profile &amp; Baseline'!BK23/INDEX('Global Constants'!BD$38:BD$40,$H23))</f>
        <v/>
      </c>
      <c r="BL23" s="26" t="str">
        <f>IF($C23="","",'Profile &amp; Baseline'!BL23/INDEX('Global Constants'!BE$38:BE$40,$H23))</f>
        <v/>
      </c>
      <c r="BM23" s="26" t="str">
        <f>IF($C23="","",'Profile &amp; Baseline'!BM23/INDEX('Global Constants'!BF$38:BF$40,$H23))</f>
        <v/>
      </c>
      <c r="BN23" s="26" t="str">
        <f>IF($C23="","",'Profile &amp; Baseline'!BN23/INDEX('Global Constants'!BG$38:BG$40,$H23))</f>
        <v/>
      </c>
      <c r="BO23" s="26" t="str">
        <f>IF($C23="","",'Profile &amp; Baseline'!BO23/INDEX('Global Constants'!BH$38:BH$40,$H23))</f>
        <v/>
      </c>
      <c r="BP23" s="26" t="str">
        <f>IF($C23="","",'Profile &amp; Baseline'!BP23/INDEX('Global Constants'!BI$38:BI$40,$H23))</f>
        <v/>
      </c>
      <c r="BQ23" s="26" t="str">
        <f>IF($C23="","",'Profile &amp; Baseline'!BQ23/INDEX('Global Constants'!BJ$38:BJ$40,$H23))</f>
        <v/>
      </c>
      <c r="BR23" s="26" t="str">
        <f>IF($C23="","",'Profile &amp; Baseline'!BR23/INDEX('Global Constants'!BK$38:BK$40,$H23))</f>
        <v/>
      </c>
      <c r="BS23" s="26" t="str">
        <f>IF($C23="","",'Profile &amp; Baseline'!BS23/INDEX('Global Constants'!BL$38:BL$40,$H23))</f>
        <v/>
      </c>
      <c r="BT23" s="26" t="str">
        <f>IF($C23="","",'Profile &amp; Baseline'!BT23/INDEX('Global Constants'!BM$38:BM$40,$H23))</f>
        <v/>
      </c>
      <c r="BU23" s="26" t="str">
        <f>IF($C23="","",'Profile &amp; Baseline'!BU23/INDEX('Global Constants'!BN$38:BN$40,$H23))</f>
        <v/>
      </c>
      <c r="BV23" s="26" t="str">
        <f>IF($C23="","",'Profile &amp; Baseline'!BV23/INDEX('Global Constants'!BO$38:BO$40,$H23))</f>
        <v/>
      </c>
      <c r="BW23" s="26" t="str">
        <f>IF($C23="","",'Profile &amp; Baseline'!BW23/INDEX('Global Constants'!BP$38:BP$40,$H23))</f>
        <v/>
      </c>
      <c r="BX23" s="26" t="str">
        <f>IF($C23="","",'Profile &amp; Baseline'!BX23/INDEX('Global Constants'!BQ$38:BQ$40,$H23))</f>
        <v/>
      </c>
      <c r="BY23" s="26" t="str">
        <f>IF($C23="","",'Profile &amp; Baseline'!BY23/INDEX('Global Constants'!BR$38:BR$40,$H23))</f>
        <v/>
      </c>
      <c r="BZ23" s="26" t="str">
        <f>IF($C23="","",'Profile &amp; Baseline'!BZ23/INDEX('Global Constants'!BS$38:BS$40,$H23))</f>
        <v/>
      </c>
      <c r="CA23" s="26" t="str">
        <f>IF($C23="","",'Profile &amp; Baseline'!CA23/INDEX('Global Constants'!BT$38:BT$40,$H23))</f>
        <v/>
      </c>
      <c r="CB23" s="26" t="str">
        <f>IF($C23="","",'Profile &amp; Baseline'!CB23/INDEX('Global Constants'!BU$38:BU$40,$H23))</f>
        <v/>
      </c>
      <c r="CC23" s="26" t="str">
        <f>IF($C23="","",'Profile &amp; Baseline'!CC23/INDEX('Global Constants'!BV$38:BV$40,$H23))</f>
        <v/>
      </c>
      <c r="CD23" s="26" t="str">
        <f>IF($C23="","",'Profile &amp; Baseline'!CD23/INDEX('Global Constants'!BW$38:BW$40,$H23))</f>
        <v/>
      </c>
      <c r="CE23" s="26" t="str">
        <f>IF($C23="","",'Profile &amp; Baseline'!CE23/INDEX('Global Constants'!BX$38:BX$40,$H23))</f>
        <v/>
      </c>
      <c r="CF23" s="26" t="str">
        <f>IF($C23="","",'Profile &amp; Baseline'!CF23/INDEX('Global Constants'!BY$38:BY$40,$H23))</f>
        <v/>
      </c>
      <c r="CG23" s="26" t="str">
        <f>IF($C23="","",'Profile &amp; Baseline'!CG23/INDEX('Global Constants'!BZ$38:BZ$40,$H23))</f>
        <v/>
      </c>
      <c r="CH23" s="26" t="str">
        <f>IF($C23="","",'Profile &amp; Baseline'!CH23/INDEX('Global Constants'!CA$38:CA$40,$H23))</f>
        <v/>
      </c>
      <c r="CI23" s="26" t="str">
        <f>IF($C23="","",'Profile &amp; Baseline'!CI23/INDEX('Global Constants'!CB$38:CB$40,$H23))</f>
        <v/>
      </c>
      <c r="CJ23" s="26" t="str">
        <f>IF($C23="","",'Profile &amp; Baseline'!CJ23/INDEX('Global Constants'!CC$38:CC$40,$H23))</f>
        <v/>
      </c>
      <c r="CK23" s="26" t="str">
        <f>IF($C23="","",'Profile &amp; Baseline'!CK23/INDEX('Global Constants'!CD$38:CD$40,$H23))</f>
        <v/>
      </c>
      <c r="CL23" s="26" t="str">
        <f>IF($C23="","",'Profile &amp; Baseline'!CL23/INDEX('Global Constants'!CE$38:CE$40,$H23))</f>
        <v/>
      </c>
      <c r="CM23" s="26" t="str">
        <f>IF($C23="","",'Profile &amp; Baseline'!CM23/INDEX('Global Constants'!CF$38:CF$40,$H23))</f>
        <v/>
      </c>
      <c r="CN23" s="26" t="str">
        <f>IF($C23="","",'Profile &amp; Baseline'!CN23/INDEX('Global Constants'!CG$38:CG$40,$H23))</f>
        <v/>
      </c>
      <c r="CO23" s="26" t="str">
        <f>IF($C23="","",'Profile &amp; Baseline'!CO23/INDEX('Global Constants'!CH$38:CH$40,$H23))</f>
        <v/>
      </c>
      <c r="CP23" s="26" t="str">
        <f>IF($C23="","",'Profile &amp; Baseline'!CP23/INDEX('Global Constants'!CI$38:CI$40,$H23))</f>
        <v/>
      </c>
      <c r="CQ23" s="26" t="str">
        <f>IF($C23="","",'Profile &amp; Baseline'!CQ23/INDEX('Global Constants'!CJ$38:CJ$40,$H23))</f>
        <v/>
      </c>
      <c r="CR23" s="26" t="str">
        <f>IF($C23="","",'Profile &amp; Baseline'!CR23/INDEX('Global Constants'!CK$38:CK$40,$H23))</f>
        <v/>
      </c>
      <c r="CS23" s="26" t="str">
        <f>IF($C23="","",'Profile &amp; Baseline'!CS23/INDEX('Global Constants'!CL$38:CL$40,$H23))</f>
        <v/>
      </c>
      <c r="CT23" s="26" t="str">
        <f>IF($C23="","",'Profile &amp; Baseline'!CT23/INDEX('Global Constants'!CM$38:CM$40,$H23))</f>
        <v/>
      </c>
      <c r="CU23" s="26" t="str">
        <f>IF($C23="","",'Profile &amp; Baseline'!CU23/INDEX('Global Constants'!CN$38:CN$40,$H23))</f>
        <v/>
      </c>
      <c r="CV23" s="26" t="str">
        <f>IF($C23="","",'Profile &amp; Baseline'!CV23/INDEX('Global Constants'!CO$38:CO$40,$H23))</f>
        <v/>
      </c>
      <c r="CW23" s="26" t="str">
        <f>IF($C23="","",'Profile &amp; Baseline'!CW23/INDEX('Global Constants'!CP$38:CP$40,$H23))</f>
        <v/>
      </c>
      <c r="CX23" s="26" t="str">
        <f>IF($C23="","",'Profile &amp; Baseline'!CX23/INDEX('Global Constants'!CQ$38:CQ$40,$H23))</f>
        <v/>
      </c>
      <c r="CZ23" s="26">
        <f t="shared" ca="1" si="1"/>
        <v>0</v>
      </c>
      <c r="DA23" s="26">
        <f t="shared" si="2"/>
        <v>0</v>
      </c>
    </row>
    <row r="24" spans="3:105" x14ac:dyDescent="0.3">
      <c r="C24" s="4" t="str">
        <f>IF('Cost &amp; Risk Inputs'!C25="","",'Cost &amp; Risk Inputs'!C25)</f>
        <v/>
      </c>
      <c r="D24" s="4" t="str">
        <f>IF(C24="","",'Cost &amp; Risk Inputs'!H25)</f>
        <v/>
      </c>
      <c r="E24" s="4" t="str">
        <f>IF(C24="","",'Cost &amp; Risk Inputs'!I25)</f>
        <v/>
      </c>
      <c r="F24" s="4" t="str">
        <f>IF(C24="","",'Cost &amp; Risk Inputs'!G25)</f>
        <v/>
      </c>
      <c r="H24" s="18" t="str">
        <f t="shared" si="0"/>
        <v/>
      </c>
      <c r="M24" s="26" t="str">
        <f>IF($C24="","",'Profile &amp; Baseline'!M24/INDEX('Global Constants'!F$38:F$40,$H24))</f>
        <v/>
      </c>
      <c r="N24" s="26" t="str">
        <f>IF($C24="","",'Profile &amp; Baseline'!N24/INDEX('Global Constants'!G$38:G$40,$H24))</f>
        <v/>
      </c>
      <c r="O24" s="26" t="str">
        <f>IF($C24="","",'Profile &amp; Baseline'!O24/INDEX('Global Constants'!H$38:H$40,$H24))</f>
        <v/>
      </c>
      <c r="P24" s="26" t="str">
        <f>IF($C24="","",'Profile &amp; Baseline'!P24/INDEX('Global Constants'!I$38:I$40,$H24))</f>
        <v/>
      </c>
      <c r="Q24" s="26" t="str">
        <f>IF($C24="","",'Profile &amp; Baseline'!Q24/INDEX('Global Constants'!J$38:J$40,$H24))</f>
        <v/>
      </c>
      <c r="R24" s="26" t="str">
        <f>IF($C24="","",'Profile &amp; Baseline'!R24/INDEX('Global Constants'!K$38:K$40,$H24))</f>
        <v/>
      </c>
      <c r="S24" s="26" t="str">
        <f>IF($C24="","",'Profile &amp; Baseline'!S24/INDEX('Global Constants'!L$38:L$40,$H24))</f>
        <v/>
      </c>
      <c r="T24" s="26" t="str">
        <f>IF($C24="","",'Profile &amp; Baseline'!T24/INDEX('Global Constants'!M$38:M$40,$H24))</f>
        <v/>
      </c>
      <c r="U24" s="26" t="str">
        <f>IF($C24="","",'Profile &amp; Baseline'!U24/INDEX('Global Constants'!N$38:N$40,$H24))</f>
        <v/>
      </c>
      <c r="V24" s="26" t="str">
        <f>IF($C24="","",'Profile &amp; Baseline'!V24/INDEX('Global Constants'!O$38:O$40,$H24))</f>
        <v/>
      </c>
      <c r="W24" s="26" t="str">
        <f>IF($C24="","",'Profile &amp; Baseline'!W24/INDEX('Global Constants'!P$38:P$40,$H24))</f>
        <v/>
      </c>
      <c r="X24" s="26" t="str">
        <f>IF($C24="","",'Profile &amp; Baseline'!X24/INDEX('Global Constants'!Q$38:Q$40,$H24))</f>
        <v/>
      </c>
      <c r="Y24" s="26" t="str">
        <f>IF($C24="","",'Profile &amp; Baseline'!Y24/INDEX('Global Constants'!R$38:R$40,$H24))</f>
        <v/>
      </c>
      <c r="Z24" s="26" t="str">
        <f>IF($C24="","",'Profile &amp; Baseline'!Z24/INDEX('Global Constants'!S$38:S$40,$H24))</f>
        <v/>
      </c>
      <c r="AA24" s="26" t="str">
        <f>IF($C24="","",'Profile &amp; Baseline'!AA24/INDEX('Global Constants'!T$38:T$40,$H24))</f>
        <v/>
      </c>
      <c r="AB24" s="26" t="str">
        <f>IF($C24="","",'Profile &amp; Baseline'!AB24/INDEX('Global Constants'!U$38:U$40,$H24))</f>
        <v/>
      </c>
      <c r="AC24" s="26" t="str">
        <f>IF($C24="","",'Profile &amp; Baseline'!AC24/INDEX('Global Constants'!V$38:V$40,$H24))</f>
        <v/>
      </c>
      <c r="AD24" s="26" t="str">
        <f>IF($C24="","",'Profile &amp; Baseline'!AD24/INDEX('Global Constants'!W$38:W$40,$H24))</f>
        <v/>
      </c>
      <c r="AE24" s="26" t="str">
        <f>IF($C24="","",'Profile &amp; Baseline'!AE24/INDEX('Global Constants'!X$38:X$40,$H24))</f>
        <v/>
      </c>
      <c r="AF24" s="26" t="str">
        <f>IF($C24="","",'Profile &amp; Baseline'!AF24/INDEX('Global Constants'!Y$38:Y$40,$H24))</f>
        <v/>
      </c>
      <c r="AG24" s="26" t="str">
        <f>IF($C24="","",'Profile &amp; Baseline'!AG24/INDEX('Global Constants'!Z$38:Z$40,$H24))</f>
        <v/>
      </c>
      <c r="AH24" s="26" t="str">
        <f>IF($C24="","",'Profile &amp; Baseline'!AH24/INDEX('Global Constants'!AA$38:AA$40,$H24))</f>
        <v/>
      </c>
      <c r="AI24" s="26" t="str">
        <f>IF($C24="","",'Profile &amp; Baseline'!AI24/INDEX('Global Constants'!AB$38:AB$40,$H24))</f>
        <v/>
      </c>
      <c r="AJ24" s="26" t="str">
        <f>IF($C24="","",'Profile &amp; Baseline'!AJ24/INDEX('Global Constants'!AC$38:AC$40,$H24))</f>
        <v/>
      </c>
      <c r="AK24" s="26" t="str">
        <f>IF($C24="","",'Profile &amp; Baseline'!AK24/INDEX('Global Constants'!AD$38:AD$40,$H24))</f>
        <v/>
      </c>
      <c r="AL24" s="26" t="str">
        <f>IF($C24="","",'Profile &amp; Baseline'!AL24/INDEX('Global Constants'!AE$38:AE$40,$H24))</f>
        <v/>
      </c>
      <c r="AM24" s="26" t="str">
        <f>IF($C24="","",'Profile &amp; Baseline'!AM24/INDEX('Global Constants'!AF$38:AF$40,$H24))</f>
        <v/>
      </c>
      <c r="AN24" s="26" t="str">
        <f>IF($C24="","",'Profile &amp; Baseline'!AN24/INDEX('Global Constants'!AG$38:AG$40,$H24))</f>
        <v/>
      </c>
      <c r="AO24" s="26" t="str">
        <f>IF($C24="","",'Profile &amp; Baseline'!AO24/INDEX('Global Constants'!AH$38:AH$40,$H24))</f>
        <v/>
      </c>
      <c r="AP24" s="26" t="str">
        <f>IF($C24="","",'Profile &amp; Baseline'!AP24/INDEX('Global Constants'!AI$38:AI$40,$H24))</f>
        <v/>
      </c>
      <c r="AQ24" s="26" t="str">
        <f>IF($C24="","",'Profile &amp; Baseline'!AQ24/INDEX('Global Constants'!AJ$38:AJ$40,$H24))</f>
        <v/>
      </c>
      <c r="AR24" s="26" t="str">
        <f>IF($C24="","",'Profile &amp; Baseline'!AR24/INDEX('Global Constants'!AK$38:AK$40,$H24))</f>
        <v/>
      </c>
      <c r="AS24" s="26" t="str">
        <f>IF($C24="","",'Profile &amp; Baseline'!AS24/INDEX('Global Constants'!AL$38:AL$40,$H24))</f>
        <v/>
      </c>
      <c r="AT24" s="26" t="str">
        <f>IF($C24="","",'Profile &amp; Baseline'!AT24/INDEX('Global Constants'!AM$38:AM$40,$H24))</f>
        <v/>
      </c>
      <c r="AU24" s="26" t="str">
        <f>IF($C24="","",'Profile &amp; Baseline'!AU24/INDEX('Global Constants'!AN$38:AN$40,$H24))</f>
        <v/>
      </c>
      <c r="AV24" s="26" t="str">
        <f>IF($C24="","",'Profile &amp; Baseline'!AV24/INDEX('Global Constants'!AO$38:AO$40,$H24))</f>
        <v/>
      </c>
      <c r="AW24" s="26" t="str">
        <f>IF($C24="","",'Profile &amp; Baseline'!AW24/INDEX('Global Constants'!AP$38:AP$40,$H24))</f>
        <v/>
      </c>
      <c r="AX24" s="26" t="str">
        <f>IF($C24="","",'Profile &amp; Baseline'!AX24/INDEX('Global Constants'!AQ$38:AQ$40,$H24))</f>
        <v/>
      </c>
      <c r="AY24" s="26" t="str">
        <f>IF($C24="","",'Profile &amp; Baseline'!AY24/INDEX('Global Constants'!AR$38:AR$40,$H24))</f>
        <v/>
      </c>
      <c r="AZ24" s="26" t="str">
        <f>IF($C24="","",'Profile &amp; Baseline'!AZ24/INDEX('Global Constants'!AS$38:AS$40,$H24))</f>
        <v/>
      </c>
      <c r="BA24" s="26" t="str">
        <f>IF($C24="","",'Profile &amp; Baseline'!BA24/INDEX('Global Constants'!AT$38:AT$40,$H24))</f>
        <v/>
      </c>
      <c r="BB24" s="26" t="str">
        <f>IF($C24="","",'Profile &amp; Baseline'!BB24/INDEX('Global Constants'!AU$38:AU$40,$H24))</f>
        <v/>
      </c>
      <c r="BC24" s="26" t="str">
        <f>IF($C24="","",'Profile &amp; Baseline'!BC24/INDEX('Global Constants'!AV$38:AV$40,$H24))</f>
        <v/>
      </c>
      <c r="BD24" s="26" t="str">
        <f>IF($C24="","",'Profile &amp; Baseline'!BD24/INDEX('Global Constants'!AW$38:AW$40,$H24))</f>
        <v/>
      </c>
      <c r="BE24" s="26" t="str">
        <f>IF($C24="","",'Profile &amp; Baseline'!BE24/INDEX('Global Constants'!AX$38:AX$40,$H24))</f>
        <v/>
      </c>
      <c r="BF24" s="26" t="str">
        <f>IF($C24="","",'Profile &amp; Baseline'!BF24/INDEX('Global Constants'!AY$38:AY$40,$H24))</f>
        <v/>
      </c>
      <c r="BG24" s="26" t="str">
        <f>IF($C24="","",'Profile &amp; Baseline'!BG24/INDEX('Global Constants'!AZ$38:AZ$40,$H24))</f>
        <v/>
      </c>
      <c r="BH24" s="26" t="str">
        <f>IF($C24="","",'Profile &amp; Baseline'!BH24/INDEX('Global Constants'!BA$38:BA$40,$H24))</f>
        <v/>
      </c>
      <c r="BI24" s="26" t="str">
        <f>IF($C24="","",'Profile &amp; Baseline'!BI24/INDEX('Global Constants'!BB$38:BB$40,$H24))</f>
        <v/>
      </c>
      <c r="BJ24" s="26" t="str">
        <f>IF($C24="","",'Profile &amp; Baseline'!BJ24/INDEX('Global Constants'!BC$38:BC$40,$H24))</f>
        <v/>
      </c>
      <c r="BK24" s="26" t="str">
        <f>IF($C24="","",'Profile &amp; Baseline'!BK24/INDEX('Global Constants'!BD$38:BD$40,$H24))</f>
        <v/>
      </c>
      <c r="BL24" s="26" t="str">
        <f>IF($C24="","",'Profile &amp; Baseline'!BL24/INDEX('Global Constants'!BE$38:BE$40,$H24))</f>
        <v/>
      </c>
      <c r="BM24" s="26" t="str">
        <f>IF($C24="","",'Profile &amp; Baseline'!BM24/INDEX('Global Constants'!BF$38:BF$40,$H24))</f>
        <v/>
      </c>
      <c r="BN24" s="26" t="str">
        <f>IF($C24="","",'Profile &amp; Baseline'!BN24/INDEX('Global Constants'!BG$38:BG$40,$H24))</f>
        <v/>
      </c>
      <c r="BO24" s="26" t="str">
        <f>IF($C24="","",'Profile &amp; Baseline'!BO24/INDEX('Global Constants'!BH$38:BH$40,$H24))</f>
        <v/>
      </c>
      <c r="BP24" s="26" t="str">
        <f>IF($C24="","",'Profile &amp; Baseline'!BP24/INDEX('Global Constants'!BI$38:BI$40,$H24))</f>
        <v/>
      </c>
      <c r="BQ24" s="26" t="str">
        <f>IF($C24="","",'Profile &amp; Baseline'!BQ24/INDEX('Global Constants'!BJ$38:BJ$40,$H24))</f>
        <v/>
      </c>
      <c r="BR24" s="26" t="str">
        <f>IF($C24="","",'Profile &amp; Baseline'!BR24/INDEX('Global Constants'!BK$38:BK$40,$H24))</f>
        <v/>
      </c>
      <c r="BS24" s="26" t="str">
        <f>IF($C24="","",'Profile &amp; Baseline'!BS24/INDEX('Global Constants'!BL$38:BL$40,$H24))</f>
        <v/>
      </c>
      <c r="BT24" s="26" t="str">
        <f>IF($C24="","",'Profile &amp; Baseline'!BT24/INDEX('Global Constants'!BM$38:BM$40,$H24))</f>
        <v/>
      </c>
      <c r="BU24" s="26" t="str">
        <f>IF($C24="","",'Profile &amp; Baseline'!BU24/INDEX('Global Constants'!BN$38:BN$40,$H24))</f>
        <v/>
      </c>
      <c r="BV24" s="26" t="str">
        <f>IF($C24="","",'Profile &amp; Baseline'!BV24/INDEX('Global Constants'!BO$38:BO$40,$H24))</f>
        <v/>
      </c>
      <c r="BW24" s="26" t="str">
        <f>IF($C24="","",'Profile &amp; Baseline'!BW24/INDEX('Global Constants'!BP$38:BP$40,$H24))</f>
        <v/>
      </c>
      <c r="BX24" s="26" t="str">
        <f>IF($C24="","",'Profile &amp; Baseline'!BX24/INDEX('Global Constants'!BQ$38:BQ$40,$H24))</f>
        <v/>
      </c>
      <c r="BY24" s="26" t="str">
        <f>IF($C24="","",'Profile &amp; Baseline'!BY24/INDEX('Global Constants'!BR$38:BR$40,$H24))</f>
        <v/>
      </c>
      <c r="BZ24" s="26" t="str">
        <f>IF($C24="","",'Profile &amp; Baseline'!BZ24/INDEX('Global Constants'!BS$38:BS$40,$H24))</f>
        <v/>
      </c>
      <c r="CA24" s="26" t="str">
        <f>IF($C24="","",'Profile &amp; Baseline'!CA24/INDEX('Global Constants'!BT$38:BT$40,$H24))</f>
        <v/>
      </c>
      <c r="CB24" s="26" t="str">
        <f>IF($C24="","",'Profile &amp; Baseline'!CB24/INDEX('Global Constants'!BU$38:BU$40,$H24))</f>
        <v/>
      </c>
      <c r="CC24" s="26" t="str">
        <f>IF($C24="","",'Profile &amp; Baseline'!CC24/INDEX('Global Constants'!BV$38:BV$40,$H24))</f>
        <v/>
      </c>
      <c r="CD24" s="26" t="str">
        <f>IF($C24="","",'Profile &amp; Baseline'!CD24/INDEX('Global Constants'!BW$38:BW$40,$H24))</f>
        <v/>
      </c>
      <c r="CE24" s="26" t="str">
        <f>IF($C24="","",'Profile &amp; Baseline'!CE24/INDEX('Global Constants'!BX$38:BX$40,$H24))</f>
        <v/>
      </c>
      <c r="CF24" s="26" t="str">
        <f>IF($C24="","",'Profile &amp; Baseline'!CF24/INDEX('Global Constants'!BY$38:BY$40,$H24))</f>
        <v/>
      </c>
      <c r="CG24" s="26" t="str">
        <f>IF($C24="","",'Profile &amp; Baseline'!CG24/INDEX('Global Constants'!BZ$38:BZ$40,$H24))</f>
        <v/>
      </c>
      <c r="CH24" s="26" t="str">
        <f>IF($C24="","",'Profile &amp; Baseline'!CH24/INDEX('Global Constants'!CA$38:CA$40,$H24))</f>
        <v/>
      </c>
      <c r="CI24" s="26" t="str">
        <f>IF($C24="","",'Profile &amp; Baseline'!CI24/INDEX('Global Constants'!CB$38:CB$40,$H24))</f>
        <v/>
      </c>
      <c r="CJ24" s="26" t="str">
        <f>IF($C24="","",'Profile &amp; Baseline'!CJ24/INDEX('Global Constants'!CC$38:CC$40,$H24))</f>
        <v/>
      </c>
      <c r="CK24" s="26" t="str">
        <f>IF($C24="","",'Profile &amp; Baseline'!CK24/INDEX('Global Constants'!CD$38:CD$40,$H24))</f>
        <v/>
      </c>
      <c r="CL24" s="26" t="str">
        <f>IF($C24="","",'Profile &amp; Baseline'!CL24/INDEX('Global Constants'!CE$38:CE$40,$H24))</f>
        <v/>
      </c>
      <c r="CM24" s="26" t="str">
        <f>IF($C24="","",'Profile &amp; Baseline'!CM24/INDEX('Global Constants'!CF$38:CF$40,$H24))</f>
        <v/>
      </c>
      <c r="CN24" s="26" t="str">
        <f>IF($C24="","",'Profile &amp; Baseline'!CN24/INDEX('Global Constants'!CG$38:CG$40,$H24))</f>
        <v/>
      </c>
      <c r="CO24" s="26" t="str">
        <f>IF($C24="","",'Profile &amp; Baseline'!CO24/INDEX('Global Constants'!CH$38:CH$40,$H24))</f>
        <v/>
      </c>
      <c r="CP24" s="26" t="str">
        <f>IF($C24="","",'Profile &amp; Baseline'!CP24/INDEX('Global Constants'!CI$38:CI$40,$H24))</f>
        <v/>
      </c>
      <c r="CQ24" s="26" t="str">
        <f>IF($C24="","",'Profile &amp; Baseline'!CQ24/INDEX('Global Constants'!CJ$38:CJ$40,$H24))</f>
        <v/>
      </c>
      <c r="CR24" s="26" t="str">
        <f>IF($C24="","",'Profile &amp; Baseline'!CR24/INDEX('Global Constants'!CK$38:CK$40,$H24))</f>
        <v/>
      </c>
      <c r="CS24" s="26" t="str">
        <f>IF($C24="","",'Profile &amp; Baseline'!CS24/INDEX('Global Constants'!CL$38:CL$40,$H24))</f>
        <v/>
      </c>
      <c r="CT24" s="26" t="str">
        <f>IF($C24="","",'Profile &amp; Baseline'!CT24/INDEX('Global Constants'!CM$38:CM$40,$H24))</f>
        <v/>
      </c>
      <c r="CU24" s="26" t="str">
        <f>IF($C24="","",'Profile &amp; Baseline'!CU24/INDEX('Global Constants'!CN$38:CN$40,$H24))</f>
        <v/>
      </c>
      <c r="CV24" s="26" t="str">
        <f>IF($C24="","",'Profile &amp; Baseline'!CV24/INDEX('Global Constants'!CO$38:CO$40,$H24))</f>
        <v/>
      </c>
      <c r="CW24" s="26" t="str">
        <f>IF($C24="","",'Profile &amp; Baseline'!CW24/INDEX('Global Constants'!CP$38:CP$40,$H24))</f>
        <v/>
      </c>
      <c r="CX24" s="26" t="str">
        <f>IF($C24="","",'Profile &amp; Baseline'!CX24/INDEX('Global Constants'!CQ$38:CQ$40,$H24))</f>
        <v/>
      </c>
      <c r="CZ24" s="26">
        <f t="shared" ca="1" si="1"/>
        <v>0</v>
      </c>
      <c r="DA24" s="26">
        <f t="shared" si="2"/>
        <v>0</v>
      </c>
    </row>
    <row r="25" spans="3:105" x14ac:dyDescent="0.3">
      <c r="C25" s="4" t="str">
        <f>IF('Cost &amp; Risk Inputs'!C26="","",'Cost &amp; Risk Inputs'!C26)</f>
        <v/>
      </c>
      <c r="D25" s="4" t="str">
        <f>IF(C25="","",'Cost &amp; Risk Inputs'!H26)</f>
        <v/>
      </c>
      <c r="E25" s="4" t="str">
        <f>IF(C25="","",'Cost &amp; Risk Inputs'!I26)</f>
        <v/>
      </c>
      <c r="F25" s="4" t="str">
        <f>IF(C25="","",'Cost &amp; Risk Inputs'!G26)</f>
        <v/>
      </c>
      <c r="H25" s="18" t="str">
        <f t="shared" si="0"/>
        <v/>
      </c>
      <c r="M25" s="26" t="str">
        <f>IF($C25="","",'Profile &amp; Baseline'!M25/INDEX('Global Constants'!F$38:F$40,$H25))</f>
        <v/>
      </c>
      <c r="N25" s="26" t="str">
        <f>IF($C25="","",'Profile &amp; Baseline'!N25/INDEX('Global Constants'!G$38:G$40,$H25))</f>
        <v/>
      </c>
      <c r="O25" s="26" t="str">
        <f>IF($C25="","",'Profile &amp; Baseline'!O25/INDEX('Global Constants'!H$38:H$40,$H25))</f>
        <v/>
      </c>
      <c r="P25" s="26" t="str">
        <f>IF($C25="","",'Profile &amp; Baseline'!P25/INDEX('Global Constants'!I$38:I$40,$H25))</f>
        <v/>
      </c>
      <c r="Q25" s="26" t="str">
        <f>IF($C25="","",'Profile &amp; Baseline'!Q25/INDEX('Global Constants'!J$38:J$40,$H25))</f>
        <v/>
      </c>
      <c r="R25" s="26" t="str">
        <f>IF($C25="","",'Profile &amp; Baseline'!R25/INDEX('Global Constants'!K$38:K$40,$H25))</f>
        <v/>
      </c>
      <c r="S25" s="26" t="str">
        <f>IF($C25="","",'Profile &amp; Baseline'!S25/INDEX('Global Constants'!L$38:L$40,$H25))</f>
        <v/>
      </c>
      <c r="T25" s="26" t="str">
        <f>IF($C25="","",'Profile &amp; Baseline'!T25/INDEX('Global Constants'!M$38:M$40,$H25))</f>
        <v/>
      </c>
      <c r="U25" s="26" t="str">
        <f>IF($C25="","",'Profile &amp; Baseline'!U25/INDEX('Global Constants'!N$38:N$40,$H25))</f>
        <v/>
      </c>
      <c r="V25" s="26" t="str">
        <f>IF($C25="","",'Profile &amp; Baseline'!V25/INDEX('Global Constants'!O$38:O$40,$H25))</f>
        <v/>
      </c>
      <c r="W25" s="26" t="str">
        <f>IF($C25="","",'Profile &amp; Baseline'!W25/INDEX('Global Constants'!P$38:P$40,$H25))</f>
        <v/>
      </c>
      <c r="X25" s="26" t="str">
        <f>IF($C25="","",'Profile &amp; Baseline'!X25/INDEX('Global Constants'!Q$38:Q$40,$H25))</f>
        <v/>
      </c>
      <c r="Y25" s="26" t="str">
        <f>IF($C25="","",'Profile &amp; Baseline'!Y25/INDEX('Global Constants'!R$38:R$40,$H25))</f>
        <v/>
      </c>
      <c r="Z25" s="26" t="str">
        <f>IF($C25="","",'Profile &amp; Baseline'!Z25/INDEX('Global Constants'!S$38:S$40,$H25))</f>
        <v/>
      </c>
      <c r="AA25" s="26" t="str">
        <f>IF($C25="","",'Profile &amp; Baseline'!AA25/INDEX('Global Constants'!T$38:T$40,$H25))</f>
        <v/>
      </c>
      <c r="AB25" s="26" t="str">
        <f>IF($C25="","",'Profile &amp; Baseline'!AB25/INDEX('Global Constants'!U$38:U$40,$H25))</f>
        <v/>
      </c>
      <c r="AC25" s="26" t="str">
        <f>IF($C25="","",'Profile &amp; Baseline'!AC25/INDEX('Global Constants'!V$38:V$40,$H25))</f>
        <v/>
      </c>
      <c r="AD25" s="26" t="str">
        <f>IF($C25="","",'Profile &amp; Baseline'!AD25/INDEX('Global Constants'!W$38:W$40,$H25))</f>
        <v/>
      </c>
      <c r="AE25" s="26" t="str">
        <f>IF($C25="","",'Profile &amp; Baseline'!AE25/INDEX('Global Constants'!X$38:X$40,$H25))</f>
        <v/>
      </c>
      <c r="AF25" s="26" t="str">
        <f>IF($C25="","",'Profile &amp; Baseline'!AF25/INDEX('Global Constants'!Y$38:Y$40,$H25))</f>
        <v/>
      </c>
      <c r="AG25" s="26" t="str">
        <f>IF($C25="","",'Profile &amp; Baseline'!AG25/INDEX('Global Constants'!Z$38:Z$40,$H25))</f>
        <v/>
      </c>
      <c r="AH25" s="26" t="str">
        <f>IF($C25="","",'Profile &amp; Baseline'!AH25/INDEX('Global Constants'!AA$38:AA$40,$H25))</f>
        <v/>
      </c>
      <c r="AI25" s="26" t="str">
        <f>IF($C25="","",'Profile &amp; Baseline'!AI25/INDEX('Global Constants'!AB$38:AB$40,$H25))</f>
        <v/>
      </c>
      <c r="AJ25" s="26" t="str">
        <f>IF($C25="","",'Profile &amp; Baseline'!AJ25/INDEX('Global Constants'!AC$38:AC$40,$H25))</f>
        <v/>
      </c>
      <c r="AK25" s="26" t="str">
        <f>IF($C25="","",'Profile &amp; Baseline'!AK25/INDEX('Global Constants'!AD$38:AD$40,$H25))</f>
        <v/>
      </c>
      <c r="AL25" s="26" t="str">
        <f>IF($C25="","",'Profile &amp; Baseline'!AL25/INDEX('Global Constants'!AE$38:AE$40,$H25))</f>
        <v/>
      </c>
      <c r="AM25" s="26" t="str">
        <f>IF($C25="","",'Profile &amp; Baseline'!AM25/INDEX('Global Constants'!AF$38:AF$40,$H25))</f>
        <v/>
      </c>
      <c r="AN25" s="26" t="str">
        <f>IF($C25="","",'Profile &amp; Baseline'!AN25/INDEX('Global Constants'!AG$38:AG$40,$H25))</f>
        <v/>
      </c>
      <c r="AO25" s="26" t="str">
        <f>IF($C25="","",'Profile &amp; Baseline'!AO25/INDEX('Global Constants'!AH$38:AH$40,$H25))</f>
        <v/>
      </c>
      <c r="AP25" s="26" t="str">
        <f>IF($C25="","",'Profile &amp; Baseline'!AP25/INDEX('Global Constants'!AI$38:AI$40,$H25))</f>
        <v/>
      </c>
      <c r="AQ25" s="26" t="str">
        <f>IF($C25="","",'Profile &amp; Baseline'!AQ25/INDEX('Global Constants'!AJ$38:AJ$40,$H25))</f>
        <v/>
      </c>
      <c r="AR25" s="26" t="str">
        <f>IF($C25="","",'Profile &amp; Baseline'!AR25/INDEX('Global Constants'!AK$38:AK$40,$H25))</f>
        <v/>
      </c>
      <c r="AS25" s="26" t="str">
        <f>IF($C25="","",'Profile &amp; Baseline'!AS25/INDEX('Global Constants'!AL$38:AL$40,$H25))</f>
        <v/>
      </c>
      <c r="AT25" s="26" t="str">
        <f>IF($C25="","",'Profile &amp; Baseline'!AT25/INDEX('Global Constants'!AM$38:AM$40,$H25))</f>
        <v/>
      </c>
      <c r="AU25" s="26" t="str">
        <f>IF($C25="","",'Profile &amp; Baseline'!AU25/INDEX('Global Constants'!AN$38:AN$40,$H25))</f>
        <v/>
      </c>
      <c r="AV25" s="26" t="str">
        <f>IF($C25="","",'Profile &amp; Baseline'!AV25/INDEX('Global Constants'!AO$38:AO$40,$H25))</f>
        <v/>
      </c>
      <c r="AW25" s="26" t="str">
        <f>IF($C25="","",'Profile &amp; Baseline'!AW25/INDEX('Global Constants'!AP$38:AP$40,$H25))</f>
        <v/>
      </c>
      <c r="AX25" s="26" t="str">
        <f>IF($C25="","",'Profile &amp; Baseline'!AX25/INDEX('Global Constants'!AQ$38:AQ$40,$H25))</f>
        <v/>
      </c>
      <c r="AY25" s="26" t="str">
        <f>IF($C25="","",'Profile &amp; Baseline'!AY25/INDEX('Global Constants'!AR$38:AR$40,$H25))</f>
        <v/>
      </c>
      <c r="AZ25" s="26" t="str">
        <f>IF($C25="","",'Profile &amp; Baseline'!AZ25/INDEX('Global Constants'!AS$38:AS$40,$H25))</f>
        <v/>
      </c>
      <c r="BA25" s="26" t="str">
        <f>IF($C25="","",'Profile &amp; Baseline'!BA25/INDEX('Global Constants'!AT$38:AT$40,$H25))</f>
        <v/>
      </c>
      <c r="BB25" s="26" t="str">
        <f>IF($C25="","",'Profile &amp; Baseline'!BB25/INDEX('Global Constants'!AU$38:AU$40,$H25))</f>
        <v/>
      </c>
      <c r="BC25" s="26" t="str">
        <f>IF($C25="","",'Profile &amp; Baseline'!BC25/INDEX('Global Constants'!AV$38:AV$40,$H25))</f>
        <v/>
      </c>
      <c r="BD25" s="26" t="str">
        <f>IF($C25="","",'Profile &amp; Baseline'!BD25/INDEX('Global Constants'!AW$38:AW$40,$H25))</f>
        <v/>
      </c>
      <c r="BE25" s="26" t="str">
        <f>IF($C25="","",'Profile &amp; Baseline'!BE25/INDEX('Global Constants'!AX$38:AX$40,$H25))</f>
        <v/>
      </c>
      <c r="BF25" s="26" t="str">
        <f>IF($C25="","",'Profile &amp; Baseline'!BF25/INDEX('Global Constants'!AY$38:AY$40,$H25))</f>
        <v/>
      </c>
      <c r="BG25" s="26" t="str">
        <f>IF($C25="","",'Profile &amp; Baseline'!BG25/INDEX('Global Constants'!AZ$38:AZ$40,$H25))</f>
        <v/>
      </c>
      <c r="BH25" s="26" t="str">
        <f>IF($C25="","",'Profile &amp; Baseline'!BH25/INDEX('Global Constants'!BA$38:BA$40,$H25))</f>
        <v/>
      </c>
      <c r="BI25" s="26" t="str">
        <f>IF($C25="","",'Profile &amp; Baseline'!BI25/INDEX('Global Constants'!BB$38:BB$40,$H25))</f>
        <v/>
      </c>
      <c r="BJ25" s="26" t="str">
        <f>IF($C25="","",'Profile &amp; Baseline'!BJ25/INDEX('Global Constants'!BC$38:BC$40,$H25))</f>
        <v/>
      </c>
      <c r="BK25" s="26" t="str">
        <f>IF($C25="","",'Profile &amp; Baseline'!BK25/INDEX('Global Constants'!BD$38:BD$40,$H25))</f>
        <v/>
      </c>
      <c r="BL25" s="26" t="str">
        <f>IF($C25="","",'Profile &amp; Baseline'!BL25/INDEX('Global Constants'!BE$38:BE$40,$H25))</f>
        <v/>
      </c>
      <c r="BM25" s="26" t="str">
        <f>IF($C25="","",'Profile &amp; Baseline'!BM25/INDEX('Global Constants'!BF$38:BF$40,$H25))</f>
        <v/>
      </c>
      <c r="BN25" s="26" t="str">
        <f>IF($C25="","",'Profile &amp; Baseline'!BN25/INDEX('Global Constants'!BG$38:BG$40,$H25))</f>
        <v/>
      </c>
      <c r="BO25" s="26" t="str">
        <f>IF($C25="","",'Profile &amp; Baseline'!BO25/INDEX('Global Constants'!BH$38:BH$40,$H25))</f>
        <v/>
      </c>
      <c r="BP25" s="26" t="str">
        <f>IF($C25="","",'Profile &amp; Baseline'!BP25/INDEX('Global Constants'!BI$38:BI$40,$H25))</f>
        <v/>
      </c>
      <c r="BQ25" s="26" t="str">
        <f>IF($C25="","",'Profile &amp; Baseline'!BQ25/INDEX('Global Constants'!BJ$38:BJ$40,$H25))</f>
        <v/>
      </c>
      <c r="BR25" s="26" t="str">
        <f>IF($C25="","",'Profile &amp; Baseline'!BR25/INDEX('Global Constants'!BK$38:BK$40,$H25))</f>
        <v/>
      </c>
      <c r="BS25" s="26" t="str">
        <f>IF($C25="","",'Profile &amp; Baseline'!BS25/INDEX('Global Constants'!BL$38:BL$40,$H25))</f>
        <v/>
      </c>
      <c r="BT25" s="26" t="str">
        <f>IF($C25="","",'Profile &amp; Baseline'!BT25/INDEX('Global Constants'!BM$38:BM$40,$H25))</f>
        <v/>
      </c>
      <c r="BU25" s="26" t="str">
        <f>IF($C25="","",'Profile &amp; Baseline'!BU25/INDEX('Global Constants'!BN$38:BN$40,$H25))</f>
        <v/>
      </c>
      <c r="BV25" s="26" t="str">
        <f>IF($C25="","",'Profile &amp; Baseline'!BV25/INDEX('Global Constants'!BO$38:BO$40,$H25))</f>
        <v/>
      </c>
      <c r="BW25" s="26" t="str">
        <f>IF($C25="","",'Profile &amp; Baseline'!BW25/INDEX('Global Constants'!BP$38:BP$40,$H25))</f>
        <v/>
      </c>
      <c r="BX25" s="26" t="str">
        <f>IF($C25="","",'Profile &amp; Baseline'!BX25/INDEX('Global Constants'!BQ$38:BQ$40,$H25))</f>
        <v/>
      </c>
      <c r="BY25" s="26" t="str">
        <f>IF($C25="","",'Profile &amp; Baseline'!BY25/INDEX('Global Constants'!BR$38:BR$40,$H25))</f>
        <v/>
      </c>
      <c r="BZ25" s="26" t="str">
        <f>IF($C25="","",'Profile &amp; Baseline'!BZ25/INDEX('Global Constants'!BS$38:BS$40,$H25))</f>
        <v/>
      </c>
      <c r="CA25" s="26" t="str">
        <f>IF($C25="","",'Profile &amp; Baseline'!CA25/INDEX('Global Constants'!BT$38:BT$40,$H25))</f>
        <v/>
      </c>
      <c r="CB25" s="26" t="str">
        <f>IF($C25="","",'Profile &amp; Baseline'!CB25/INDEX('Global Constants'!BU$38:BU$40,$H25))</f>
        <v/>
      </c>
      <c r="CC25" s="26" t="str">
        <f>IF($C25="","",'Profile &amp; Baseline'!CC25/INDEX('Global Constants'!BV$38:BV$40,$H25))</f>
        <v/>
      </c>
      <c r="CD25" s="26" t="str">
        <f>IF($C25="","",'Profile &amp; Baseline'!CD25/INDEX('Global Constants'!BW$38:BW$40,$H25))</f>
        <v/>
      </c>
      <c r="CE25" s="26" t="str">
        <f>IF($C25="","",'Profile &amp; Baseline'!CE25/INDEX('Global Constants'!BX$38:BX$40,$H25))</f>
        <v/>
      </c>
      <c r="CF25" s="26" t="str">
        <f>IF($C25="","",'Profile &amp; Baseline'!CF25/INDEX('Global Constants'!BY$38:BY$40,$H25))</f>
        <v/>
      </c>
      <c r="CG25" s="26" t="str">
        <f>IF($C25="","",'Profile &amp; Baseline'!CG25/INDEX('Global Constants'!BZ$38:BZ$40,$H25))</f>
        <v/>
      </c>
      <c r="CH25" s="26" t="str">
        <f>IF($C25="","",'Profile &amp; Baseline'!CH25/INDEX('Global Constants'!CA$38:CA$40,$H25))</f>
        <v/>
      </c>
      <c r="CI25" s="26" t="str">
        <f>IF($C25="","",'Profile &amp; Baseline'!CI25/INDEX('Global Constants'!CB$38:CB$40,$H25))</f>
        <v/>
      </c>
      <c r="CJ25" s="26" t="str">
        <f>IF($C25="","",'Profile &amp; Baseline'!CJ25/INDEX('Global Constants'!CC$38:CC$40,$H25))</f>
        <v/>
      </c>
      <c r="CK25" s="26" t="str">
        <f>IF($C25="","",'Profile &amp; Baseline'!CK25/INDEX('Global Constants'!CD$38:CD$40,$H25))</f>
        <v/>
      </c>
      <c r="CL25" s="26" t="str">
        <f>IF($C25="","",'Profile &amp; Baseline'!CL25/INDEX('Global Constants'!CE$38:CE$40,$H25))</f>
        <v/>
      </c>
      <c r="CM25" s="26" t="str">
        <f>IF($C25="","",'Profile &amp; Baseline'!CM25/INDEX('Global Constants'!CF$38:CF$40,$H25))</f>
        <v/>
      </c>
      <c r="CN25" s="26" t="str">
        <f>IF($C25="","",'Profile &amp; Baseline'!CN25/INDEX('Global Constants'!CG$38:CG$40,$H25))</f>
        <v/>
      </c>
      <c r="CO25" s="26" t="str">
        <f>IF($C25="","",'Profile &amp; Baseline'!CO25/INDEX('Global Constants'!CH$38:CH$40,$H25))</f>
        <v/>
      </c>
      <c r="CP25" s="26" t="str">
        <f>IF($C25="","",'Profile &amp; Baseline'!CP25/INDEX('Global Constants'!CI$38:CI$40,$H25))</f>
        <v/>
      </c>
      <c r="CQ25" s="26" t="str">
        <f>IF($C25="","",'Profile &amp; Baseline'!CQ25/INDEX('Global Constants'!CJ$38:CJ$40,$H25))</f>
        <v/>
      </c>
      <c r="CR25" s="26" t="str">
        <f>IF($C25="","",'Profile &amp; Baseline'!CR25/INDEX('Global Constants'!CK$38:CK$40,$H25))</f>
        <v/>
      </c>
      <c r="CS25" s="26" t="str">
        <f>IF($C25="","",'Profile &amp; Baseline'!CS25/INDEX('Global Constants'!CL$38:CL$40,$H25))</f>
        <v/>
      </c>
      <c r="CT25" s="26" t="str">
        <f>IF($C25="","",'Profile &amp; Baseline'!CT25/INDEX('Global Constants'!CM$38:CM$40,$H25))</f>
        <v/>
      </c>
      <c r="CU25" s="26" t="str">
        <f>IF($C25="","",'Profile &amp; Baseline'!CU25/INDEX('Global Constants'!CN$38:CN$40,$H25))</f>
        <v/>
      </c>
      <c r="CV25" s="26" t="str">
        <f>IF($C25="","",'Profile &amp; Baseline'!CV25/INDEX('Global Constants'!CO$38:CO$40,$H25))</f>
        <v/>
      </c>
      <c r="CW25" s="26" t="str">
        <f>IF($C25="","",'Profile &amp; Baseline'!CW25/INDEX('Global Constants'!CP$38:CP$40,$H25))</f>
        <v/>
      </c>
      <c r="CX25" s="26" t="str">
        <f>IF($C25="","",'Profile &amp; Baseline'!CX25/INDEX('Global Constants'!CQ$38:CQ$40,$H25))</f>
        <v/>
      </c>
      <c r="CZ25" s="26">
        <f t="shared" ca="1" si="1"/>
        <v>0</v>
      </c>
      <c r="DA25" s="26">
        <f t="shared" si="2"/>
        <v>0</v>
      </c>
    </row>
    <row r="26" spans="3:105" x14ac:dyDescent="0.3">
      <c r="C26" s="4" t="str">
        <f>IF('Cost &amp; Risk Inputs'!C27="","",'Cost &amp; Risk Inputs'!C27)</f>
        <v/>
      </c>
      <c r="D26" s="4" t="str">
        <f>IF(C26="","",'Cost &amp; Risk Inputs'!H27)</f>
        <v/>
      </c>
      <c r="E26" s="4" t="str">
        <f>IF(C26="","",'Cost &amp; Risk Inputs'!I27)</f>
        <v/>
      </c>
      <c r="F26" s="4" t="str">
        <f>IF(C26="","",'Cost &amp; Risk Inputs'!G27)</f>
        <v/>
      </c>
      <c r="H26" s="18" t="str">
        <f t="shared" si="0"/>
        <v/>
      </c>
      <c r="M26" s="26" t="str">
        <f>IF($C26="","",'Profile &amp; Baseline'!M26/INDEX('Global Constants'!F$38:F$40,$H26))</f>
        <v/>
      </c>
      <c r="N26" s="26" t="str">
        <f>IF($C26="","",'Profile &amp; Baseline'!N26/INDEX('Global Constants'!G$38:G$40,$H26))</f>
        <v/>
      </c>
      <c r="O26" s="26" t="str">
        <f>IF($C26="","",'Profile &amp; Baseline'!O26/INDEX('Global Constants'!H$38:H$40,$H26))</f>
        <v/>
      </c>
      <c r="P26" s="26" t="str">
        <f>IF($C26="","",'Profile &amp; Baseline'!P26/INDEX('Global Constants'!I$38:I$40,$H26))</f>
        <v/>
      </c>
      <c r="Q26" s="26" t="str">
        <f>IF($C26="","",'Profile &amp; Baseline'!Q26/INDEX('Global Constants'!J$38:J$40,$H26))</f>
        <v/>
      </c>
      <c r="R26" s="26" t="str">
        <f>IF($C26="","",'Profile &amp; Baseline'!R26/INDEX('Global Constants'!K$38:K$40,$H26))</f>
        <v/>
      </c>
      <c r="S26" s="26" t="str">
        <f>IF($C26="","",'Profile &amp; Baseline'!S26/INDEX('Global Constants'!L$38:L$40,$H26))</f>
        <v/>
      </c>
      <c r="T26" s="26" t="str">
        <f>IF($C26="","",'Profile &amp; Baseline'!T26/INDEX('Global Constants'!M$38:M$40,$H26))</f>
        <v/>
      </c>
      <c r="U26" s="26" t="str">
        <f>IF($C26="","",'Profile &amp; Baseline'!U26/INDEX('Global Constants'!N$38:N$40,$H26))</f>
        <v/>
      </c>
      <c r="V26" s="26" t="str">
        <f>IF($C26="","",'Profile &amp; Baseline'!V26/INDEX('Global Constants'!O$38:O$40,$H26))</f>
        <v/>
      </c>
      <c r="W26" s="26" t="str">
        <f>IF($C26="","",'Profile &amp; Baseline'!W26/INDEX('Global Constants'!P$38:P$40,$H26))</f>
        <v/>
      </c>
      <c r="X26" s="26" t="str">
        <f>IF($C26="","",'Profile &amp; Baseline'!X26/INDEX('Global Constants'!Q$38:Q$40,$H26))</f>
        <v/>
      </c>
      <c r="Y26" s="26" t="str">
        <f>IF($C26="","",'Profile &amp; Baseline'!Y26/INDEX('Global Constants'!R$38:R$40,$H26))</f>
        <v/>
      </c>
      <c r="Z26" s="26" t="str">
        <f>IF($C26="","",'Profile &amp; Baseline'!Z26/INDEX('Global Constants'!S$38:S$40,$H26))</f>
        <v/>
      </c>
      <c r="AA26" s="26" t="str">
        <f>IF($C26="","",'Profile &amp; Baseline'!AA26/INDEX('Global Constants'!T$38:T$40,$H26))</f>
        <v/>
      </c>
      <c r="AB26" s="26" t="str">
        <f>IF($C26="","",'Profile &amp; Baseline'!AB26/INDEX('Global Constants'!U$38:U$40,$H26))</f>
        <v/>
      </c>
      <c r="AC26" s="26" t="str">
        <f>IF($C26="","",'Profile &amp; Baseline'!AC26/INDEX('Global Constants'!V$38:V$40,$H26))</f>
        <v/>
      </c>
      <c r="AD26" s="26" t="str">
        <f>IF($C26="","",'Profile &amp; Baseline'!AD26/INDEX('Global Constants'!W$38:W$40,$H26))</f>
        <v/>
      </c>
      <c r="AE26" s="26" t="str">
        <f>IF($C26="","",'Profile &amp; Baseline'!AE26/INDEX('Global Constants'!X$38:X$40,$H26))</f>
        <v/>
      </c>
      <c r="AF26" s="26" t="str">
        <f>IF($C26="","",'Profile &amp; Baseline'!AF26/INDEX('Global Constants'!Y$38:Y$40,$H26))</f>
        <v/>
      </c>
      <c r="AG26" s="26" t="str">
        <f>IF($C26="","",'Profile &amp; Baseline'!AG26/INDEX('Global Constants'!Z$38:Z$40,$H26))</f>
        <v/>
      </c>
      <c r="AH26" s="26" t="str">
        <f>IF($C26="","",'Profile &amp; Baseline'!AH26/INDEX('Global Constants'!AA$38:AA$40,$H26))</f>
        <v/>
      </c>
      <c r="AI26" s="26" t="str">
        <f>IF($C26="","",'Profile &amp; Baseline'!AI26/INDEX('Global Constants'!AB$38:AB$40,$H26))</f>
        <v/>
      </c>
      <c r="AJ26" s="26" t="str">
        <f>IF($C26="","",'Profile &amp; Baseline'!AJ26/INDEX('Global Constants'!AC$38:AC$40,$H26))</f>
        <v/>
      </c>
      <c r="AK26" s="26" t="str">
        <f>IF($C26="","",'Profile &amp; Baseline'!AK26/INDEX('Global Constants'!AD$38:AD$40,$H26))</f>
        <v/>
      </c>
      <c r="AL26" s="26" t="str">
        <f>IF($C26="","",'Profile &amp; Baseline'!AL26/INDEX('Global Constants'!AE$38:AE$40,$H26))</f>
        <v/>
      </c>
      <c r="AM26" s="26" t="str">
        <f>IF($C26="","",'Profile &amp; Baseline'!AM26/INDEX('Global Constants'!AF$38:AF$40,$H26))</f>
        <v/>
      </c>
      <c r="AN26" s="26" t="str">
        <f>IF($C26="","",'Profile &amp; Baseline'!AN26/INDEX('Global Constants'!AG$38:AG$40,$H26))</f>
        <v/>
      </c>
      <c r="AO26" s="26" t="str">
        <f>IF($C26="","",'Profile &amp; Baseline'!AO26/INDEX('Global Constants'!AH$38:AH$40,$H26))</f>
        <v/>
      </c>
      <c r="AP26" s="26" t="str">
        <f>IF($C26="","",'Profile &amp; Baseline'!AP26/INDEX('Global Constants'!AI$38:AI$40,$H26))</f>
        <v/>
      </c>
      <c r="AQ26" s="26" t="str">
        <f>IF($C26="","",'Profile &amp; Baseline'!AQ26/INDEX('Global Constants'!AJ$38:AJ$40,$H26))</f>
        <v/>
      </c>
      <c r="AR26" s="26" t="str">
        <f>IF($C26="","",'Profile &amp; Baseline'!AR26/INDEX('Global Constants'!AK$38:AK$40,$H26))</f>
        <v/>
      </c>
      <c r="AS26" s="26" t="str">
        <f>IF($C26="","",'Profile &amp; Baseline'!AS26/INDEX('Global Constants'!AL$38:AL$40,$H26))</f>
        <v/>
      </c>
      <c r="AT26" s="26" t="str">
        <f>IF($C26="","",'Profile &amp; Baseline'!AT26/INDEX('Global Constants'!AM$38:AM$40,$H26))</f>
        <v/>
      </c>
      <c r="AU26" s="26" t="str">
        <f>IF($C26="","",'Profile &amp; Baseline'!AU26/INDEX('Global Constants'!AN$38:AN$40,$H26))</f>
        <v/>
      </c>
      <c r="AV26" s="26" t="str">
        <f>IF($C26="","",'Profile &amp; Baseline'!AV26/INDEX('Global Constants'!AO$38:AO$40,$H26))</f>
        <v/>
      </c>
      <c r="AW26" s="26" t="str">
        <f>IF($C26="","",'Profile &amp; Baseline'!AW26/INDEX('Global Constants'!AP$38:AP$40,$H26))</f>
        <v/>
      </c>
      <c r="AX26" s="26" t="str">
        <f>IF($C26="","",'Profile &amp; Baseline'!AX26/INDEX('Global Constants'!AQ$38:AQ$40,$H26))</f>
        <v/>
      </c>
      <c r="AY26" s="26" t="str">
        <f>IF($C26="","",'Profile &amp; Baseline'!AY26/INDEX('Global Constants'!AR$38:AR$40,$H26))</f>
        <v/>
      </c>
      <c r="AZ26" s="26" t="str">
        <f>IF($C26="","",'Profile &amp; Baseline'!AZ26/INDEX('Global Constants'!AS$38:AS$40,$H26))</f>
        <v/>
      </c>
      <c r="BA26" s="26" t="str">
        <f>IF($C26="","",'Profile &amp; Baseline'!BA26/INDEX('Global Constants'!AT$38:AT$40,$H26))</f>
        <v/>
      </c>
      <c r="BB26" s="26" t="str">
        <f>IF($C26="","",'Profile &amp; Baseline'!BB26/INDEX('Global Constants'!AU$38:AU$40,$H26))</f>
        <v/>
      </c>
      <c r="BC26" s="26" t="str">
        <f>IF($C26="","",'Profile &amp; Baseline'!BC26/INDEX('Global Constants'!AV$38:AV$40,$H26))</f>
        <v/>
      </c>
      <c r="BD26" s="26" t="str">
        <f>IF($C26="","",'Profile &amp; Baseline'!BD26/INDEX('Global Constants'!AW$38:AW$40,$H26))</f>
        <v/>
      </c>
      <c r="BE26" s="26" t="str">
        <f>IF($C26="","",'Profile &amp; Baseline'!BE26/INDEX('Global Constants'!AX$38:AX$40,$H26))</f>
        <v/>
      </c>
      <c r="BF26" s="26" t="str">
        <f>IF($C26="","",'Profile &amp; Baseline'!BF26/INDEX('Global Constants'!AY$38:AY$40,$H26))</f>
        <v/>
      </c>
      <c r="BG26" s="26" t="str">
        <f>IF($C26="","",'Profile &amp; Baseline'!BG26/INDEX('Global Constants'!AZ$38:AZ$40,$H26))</f>
        <v/>
      </c>
      <c r="BH26" s="26" t="str">
        <f>IF($C26="","",'Profile &amp; Baseline'!BH26/INDEX('Global Constants'!BA$38:BA$40,$H26))</f>
        <v/>
      </c>
      <c r="BI26" s="26" t="str">
        <f>IF($C26="","",'Profile &amp; Baseline'!BI26/INDEX('Global Constants'!BB$38:BB$40,$H26))</f>
        <v/>
      </c>
      <c r="BJ26" s="26" t="str">
        <f>IF($C26="","",'Profile &amp; Baseline'!BJ26/INDEX('Global Constants'!BC$38:BC$40,$H26))</f>
        <v/>
      </c>
      <c r="BK26" s="26" t="str">
        <f>IF($C26="","",'Profile &amp; Baseline'!BK26/INDEX('Global Constants'!BD$38:BD$40,$H26))</f>
        <v/>
      </c>
      <c r="BL26" s="26" t="str">
        <f>IF($C26="","",'Profile &amp; Baseline'!BL26/INDEX('Global Constants'!BE$38:BE$40,$H26))</f>
        <v/>
      </c>
      <c r="BM26" s="26" t="str">
        <f>IF($C26="","",'Profile &amp; Baseline'!BM26/INDEX('Global Constants'!BF$38:BF$40,$H26))</f>
        <v/>
      </c>
      <c r="BN26" s="26" t="str">
        <f>IF($C26="","",'Profile &amp; Baseline'!BN26/INDEX('Global Constants'!BG$38:BG$40,$H26))</f>
        <v/>
      </c>
      <c r="BO26" s="26" t="str">
        <f>IF($C26="","",'Profile &amp; Baseline'!BO26/INDEX('Global Constants'!BH$38:BH$40,$H26))</f>
        <v/>
      </c>
      <c r="BP26" s="26" t="str">
        <f>IF($C26="","",'Profile &amp; Baseline'!BP26/INDEX('Global Constants'!BI$38:BI$40,$H26))</f>
        <v/>
      </c>
      <c r="BQ26" s="26" t="str">
        <f>IF($C26="","",'Profile &amp; Baseline'!BQ26/INDEX('Global Constants'!BJ$38:BJ$40,$H26))</f>
        <v/>
      </c>
      <c r="BR26" s="26" t="str">
        <f>IF($C26="","",'Profile &amp; Baseline'!BR26/INDEX('Global Constants'!BK$38:BK$40,$H26))</f>
        <v/>
      </c>
      <c r="BS26" s="26" t="str">
        <f>IF($C26="","",'Profile &amp; Baseline'!BS26/INDEX('Global Constants'!BL$38:BL$40,$H26))</f>
        <v/>
      </c>
      <c r="BT26" s="26" t="str">
        <f>IF($C26="","",'Profile &amp; Baseline'!BT26/INDEX('Global Constants'!BM$38:BM$40,$H26))</f>
        <v/>
      </c>
      <c r="BU26" s="26" t="str">
        <f>IF($C26="","",'Profile &amp; Baseline'!BU26/INDEX('Global Constants'!BN$38:BN$40,$H26))</f>
        <v/>
      </c>
      <c r="BV26" s="26" t="str">
        <f>IF($C26="","",'Profile &amp; Baseline'!BV26/INDEX('Global Constants'!BO$38:BO$40,$H26))</f>
        <v/>
      </c>
      <c r="BW26" s="26" t="str">
        <f>IF($C26="","",'Profile &amp; Baseline'!BW26/INDEX('Global Constants'!BP$38:BP$40,$H26))</f>
        <v/>
      </c>
      <c r="BX26" s="26" t="str">
        <f>IF($C26="","",'Profile &amp; Baseline'!BX26/INDEX('Global Constants'!BQ$38:BQ$40,$H26))</f>
        <v/>
      </c>
      <c r="BY26" s="26" t="str">
        <f>IF($C26="","",'Profile &amp; Baseline'!BY26/INDEX('Global Constants'!BR$38:BR$40,$H26))</f>
        <v/>
      </c>
      <c r="BZ26" s="26" t="str">
        <f>IF($C26="","",'Profile &amp; Baseline'!BZ26/INDEX('Global Constants'!BS$38:BS$40,$H26))</f>
        <v/>
      </c>
      <c r="CA26" s="26" t="str">
        <f>IF($C26="","",'Profile &amp; Baseline'!CA26/INDEX('Global Constants'!BT$38:BT$40,$H26))</f>
        <v/>
      </c>
      <c r="CB26" s="26" t="str">
        <f>IF($C26="","",'Profile &amp; Baseline'!CB26/INDEX('Global Constants'!BU$38:BU$40,$H26))</f>
        <v/>
      </c>
      <c r="CC26" s="26" t="str">
        <f>IF($C26="","",'Profile &amp; Baseline'!CC26/INDEX('Global Constants'!BV$38:BV$40,$H26))</f>
        <v/>
      </c>
      <c r="CD26" s="26" t="str">
        <f>IF($C26="","",'Profile &amp; Baseline'!CD26/INDEX('Global Constants'!BW$38:BW$40,$H26))</f>
        <v/>
      </c>
      <c r="CE26" s="26" t="str">
        <f>IF($C26="","",'Profile &amp; Baseline'!CE26/INDEX('Global Constants'!BX$38:BX$40,$H26))</f>
        <v/>
      </c>
      <c r="CF26" s="26" t="str">
        <f>IF($C26="","",'Profile &amp; Baseline'!CF26/INDEX('Global Constants'!BY$38:BY$40,$H26))</f>
        <v/>
      </c>
      <c r="CG26" s="26" t="str">
        <f>IF($C26="","",'Profile &amp; Baseline'!CG26/INDEX('Global Constants'!BZ$38:BZ$40,$H26))</f>
        <v/>
      </c>
      <c r="CH26" s="26" t="str">
        <f>IF($C26="","",'Profile &amp; Baseline'!CH26/INDEX('Global Constants'!CA$38:CA$40,$H26))</f>
        <v/>
      </c>
      <c r="CI26" s="26" t="str">
        <f>IF($C26="","",'Profile &amp; Baseline'!CI26/INDEX('Global Constants'!CB$38:CB$40,$H26))</f>
        <v/>
      </c>
      <c r="CJ26" s="26" t="str">
        <f>IF($C26="","",'Profile &amp; Baseline'!CJ26/INDEX('Global Constants'!CC$38:CC$40,$H26))</f>
        <v/>
      </c>
      <c r="CK26" s="26" t="str">
        <f>IF($C26="","",'Profile &amp; Baseline'!CK26/INDEX('Global Constants'!CD$38:CD$40,$H26))</f>
        <v/>
      </c>
      <c r="CL26" s="26" t="str">
        <f>IF($C26="","",'Profile &amp; Baseline'!CL26/INDEX('Global Constants'!CE$38:CE$40,$H26))</f>
        <v/>
      </c>
      <c r="CM26" s="26" t="str">
        <f>IF($C26="","",'Profile &amp; Baseline'!CM26/INDEX('Global Constants'!CF$38:CF$40,$H26))</f>
        <v/>
      </c>
      <c r="CN26" s="26" t="str">
        <f>IF($C26="","",'Profile &amp; Baseline'!CN26/INDEX('Global Constants'!CG$38:CG$40,$H26))</f>
        <v/>
      </c>
      <c r="CO26" s="26" t="str">
        <f>IF($C26="","",'Profile &amp; Baseline'!CO26/INDEX('Global Constants'!CH$38:CH$40,$H26))</f>
        <v/>
      </c>
      <c r="CP26" s="26" t="str">
        <f>IF($C26="","",'Profile &amp; Baseline'!CP26/INDEX('Global Constants'!CI$38:CI$40,$H26))</f>
        <v/>
      </c>
      <c r="CQ26" s="26" t="str">
        <f>IF($C26="","",'Profile &amp; Baseline'!CQ26/INDEX('Global Constants'!CJ$38:CJ$40,$H26))</f>
        <v/>
      </c>
      <c r="CR26" s="26" t="str">
        <f>IF($C26="","",'Profile &amp; Baseline'!CR26/INDEX('Global Constants'!CK$38:CK$40,$H26))</f>
        <v/>
      </c>
      <c r="CS26" s="26" t="str">
        <f>IF($C26="","",'Profile &amp; Baseline'!CS26/INDEX('Global Constants'!CL$38:CL$40,$H26))</f>
        <v/>
      </c>
      <c r="CT26" s="26" t="str">
        <f>IF($C26="","",'Profile &amp; Baseline'!CT26/INDEX('Global Constants'!CM$38:CM$40,$H26))</f>
        <v/>
      </c>
      <c r="CU26" s="26" t="str">
        <f>IF($C26="","",'Profile &amp; Baseline'!CU26/INDEX('Global Constants'!CN$38:CN$40,$H26))</f>
        <v/>
      </c>
      <c r="CV26" s="26" t="str">
        <f>IF($C26="","",'Profile &amp; Baseline'!CV26/INDEX('Global Constants'!CO$38:CO$40,$H26))</f>
        <v/>
      </c>
      <c r="CW26" s="26" t="str">
        <f>IF($C26="","",'Profile &amp; Baseline'!CW26/INDEX('Global Constants'!CP$38:CP$40,$H26))</f>
        <v/>
      </c>
      <c r="CX26" s="26" t="str">
        <f>IF($C26="","",'Profile &amp; Baseline'!CX26/INDEX('Global Constants'!CQ$38:CQ$40,$H26))</f>
        <v/>
      </c>
      <c r="CZ26" s="26">
        <f t="shared" ca="1" si="1"/>
        <v>0</v>
      </c>
      <c r="DA26" s="26">
        <f t="shared" si="2"/>
        <v>0</v>
      </c>
    </row>
    <row r="27" spans="3:105" x14ac:dyDescent="0.3">
      <c r="C27" s="4" t="str">
        <f>IF('Cost &amp; Risk Inputs'!C28="","",'Cost &amp; Risk Inputs'!C28)</f>
        <v/>
      </c>
      <c r="D27" s="4" t="str">
        <f>IF(C27="","",'Cost &amp; Risk Inputs'!H28)</f>
        <v/>
      </c>
      <c r="E27" s="4" t="str">
        <f>IF(C27="","",'Cost &amp; Risk Inputs'!I28)</f>
        <v/>
      </c>
      <c r="F27" s="4" t="str">
        <f>IF(C27="","",'Cost &amp; Risk Inputs'!G28)</f>
        <v/>
      </c>
      <c r="H27" s="18" t="str">
        <f t="shared" si="0"/>
        <v/>
      </c>
      <c r="M27" s="26" t="str">
        <f>IF($C27="","",'Profile &amp; Baseline'!M27/INDEX('Global Constants'!F$38:F$40,$H27))</f>
        <v/>
      </c>
      <c r="N27" s="26" t="str">
        <f>IF($C27="","",'Profile &amp; Baseline'!N27/INDEX('Global Constants'!G$38:G$40,$H27))</f>
        <v/>
      </c>
      <c r="O27" s="26" t="str">
        <f>IF($C27="","",'Profile &amp; Baseline'!O27/INDEX('Global Constants'!H$38:H$40,$H27))</f>
        <v/>
      </c>
      <c r="P27" s="26" t="str">
        <f>IF($C27="","",'Profile &amp; Baseline'!P27/INDEX('Global Constants'!I$38:I$40,$H27))</f>
        <v/>
      </c>
      <c r="Q27" s="26" t="str">
        <f>IF($C27="","",'Profile &amp; Baseline'!Q27/INDEX('Global Constants'!J$38:J$40,$H27))</f>
        <v/>
      </c>
      <c r="R27" s="26" t="str">
        <f>IF($C27="","",'Profile &amp; Baseline'!R27/INDEX('Global Constants'!K$38:K$40,$H27))</f>
        <v/>
      </c>
      <c r="S27" s="26" t="str">
        <f>IF($C27="","",'Profile &amp; Baseline'!S27/INDEX('Global Constants'!L$38:L$40,$H27))</f>
        <v/>
      </c>
      <c r="T27" s="26" t="str">
        <f>IF($C27="","",'Profile &amp; Baseline'!T27/INDEX('Global Constants'!M$38:M$40,$H27))</f>
        <v/>
      </c>
      <c r="U27" s="26" t="str">
        <f>IF($C27="","",'Profile &amp; Baseline'!U27/INDEX('Global Constants'!N$38:N$40,$H27))</f>
        <v/>
      </c>
      <c r="V27" s="26" t="str">
        <f>IF($C27="","",'Profile &amp; Baseline'!V27/INDEX('Global Constants'!O$38:O$40,$H27))</f>
        <v/>
      </c>
      <c r="W27" s="26" t="str">
        <f>IF($C27="","",'Profile &amp; Baseline'!W27/INDEX('Global Constants'!P$38:P$40,$H27))</f>
        <v/>
      </c>
      <c r="X27" s="26" t="str">
        <f>IF($C27="","",'Profile &amp; Baseline'!X27/INDEX('Global Constants'!Q$38:Q$40,$H27))</f>
        <v/>
      </c>
      <c r="Y27" s="26" t="str">
        <f>IF($C27="","",'Profile &amp; Baseline'!Y27/INDEX('Global Constants'!R$38:R$40,$H27))</f>
        <v/>
      </c>
      <c r="Z27" s="26" t="str">
        <f>IF($C27="","",'Profile &amp; Baseline'!Z27/INDEX('Global Constants'!S$38:S$40,$H27))</f>
        <v/>
      </c>
      <c r="AA27" s="26" t="str">
        <f>IF($C27="","",'Profile &amp; Baseline'!AA27/INDEX('Global Constants'!T$38:T$40,$H27))</f>
        <v/>
      </c>
      <c r="AB27" s="26" t="str">
        <f>IF($C27="","",'Profile &amp; Baseline'!AB27/INDEX('Global Constants'!U$38:U$40,$H27))</f>
        <v/>
      </c>
      <c r="AC27" s="26" t="str">
        <f>IF($C27="","",'Profile &amp; Baseline'!AC27/INDEX('Global Constants'!V$38:V$40,$H27))</f>
        <v/>
      </c>
      <c r="AD27" s="26" t="str">
        <f>IF($C27="","",'Profile &amp; Baseline'!AD27/INDEX('Global Constants'!W$38:W$40,$H27))</f>
        <v/>
      </c>
      <c r="AE27" s="26" t="str">
        <f>IF($C27="","",'Profile &amp; Baseline'!AE27/INDEX('Global Constants'!X$38:X$40,$H27))</f>
        <v/>
      </c>
      <c r="AF27" s="26" t="str">
        <f>IF($C27="","",'Profile &amp; Baseline'!AF27/INDEX('Global Constants'!Y$38:Y$40,$H27))</f>
        <v/>
      </c>
      <c r="AG27" s="26" t="str">
        <f>IF($C27="","",'Profile &amp; Baseline'!AG27/INDEX('Global Constants'!Z$38:Z$40,$H27))</f>
        <v/>
      </c>
      <c r="AH27" s="26" t="str">
        <f>IF($C27="","",'Profile &amp; Baseline'!AH27/INDEX('Global Constants'!AA$38:AA$40,$H27))</f>
        <v/>
      </c>
      <c r="AI27" s="26" t="str">
        <f>IF($C27="","",'Profile &amp; Baseline'!AI27/INDEX('Global Constants'!AB$38:AB$40,$H27))</f>
        <v/>
      </c>
      <c r="AJ27" s="26" t="str">
        <f>IF($C27="","",'Profile &amp; Baseline'!AJ27/INDEX('Global Constants'!AC$38:AC$40,$H27))</f>
        <v/>
      </c>
      <c r="AK27" s="26" t="str">
        <f>IF($C27="","",'Profile &amp; Baseline'!AK27/INDEX('Global Constants'!AD$38:AD$40,$H27))</f>
        <v/>
      </c>
      <c r="AL27" s="26" t="str">
        <f>IF($C27="","",'Profile &amp; Baseline'!AL27/INDEX('Global Constants'!AE$38:AE$40,$H27))</f>
        <v/>
      </c>
      <c r="AM27" s="26" t="str">
        <f>IF($C27="","",'Profile &amp; Baseline'!AM27/INDEX('Global Constants'!AF$38:AF$40,$H27))</f>
        <v/>
      </c>
      <c r="AN27" s="26" t="str">
        <f>IF($C27="","",'Profile &amp; Baseline'!AN27/INDEX('Global Constants'!AG$38:AG$40,$H27))</f>
        <v/>
      </c>
      <c r="AO27" s="26" t="str">
        <f>IF($C27="","",'Profile &amp; Baseline'!AO27/INDEX('Global Constants'!AH$38:AH$40,$H27))</f>
        <v/>
      </c>
      <c r="AP27" s="26" t="str">
        <f>IF($C27="","",'Profile &amp; Baseline'!AP27/INDEX('Global Constants'!AI$38:AI$40,$H27))</f>
        <v/>
      </c>
      <c r="AQ27" s="26" t="str">
        <f>IF($C27="","",'Profile &amp; Baseline'!AQ27/INDEX('Global Constants'!AJ$38:AJ$40,$H27))</f>
        <v/>
      </c>
      <c r="AR27" s="26" t="str">
        <f>IF($C27="","",'Profile &amp; Baseline'!AR27/INDEX('Global Constants'!AK$38:AK$40,$H27))</f>
        <v/>
      </c>
      <c r="AS27" s="26" t="str">
        <f>IF($C27="","",'Profile &amp; Baseline'!AS27/INDEX('Global Constants'!AL$38:AL$40,$H27))</f>
        <v/>
      </c>
      <c r="AT27" s="26" t="str">
        <f>IF($C27="","",'Profile &amp; Baseline'!AT27/INDEX('Global Constants'!AM$38:AM$40,$H27))</f>
        <v/>
      </c>
      <c r="AU27" s="26" t="str">
        <f>IF($C27="","",'Profile &amp; Baseline'!AU27/INDEX('Global Constants'!AN$38:AN$40,$H27))</f>
        <v/>
      </c>
      <c r="AV27" s="26" t="str">
        <f>IF($C27="","",'Profile &amp; Baseline'!AV27/INDEX('Global Constants'!AO$38:AO$40,$H27))</f>
        <v/>
      </c>
      <c r="AW27" s="26" t="str">
        <f>IF($C27="","",'Profile &amp; Baseline'!AW27/INDEX('Global Constants'!AP$38:AP$40,$H27))</f>
        <v/>
      </c>
      <c r="AX27" s="26" t="str">
        <f>IF($C27="","",'Profile &amp; Baseline'!AX27/INDEX('Global Constants'!AQ$38:AQ$40,$H27))</f>
        <v/>
      </c>
      <c r="AY27" s="26" t="str">
        <f>IF($C27="","",'Profile &amp; Baseline'!AY27/INDEX('Global Constants'!AR$38:AR$40,$H27))</f>
        <v/>
      </c>
      <c r="AZ27" s="26" t="str">
        <f>IF($C27="","",'Profile &amp; Baseline'!AZ27/INDEX('Global Constants'!AS$38:AS$40,$H27))</f>
        <v/>
      </c>
      <c r="BA27" s="26" t="str">
        <f>IF($C27="","",'Profile &amp; Baseline'!BA27/INDEX('Global Constants'!AT$38:AT$40,$H27))</f>
        <v/>
      </c>
      <c r="BB27" s="26" t="str">
        <f>IF($C27="","",'Profile &amp; Baseline'!BB27/INDEX('Global Constants'!AU$38:AU$40,$H27))</f>
        <v/>
      </c>
      <c r="BC27" s="26" t="str">
        <f>IF($C27="","",'Profile &amp; Baseline'!BC27/INDEX('Global Constants'!AV$38:AV$40,$H27))</f>
        <v/>
      </c>
      <c r="BD27" s="26" t="str">
        <f>IF($C27="","",'Profile &amp; Baseline'!BD27/INDEX('Global Constants'!AW$38:AW$40,$H27))</f>
        <v/>
      </c>
      <c r="BE27" s="26" t="str">
        <f>IF($C27="","",'Profile &amp; Baseline'!BE27/INDEX('Global Constants'!AX$38:AX$40,$H27))</f>
        <v/>
      </c>
      <c r="BF27" s="26" t="str">
        <f>IF($C27="","",'Profile &amp; Baseline'!BF27/INDEX('Global Constants'!AY$38:AY$40,$H27))</f>
        <v/>
      </c>
      <c r="BG27" s="26" t="str">
        <f>IF($C27="","",'Profile &amp; Baseline'!BG27/INDEX('Global Constants'!AZ$38:AZ$40,$H27))</f>
        <v/>
      </c>
      <c r="BH27" s="26" t="str">
        <f>IF($C27="","",'Profile &amp; Baseline'!BH27/INDEX('Global Constants'!BA$38:BA$40,$H27))</f>
        <v/>
      </c>
      <c r="BI27" s="26" t="str">
        <f>IF($C27="","",'Profile &amp; Baseline'!BI27/INDEX('Global Constants'!BB$38:BB$40,$H27))</f>
        <v/>
      </c>
      <c r="BJ27" s="26" t="str">
        <f>IF($C27="","",'Profile &amp; Baseline'!BJ27/INDEX('Global Constants'!BC$38:BC$40,$H27))</f>
        <v/>
      </c>
      <c r="BK27" s="26" t="str">
        <f>IF($C27="","",'Profile &amp; Baseline'!BK27/INDEX('Global Constants'!BD$38:BD$40,$H27))</f>
        <v/>
      </c>
      <c r="BL27" s="26" t="str">
        <f>IF($C27="","",'Profile &amp; Baseline'!BL27/INDEX('Global Constants'!BE$38:BE$40,$H27))</f>
        <v/>
      </c>
      <c r="BM27" s="26" t="str">
        <f>IF($C27="","",'Profile &amp; Baseline'!BM27/INDEX('Global Constants'!BF$38:BF$40,$H27))</f>
        <v/>
      </c>
      <c r="BN27" s="26" t="str">
        <f>IF($C27="","",'Profile &amp; Baseline'!BN27/INDEX('Global Constants'!BG$38:BG$40,$H27))</f>
        <v/>
      </c>
      <c r="BO27" s="26" t="str">
        <f>IF($C27="","",'Profile &amp; Baseline'!BO27/INDEX('Global Constants'!BH$38:BH$40,$H27))</f>
        <v/>
      </c>
      <c r="BP27" s="26" t="str">
        <f>IF($C27="","",'Profile &amp; Baseline'!BP27/INDEX('Global Constants'!BI$38:BI$40,$H27))</f>
        <v/>
      </c>
      <c r="BQ27" s="26" t="str">
        <f>IF($C27="","",'Profile &amp; Baseline'!BQ27/INDEX('Global Constants'!BJ$38:BJ$40,$H27))</f>
        <v/>
      </c>
      <c r="BR27" s="26" t="str">
        <f>IF($C27="","",'Profile &amp; Baseline'!BR27/INDEX('Global Constants'!BK$38:BK$40,$H27))</f>
        <v/>
      </c>
      <c r="BS27" s="26" t="str">
        <f>IF($C27="","",'Profile &amp; Baseline'!BS27/INDEX('Global Constants'!BL$38:BL$40,$H27))</f>
        <v/>
      </c>
      <c r="BT27" s="26" t="str">
        <f>IF($C27="","",'Profile &amp; Baseline'!BT27/INDEX('Global Constants'!BM$38:BM$40,$H27))</f>
        <v/>
      </c>
      <c r="BU27" s="26" t="str">
        <f>IF($C27="","",'Profile &amp; Baseline'!BU27/INDEX('Global Constants'!BN$38:BN$40,$H27))</f>
        <v/>
      </c>
      <c r="BV27" s="26" t="str">
        <f>IF($C27="","",'Profile &amp; Baseline'!BV27/INDEX('Global Constants'!BO$38:BO$40,$H27))</f>
        <v/>
      </c>
      <c r="BW27" s="26" t="str">
        <f>IF($C27="","",'Profile &amp; Baseline'!BW27/INDEX('Global Constants'!BP$38:BP$40,$H27))</f>
        <v/>
      </c>
      <c r="BX27" s="26" t="str">
        <f>IF($C27="","",'Profile &amp; Baseline'!BX27/INDEX('Global Constants'!BQ$38:BQ$40,$H27))</f>
        <v/>
      </c>
      <c r="BY27" s="26" t="str">
        <f>IF($C27="","",'Profile &amp; Baseline'!BY27/INDEX('Global Constants'!BR$38:BR$40,$H27))</f>
        <v/>
      </c>
      <c r="BZ27" s="26" t="str">
        <f>IF($C27="","",'Profile &amp; Baseline'!BZ27/INDEX('Global Constants'!BS$38:BS$40,$H27))</f>
        <v/>
      </c>
      <c r="CA27" s="26" t="str">
        <f>IF($C27="","",'Profile &amp; Baseline'!CA27/INDEX('Global Constants'!BT$38:BT$40,$H27))</f>
        <v/>
      </c>
      <c r="CB27" s="26" t="str">
        <f>IF($C27="","",'Profile &amp; Baseline'!CB27/INDEX('Global Constants'!BU$38:BU$40,$H27))</f>
        <v/>
      </c>
      <c r="CC27" s="26" t="str">
        <f>IF($C27="","",'Profile &amp; Baseline'!CC27/INDEX('Global Constants'!BV$38:BV$40,$H27))</f>
        <v/>
      </c>
      <c r="CD27" s="26" t="str">
        <f>IF($C27="","",'Profile &amp; Baseline'!CD27/INDEX('Global Constants'!BW$38:BW$40,$H27))</f>
        <v/>
      </c>
      <c r="CE27" s="26" t="str">
        <f>IF($C27="","",'Profile &amp; Baseline'!CE27/INDEX('Global Constants'!BX$38:BX$40,$H27))</f>
        <v/>
      </c>
      <c r="CF27" s="26" t="str">
        <f>IF($C27="","",'Profile &amp; Baseline'!CF27/INDEX('Global Constants'!BY$38:BY$40,$H27))</f>
        <v/>
      </c>
      <c r="CG27" s="26" t="str">
        <f>IF($C27="","",'Profile &amp; Baseline'!CG27/INDEX('Global Constants'!BZ$38:BZ$40,$H27))</f>
        <v/>
      </c>
      <c r="CH27" s="26" t="str">
        <f>IF($C27="","",'Profile &amp; Baseline'!CH27/INDEX('Global Constants'!CA$38:CA$40,$H27))</f>
        <v/>
      </c>
      <c r="CI27" s="26" t="str">
        <f>IF($C27="","",'Profile &amp; Baseline'!CI27/INDEX('Global Constants'!CB$38:CB$40,$H27))</f>
        <v/>
      </c>
      <c r="CJ27" s="26" t="str">
        <f>IF($C27="","",'Profile &amp; Baseline'!CJ27/INDEX('Global Constants'!CC$38:CC$40,$H27))</f>
        <v/>
      </c>
      <c r="CK27" s="26" t="str">
        <f>IF($C27="","",'Profile &amp; Baseline'!CK27/INDEX('Global Constants'!CD$38:CD$40,$H27))</f>
        <v/>
      </c>
      <c r="CL27" s="26" t="str">
        <f>IF($C27="","",'Profile &amp; Baseline'!CL27/INDEX('Global Constants'!CE$38:CE$40,$H27))</f>
        <v/>
      </c>
      <c r="CM27" s="26" t="str">
        <f>IF($C27="","",'Profile &amp; Baseline'!CM27/INDEX('Global Constants'!CF$38:CF$40,$H27))</f>
        <v/>
      </c>
      <c r="CN27" s="26" t="str">
        <f>IF($C27="","",'Profile &amp; Baseline'!CN27/INDEX('Global Constants'!CG$38:CG$40,$H27))</f>
        <v/>
      </c>
      <c r="CO27" s="26" t="str">
        <f>IF($C27="","",'Profile &amp; Baseline'!CO27/INDEX('Global Constants'!CH$38:CH$40,$H27))</f>
        <v/>
      </c>
      <c r="CP27" s="26" t="str">
        <f>IF($C27="","",'Profile &amp; Baseline'!CP27/INDEX('Global Constants'!CI$38:CI$40,$H27))</f>
        <v/>
      </c>
      <c r="CQ27" s="26" t="str">
        <f>IF($C27="","",'Profile &amp; Baseline'!CQ27/INDEX('Global Constants'!CJ$38:CJ$40,$H27))</f>
        <v/>
      </c>
      <c r="CR27" s="26" t="str">
        <f>IF($C27="","",'Profile &amp; Baseline'!CR27/INDEX('Global Constants'!CK$38:CK$40,$H27))</f>
        <v/>
      </c>
      <c r="CS27" s="26" t="str">
        <f>IF($C27="","",'Profile &amp; Baseline'!CS27/INDEX('Global Constants'!CL$38:CL$40,$H27))</f>
        <v/>
      </c>
      <c r="CT27" s="26" t="str">
        <f>IF($C27="","",'Profile &amp; Baseline'!CT27/INDEX('Global Constants'!CM$38:CM$40,$H27))</f>
        <v/>
      </c>
      <c r="CU27" s="26" t="str">
        <f>IF($C27="","",'Profile &amp; Baseline'!CU27/INDEX('Global Constants'!CN$38:CN$40,$H27))</f>
        <v/>
      </c>
      <c r="CV27" s="26" t="str">
        <f>IF($C27="","",'Profile &amp; Baseline'!CV27/INDEX('Global Constants'!CO$38:CO$40,$H27))</f>
        <v/>
      </c>
      <c r="CW27" s="26" t="str">
        <f>IF($C27="","",'Profile &amp; Baseline'!CW27/INDEX('Global Constants'!CP$38:CP$40,$H27))</f>
        <v/>
      </c>
      <c r="CX27" s="26" t="str">
        <f>IF($C27="","",'Profile &amp; Baseline'!CX27/INDEX('Global Constants'!CQ$38:CQ$40,$H27))</f>
        <v/>
      </c>
      <c r="CZ27" s="26">
        <f t="shared" ca="1" si="1"/>
        <v>0</v>
      </c>
      <c r="DA27" s="26">
        <f t="shared" si="2"/>
        <v>0</v>
      </c>
    </row>
    <row r="28" spans="3:105" x14ac:dyDescent="0.3">
      <c r="C28" s="4" t="str">
        <f>IF('Cost &amp; Risk Inputs'!C29="","",'Cost &amp; Risk Inputs'!C29)</f>
        <v/>
      </c>
      <c r="D28" s="4" t="str">
        <f>IF(C28="","",'Cost &amp; Risk Inputs'!H29)</f>
        <v/>
      </c>
      <c r="E28" s="4" t="str">
        <f>IF(C28="","",'Cost &amp; Risk Inputs'!I29)</f>
        <v/>
      </c>
      <c r="F28" s="4" t="str">
        <f>IF(C28="","",'Cost &amp; Risk Inputs'!G29)</f>
        <v/>
      </c>
      <c r="H28" s="18" t="str">
        <f t="shared" si="0"/>
        <v/>
      </c>
      <c r="M28" s="26" t="str">
        <f>IF($C28="","",'Profile &amp; Baseline'!M28/INDEX('Global Constants'!F$38:F$40,$H28))</f>
        <v/>
      </c>
      <c r="N28" s="26" t="str">
        <f>IF($C28="","",'Profile &amp; Baseline'!N28/INDEX('Global Constants'!G$38:G$40,$H28))</f>
        <v/>
      </c>
      <c r="O28" s="26" t="str">
        <f>IF($C28="","",'Profile &amp; Baseline'!O28/INDEX('Global Constants'!H$38:H$40,$H28))</f>
        <v/>
      </c>
      <c r="P28" s="26" t="str">
        <f>IF($C28="","",'Profile &amp; Baseline'!P28/INDEX('Global Constants'!I$38:I$40,$H28))</f>
        <v/>
      </c>
      <c r="Q28" s="26" t="str">
        <f>IF($C28="","",'Profile &amp; Baseline'!Q28/INDEX('Global Constants'!J$38:J$40,$H28))</f>
        <v/>
      </c>
      <c r="R28" s="26" t="str">
        <f>IF($C28="","",'Profile &amp; Baseline'!R28/INDEX('Global Constants'!K$38:K$40,$H28))</f>
        <v/>
      </c>
      <c r="S28" s="26" t="str">
        <f>IF($C28="","",'Profile &amp; Baseline'!S28/INDEX('Global Constants'!L$38:L$40,$H28))</f>
        <v/>
      </c>
      <c r="T28" s="26" t="str">
        <f>IF($C28="","",'Profile &amp; Baseline'!T28/INDEX('Global Constants'!M$38:M$40,$H28))</f>
        <v/>
      </c>
      <c r="U28" s="26" t="str">
        <f>IF($C28="","",'Profile &amp; Baseline'!U28/INDEX('Global Constants'!N$38:N$40,$H28))</f>
        <v/>
      </c>
      <c r="V28" s="26" t="str">
        <f>IF($C28="","",'Profile &amp; Baseline'!V28/INDEX('Global Constants'!O$38:O$40,$H28))</f>
        <v/>
      </c>
      <c r="W28" s="26" t="str">
        <f>IF($C28="","",'Profile &amp; Baseline'!W28/INDEX('Global Constants'!P$38:P$40,$H28))</f>
        <v/>
      </c>
      <c r="X28" s="26" t="str">
        <f>IF($C28="","",'Profile &amp; Baseline'!X28/INDEX('Global Constants'!Q$38:Q$40,$H28))</f>
        <v/>
      </c>
      <c r="Y28" s="26" t="str">
        <f>IF($C28="","",'Profile &amp; Baseline'!Y28/INDEX('Global Constants'!R$38:R$40,$H28))</f>
        <v/>
      </c>
      <c r="Z28" s="26" t="str">
        <f>IF($C28="","",'Profile &amp; Baseline'!Z28/INDEX('Global Constants'!S$38:S$40,$H28))</f>
        <v/>
      </c>
      <c r="AA28" s="26" t="str">
        <f>IF($C28="","",'Profile &amp; Baseline'!AA28/INDEX('Global Constants'!T$38:T$40,$H28))</f>
        <v/>
      </c>
      <c r="AB28" s="26" t="str">
        <f>IF($C28="","",'Profile &amp; Baseline'!AB28/INDEX('Global Constants'!U$38:U$40,$H28))</f>
        <v/>
      </c>
      <c r="AC28" s="26" t="str">
        <f>IF($C28="","",'Profile &amp; Baseline'!AC28/INDEX('Global Constants'!V$38:V$40,$H28))</f>
        <v/>
      </c>
      <c r="AD28" s="26" t="str">
        <f>IF($C28="","",'Profile &amp; Baseline'!AD28/INDEX('Global Constants'!W$38:W$40,$H28))</f>
        <v/>
      </c>
      <c r="AE28" s="26" t="str">
        <f>IF($C28="","",'Profile &amp; Baseline'!AE28/INDEX('Global Constants'!X$38:X$40,$H28))</f>
        <v/>
      </c>
      <c r="AF28" s="26" t="str">
        <f>IF($C28="","",'Profile &amp; Baseline'!AF28/INDEX('Global Constants'!Y$38:Y$40,$H28))</f>
        <v/>
      </c>
      <c r="AG28" s="26" t="str">
        <f>IF($C28="","",'Profile &amp; Baseline'!AG28/INDEX('Global Constants'!Z$38:Z$40,$H28))</f>
        <v/>
      </c>
      <c r="AH28" s="26" t="str">
        <f>IF($C28="","",'Profile &amp; Baseline'!AH28/INDEX('Global Constants'!AA$38:AA$40,$H28))</f>
        <v/>
      </c>
      <c r="AI28" s="26" t="str">
        <f>IF($C28="","",'Profile &amp; Baseline'!AI28/INDEX('Global Constants'!AB$38:AB$40,$H28))</f>
        <v/>
      </c>
      <c r="AJ28" s="26" t="str">
        <f>IF($C28="","",'Profile &amp; Baseline'!AJ28/INDEX('Global Constants'!AC$38:AC$40,$H28))</f>
        <v/>
      </c>
      <c r="AK28" s="26" t="str">
        <f>IF($C28="","",'Profile &amp; Baseline'!AK28/INDEX('Global Constants'!AD$38:AD$40,$H28))</f>
        <v/>
      </c>
      <c r="AL28" s="26" t="str">
        <f>IF($C28="","",'Profile &amp; Baseline'!AL28/INDEX('Global Constants'!AE$38:AE$40,$H28))</f>
        <v/>
      </c>
      <c r="AM28" s="26" t="str">
        <f>IF($C28="","",'Profile &amp; Baseline'!AM28/INDEX('Global Constants'!AF$38:AF$40,$H28))</f>
        <v/>
      </c>
      <c r="AN28" s="26" t="str">
        <f>IF($C28="","",'Profile &amp; Baseline'!AN28/INDEX('Global Constants'!AG$38:AG$40,$H28))</f>
        <v/>
      </c>
      <c r="AO28" s="26" t="str">
        <f>IF($C28="","",'Profile &amp; Baseline'!AO28/INDEX('Global Constants'!AH$38:AH$40,$H28))</f>
        <v/>
      </c>
      <c r="AP28" s="26" t="str">
        <f>IF($C28="","",'Profile &amp; Baseline'!AP28/INDEX('Global Constants'!AI$38:AI$40,$H28))</f>
        <v/>
      </c>
      <c r="AQ28" s="26" t="str">
        <f>IF($C28="","",'Profile &amp; Baseline'!AQ28/INDEX('Global Constants'!AJ$38:AJ$40,$H28))</f>
        <v/>
      </c>
      <c r="AR28" s="26" t="str">
        <f>IF($C28="","",'Profile &amp; Baseline'!AR28/INDEX('Global Constants'!AK$38:AK$40,$H28))</f>
        <v/>
      </c>
      <c r="AS28" s="26" t="str">
        <f>IF($C28="","",'Profile &amp; Baseline'!AS28/INDEX('Global Constants'!AL$38:AL$40,$H28))</f>
        <v/>
      </c>
      <c r="AT28" s="26" t="str">
        <f>IF($C28="","",'Profile &amp; Baseline'!AT28/INDEX('Global Constants'!AM$38:AM$40,$H28))</f>
        <v/>
      </c>
      <c r="AU28" s="26" t="str">
        <f>IF($C28="","",'Profile &amp; Baseline'!AU28/INDEX('Global Constants'!AN$38:AN$40,$H28))</f>
        <v/>
      </c>
      <c r="AV28" s="26" t="str">
        <f>IF($C28="","",'Profile &amp; Baseline'!AV28/INDEX('Global Constants'!AO$38:AO$40,$H28))</f>
        <v/>
      </c>
      <c r="AW28" s="26" t="str">
        <f>IF($C28="","",'Profile &amp; Baseline'!AW28/INDEX('Global Constants'!AP$38:AP$40,$H28))</f>
        <v/>
      </c>
      <c r="AX28" s="26" t="str">
        <f>IF($C28="","",'Profile &amp; Baseline'!AX28/INDEX('Global Constants'!AQ$38:AQ$40,$H28))</f>
        <v/>
      </c>
      <c r="AY28" s="26" t="str">
        <f>IF($C28="","",'Profile &amp; Baseline'!AY28/INDEX('Global Constants'!AR$38:AR$40,$H28))</f>
        <v/>
      </c>
      <c r="AZ28" s="26" t="str">
        <f>IF($C28="","",'Profile &amp; Baseline'!AZ28/INDEX('Global Constants'!AS$38:AS$40,$H28))</f>
        <v/>
      </c>
      <c r="BA28" s="26" t="str">
        <f>IF($C28="","",'Profile &amp; Baseline'!BA28/INDEX('Global Constants'!AT$38:AT$40,$H28))</f>
        <v/>
      </c>
      <c r="BB28" s="26" t="str">
        <f>IF($C28="","",'Profile &amp; Baseline'!BB28/INDEX('Global Constants'!AU$38:AU$40,$H28))</f>
        <v/>
      </c>
      <c r="BC28" s="26" t="str">
        <f>IF($C28="","",'Profile &amp; Baseline'!BC28/INDEX('Global Constants'!AV$38:AV$40,$H28))</f>
        <v/>
      </c>
      <c r="BD28" s="26" t="str">
        <f>IF($C28="","",'Profile &amp; Baseline'!BD28/INDEX('Global Constants'!AW$38:AW$40,$H28))</f>
        <v/>
      </c>
      <c r="BE28" s="26" t="str">
        <f>IF($C28="","",'Profile &amp; Baseline'!BE28/INDEX('Global Constants'!AX$38:AX$40,$H28))</f>
        <v/>
      </c>
      <c r="BF28" s="26" t="str">
        <f>IF($C28="","",'Profile &amp; Baseline'!BF28/INDEX('Global Constants'!AY$38:AY$40,$H28))</f>
        <v/>
      </c>
      <c r="BG28" s="26" t="str">
        <f>IF($C28="","",'Profile &amp; Baseline'!BG28/INDEX('Global Constants'!AZ$38:AZ$40,$H28))</f>
        <v/>
      </c>
      <c r="BH28" s="26" t="str">
        <f>IF($C28="","",'Profile &amp; Baseline'!BH28/INDEX('Global Constants'!BA$38:BA$40,$H28))</f>
        <v/>
      </c>
      <c r="BI28" s="26" t="str">
        <f>IF($C28="","",'Profile &amp; Baseline'!BI28/INDEX('Global Constants'!BB$38:BB$40,$H28))</f>
        <v/>
      </c>
      <c r="BJ28" s="26" t="str">
        <f>IF($C28="","",'Profile &amp; Baseline'!BJ28/INDEX('Global Constants'!BC$38:BC$40,$H28))</f>
        <v/>
      </c>
      <c r="BK28" s="26" t="str">
        <f>IF($C28="","",'Profile &amp; Baseline'!BK28/INDEX('Global Constants'!BD$38:BD$40,$H28))</f>
        <v/>
      </c>
      <c r="BL28" s="26" t="str">
        <f>IF($C28="","",'Profile &amp; Baseline'!BL28/INDEX('Global Constants'!BE$38:BE$40,$H28))</f>
        <v/>
      </c>
      <c r="BM28" s="26" t="str">
        <f>IF($C28="","",'Profile &amp; Baseline'!BM28/INDEX('Global Constants'!BF$38:BF$40,$H28))</f>
        <v/>
      </c>
      <c r="BN28" s="26" t="str">
        <f>IF($C28="","",'Profile &amp; Baseline'!BN28/INDEX('Global Constants'!BG$38:BG$40,$H28))</f>
        <v/>
      </c>
      <c r="BO28" s="26" t="str">
        <f>IF($C28="","",'Profile &amp; Baseline'!BO28/INDEX('Global Constants'!BH$38:BH$40,$H28))</f>
        <v/>
      </c>
      <c r="BP28" s="26" t="str">
        <f>IF($C28="","",'Profile &amp; Baseline'!BP28/INDEX('Global Constants'!BI$38:BI$40,$H28))</f>
        <v/>
      </c>
      <c r="BQ28" s="26" t="str">
        <f>IF($C28="","",'Profile &amp; Baseline'!BQ28/INDEX('Global Constants'!BJ$38:BJ$40,$H28))</f>
        <v/>
      </c>
      <c r="BR28" s="26" t="str">
        <f>IF($C28="","",'Profile &amp; Baseline'!BR28/INDEX('Global Constants'!BK$38:BK$40,$H28))</f>
        <v/>
      </c>
      <c r="BS28" s="26" t="str">
        <f>IF($C28="","",'Profile &amp; Baseline'!BS28/INDEX('Global Constants'!BL$38:BL$40,$H28))</f>
        <v/>
      </c>
      <c r="BT28" s="26" t="str">
        <f>IF($C28="","",'Profile &amp; Baseline'!BT28/INDEX('Global Constants'!BM$38:BM$40,$H28))</f>
        <v/>
      </c>
      <c r="BU28" s="26" t="str">
        <f>IF($C28="","",'Profile &amp; Baseline'!BU28/INDEX('Global Constants'!BN$38:BN$40,$H28))</f>
        <v/>
      </c>
      <c r="BV28" s="26" t="str">
        <f>IF($C28="","",'Profile &amp; Baseline'!BV28/INDEX('Global Constants'!BO$38:BO$40,$H28))</f>
        <v/>
      </c>
      <c r="BW28" s="26" t="str">
        <f>IF($C28="","",'Profile &amp; Baseline'!BW28/INDEX('Global Constants'!BP$38:BP$40,$H28))</f>
        <v/>
      </c>
      <c r="BX28" s="26" t="str">
        <f>IF($C28="","",'Profile &amp; Baseline'!BX28/INDEX('Global Constants'!BQ$38:BQ$40,$H28))</f>
        <v/>
      </c>
      <c r="BY28" s="26" t="str">
        <f>IF($C28="","",'Profile &amp; Baseline'!BY28/INDEX('Global Constants'!BR$38:BR$40,$H28))</f>
        <v/>
      </c>
      <c r="BZ28" s="26" t="str">
        <f>IF($C28="","",'Profile &amp; Baseline'!BZ28/INDEX('Global Constants'!BS$38:BS$40,$H28))</f>
        <v/>
      </c>
      <c r="CA28" s="26" t="str">
        <f>IF($C28="","",'Profile &amp; Baseline'!CA28/INDEX('Global Constants'!BT$38:BT$40,$H28))</f>
        <v/>
      </c>
      <c r="CB28" s="26" t="str">
        <f>IF($C28="","",'Profile &amp; Baseline'!CB28/INDEX('Global Constants'!BU$38:BU$40,$H28))</f>
        <v/>
      </c>
      <c r="CC28" s="26" t="str">
        <f>IF($C28="","",'Profile &amp; Baseline'!CC28/INDEX('Global Constants'!BV$38:BV$40,$H28))</f>
        <v/>
      </c>
      <c r="CD28" s="26" t="str">
        <f>IF($C28="","",'Profile &amp; Baseline'!CD28/INDEX('Global Constants'!BW$38:BW$40,$H28))</f>
        <v/>
      </c>
      <c r="CE28" s="26" t="str">
        <f>IF($C28="","",'Profile &amp; Baseline'!CE28/INDEX('Global Constants'!BX$38:BX$40,$H28))</f>
        <v/>
      </c>
      <c r="CF28" s="26" t="str">
        <f>IF($C28="","",'Profile &amp; Baseline'!CF28/INDEX('Global Constants'!BY$38:BY$40,$H28))</f>
        <v/>
      </c>
      <c r="CG28" s="26" t="str">
        <f>IF($C28="","",'Profile &amp; Baseline'!CG28/INDEX('Global Constants'!BZ$38:BZ$40,$H28))</f>
        <v/>
      </c>
      <c r="CH28" s="26" t="str">
        <f>IF($C28="","",'Profile &amp; Baseline'!CH28/INDEX('Global Constants'!CA$38:CA$40,$H28))</f>
        <v/>
      </c>
      <c r="CI28" s="26" t="str">
        <f>IF($C28="","",'Profile &amp; Baseline'!CI28/INDEX('Global Constants'!CB$38:CB$40,$H28))</f>
        <v/>
      </c>
      <c r="CJ28" s="26" t="str">
        <f>IF($C28="","",'Profile &amp; Baseline'!CJ28/INDEX('Global Constants'!CC$38:CC$40,$H28))</f>
        <v/>
      </c>
      <c r="CK28" s="26" t="str">
        <f>IF($C28="","",'Profile &amp; Baseline'!CK28/INDEX('Global Constants'!CD$38:CD$40,$H28))</f>
        <v/>
      </c>
      <c r="CL28" s="26" t="str">
        <f>IF($C28="","",'Profile &amp; Baseline'!CL28/INDEX('Global Constants'!CE$38:CE$40,$H28))</f>
        <v/>
      </c>
      <c r="CM28" s="26" t="str">
        <f>IF($C28="","",'Profile &amp; Baseline'!CM28/INDEX('Global Constants'!CF$38:CF$40,$H28))</f>
        <v/>
      </c>
      <c r="CN28" s="26" t="str">
        <f>IF($C28="","",'Profile &amp; Baseline'!CN28/INDEX('Global Constants'!CG$38:CG$40,$H28))</f>
        <v/>
      </c>
      <c r="CO28" s="26" t="str">
        <f>IF($C28="","",'Profile &amp; Baseline'!CO28/INDEX('Global Constants'!CH$38:CH$40,$H28))</f>
        <v/>
      </c>
      <c r="CP28" s="26" t="str">
        <f>IF($C28="","",'Profile &amp; Baseline'!CP28/INDEX('Global Constants'!CI$38:CI$40,$H28))</f>
        <v/>
      </c>
      <c r="CQ28" s="26" t="str">
        <f>IF($C28="","",'Profile &amp; Baseline'!CQ28/INDEX('Global Constants'!CJ$38:CJ$40,$H28))</f>
        <v/>
      </c>
      <c r="CR28" s="26" t="str">
        <f>IF($C28="","",'Profile &amp; Baseline'!CR28/INDEX('Global Constants'!CK$38:CK$40,$H28))</f>
        <v/>
      </c>
      <c r="CS28" s="26" t="str">
        <f>IF($C28="","",'Profile &amp; Baseline'!CS28/INDEX('Global Constants'!CL$38:CL$40,$H28))</f>
        <v/>
      </c>
      <c r="CT28" s="26" t="str">
        <f>IF($C28="","",'Profile &amp; Baseline'!CT28/INDEX('Global Constants'!CM$38:CM$40,$H28))</f>
        <v/>
      </c>
      <c r="CU28" s="26" t="str">
        <f>IF($C28="","",'Profile &amp; Baseline'!CU28/INDEX('Global Constants'!CN$38:CN$40,$H28))</f>
        <v/>
      </c>
      <c r="CV28" s="26" t="str">
        <f>IF($C28="","",'Profile &amp; Baseline'!CV28/INDEX('Global Constants'!CO$38:CO$40,$H28))</f>
        <v/>
      </c>
      <c r="CW28" s="26" t="str">
        <f>IF($C28="","",'Profile &amp; Baseline'!CW28/INDEX('Global Constants'!CP$38:CP$40,$H28))</f>
        <v/>
      </c>
      <c r="CX28" s="26" t="str">
        <f>IF($C28="","",'Profile &amp; Baseline'!CX28/INDEX('Global Constants'!CQ$38:CQ$40,$H28))</f>
        <v/>
      </c>
      <c r="CZ28" s="26">
        <f t="shared" ca="1" si="1"/>
        <v>0</v>
      </c>
      <c r="DA28" s="26">
        <f t="shared" si="2"/>
        <v>0</v>
      </c>
    </row>
    <row r="29" spans="3:105" x14ac:dyDescent="0.3">
      <c r="C29" s="4" t="str">
        <f>IF('Cost &amp; Risk Inputs'!C30="","",'Cost &amp; Risk Inputs'!C30)</f>
        <v/>
      </c>
      <c r="D29" s="4" t="str">
        <f>IF(C29="","",'Cost &amp; Risk Inputs'!H30)</f>
        <v/>
      </c>
      <c r="E29" s="4" t="str">
        <f>IF(C29="","",'Cost &amp; Risk Inputs'!I30)</f>
        <v/>
      </c>
      <c r="F29" s="4" t="str">
        <f>IF(C29="","",'Cost &amp; Risk Inputs'!G30)</f>
        <v/>
      </c>
      <c r="H29" s="18" t="str">
        <f t="shared" si="0"/>
        <v/>
      </c>
      <c r="M29" s="26" t="str">
        <f>IF($C29="","",'Profile &amp; Baseline'!M29/INDEX('Global Constants'!F$38:F$40,$H29))</f>
        <v/>
      </c>
      <c r="N29" s="26" t="str">
        <f>IF($C29="","",'Profile &amp; Baseline'!N29/INDEX('Global Constants'!G$38:G$40,$H29))</f>
        <v/>
      </c>
      <c r="O29" s="26" t="str">
        <f>IF($C29="","",'Profile &amp; Baseline'!O29/INDEX('Global Constants'!H$38:H$40,$H29))</f>
        <v/>
      </c>
      <c r="P29" s="26" t="str">
        <f>IF($C29="","",'Profile &amp; Baseline'!P29/INDEX('Global Constants'!I$38:I$40,$H29))</f>
        <v/>
      </c>
      <c r="Q29" s="26" t="str">
        <f>IF($C29="","",'Profile &amp; Baseline'!Q29/INDEX('Global Constants'!J$38:J$40,$H29))</f>
        <v/>
      </c>
      <c r="R29" s="26" t="str">
        <f>IF($C29="","",'Profile &amp; Baseline'!R29/INDEX('Global Constants'!K$38:K$40,$H29))</f>
        <v/>
      </c>
      <c r="S29" s="26" t="str">
        <f>IF($C29="","",'Profile &amp; Baseline'!S29/INDEX('Global Constants'!L$38:L$40,$H29))</f>
        <v/>
      </c>
      <c r="T29" s="26" t="str">
        <f>IF($C29="","",'Profile &amp; Baseline'!T29/INDEX('Global Constants'!M$38:M$40,$H29))</f>
        <v/>
      </c>
      <c r="U29" s="26" t="str">
        <f>IF($C29="","",'Profile &amp; Baseline'!U29/INDEX('Global Constants'!N$38:N$40,$H29))</f>
        <v/>
      </c>
      <c r="V29" s="26" t="str">
        <f>IF($C29="","",'Profile &amp; Baseline'!V29/INDEX('Global Constants'!O$38:O$40,$H29))</f>
        <v/>
      </c>
      <c r="W29" s="26" t="str">
        <f>IF($C29="","",'Profile &amp; Baseline'!W29/INDEX('Global Constants'!P$38:P$40,$H29))</f>
        <v/>
      </c>
      <c r="X29" s="26" t="str">
        <f>IF($C29="","",'Profile &amp; Baseline'!X29/INDEX('Global Constants'!Q$38:Q$40,$H29))</f>
        <v/>
      </c>
      <c r="Y29" s="26" t="str">
        <f>IF($C29="","",'Profile &amp; Baseline'!Y29/INDEX('Global Constants'!R$38:R$40,$H29))</f>
        <v/>
      </c>
      <c r="Z29" s="26" t="str">
        <f>IF($C29="","",'Profile &amp; Baseline'!Z29/INDEX('Global Constants'!S$38:S$40,$H29))</f>
        <v/>
      </c>
      <c r="AA29" s="26" t="str">
        <f>IF($C29="","",'Profile &amp; Baseline'!AA29/INDEX('Global Constants'!T$38:T$40,$H29))</f>
        <v/>
      </c>
      <c r="AB29" s="26" t="str">
        <f>IF($C29="","",'Profile &amp; Baseline'!AB29/INDEX('Global Constants'!U$38:U$40,$H29))</f>
        <v/>
      </c>
      <c r="AC29" s="26" t="str">
        <f>IF($C29="","",'Profile &amp; Baseline'!AC29/INDEX('Global Constants'!V$38:V$40,$H29))</f>
        <v/>
      </c>
      <c r="AD29" s="26" t="str">
        <f>IF($C29="","",'Profile &amp; Baseline'!AD29/INDEX('Global Constants'!W$38:W$40,$H29))</f>
        <v/>
      </c>
      <c r="AE29" s="26" t="str">
        <f>IF($C29="","",'Profile &amp; Baseline'!AE29/INDEX('Global Constants'!X$38:X$40,$H29))</f>
        <v/>
      </c>
      <c r="AF29" s="26" t="str">
        <f>IF($C29="","",'Profile &amp; Baseline'!AF29/INDEX('Global Constants'!Y$38:Y$40,$H29))</f>
        <v/>
      </c>
      <c r="AG29" s="26" t="str">
        <f>IF($C29="","",'Profile &amp; Baseline'!AG29/INDEX('Global Constants'!Z$38:Z$40,$H29))</f>
        <v/>
      </c>
      <c r="AH29" s="26" t="str">
        <f>IF($C29="","",'Profile &amp; Baseline'!AH29/INDEX('Global Constants'!AA$38:AA$40,$H29))</f>
        <v/>
      </c>
      <c r="AI29" s="26" t="str">
        <f>IF($C29="","",'Profile &amp; Baseline'!AI29/INDEX('Global Constants'!AB$38:AB$40,$H29))</f>
        <v/>
      </c>
      <c r="AJ29" s="26" t="str">
        <f>IF($C29="","",'Profile &amp; Baseline'!AJ29/INDEX('Global Constants'!AC$38:AC$40,$H29))</f>
        <v/>
      </c>
      <c r="AK29" s="26" t="str">
        <f>IF($C29="","",'Profile &amp; Baseline'!AK29/INDEX('Global Constants'!AD$38:AD$40,$H29))</f>
        <v/>
      </c>
      <c r="AL29" s="26" t="str">
        <f>IF($C29="","",'Profile &amp; Baseline'!AL29/INDEX('Global Constants'!AE$38:AE$40,$H29))</f>
        <v/>
      </c>
      <c r="AM29" s="26" t="str">
        <f>IF($C29="","",'Profile &amp; Baseline'!AM29/INDEX('Global Constants'!AF$38:AF$40,$H29))</f>
        <v/>
      </c>
      <c r="AN29" s="26" t="str">
        <f>IF($C29="","",'Profile &amp; Baseline'!AN29/INDEX('Global Constants'!AG$38:AG$40,$H29))</f>
        <v/>
      </c>
      <c r="AO29" s="26" t="str">
        <f>IF($C29="","",'Profile &amp; Baseline'!AO29/INDEX('Global Constants'!AH$38:AH$40,$H29))</f>
        <v/>
      </c>
      <c r="AP29" s="26" t="str">
        <f>IF($C29="","",'Profile &amp; Baseline'!AP29/INDEX('Global Constants'!AI$38:AI$40,$H29))</f>
        <v/>
      </c>
      <c r="AQ29" s="26" t="str">
        <f>IF($C29="","",'Profile &amp; Baseline'!AQ29/INDEX('Global Constants'!AJ$38:AJ$40,$H29))</f>
        <v/>
      </c>
      <c r="AR29" s="26" t="str">
        <f>IF($C29="","",'Profile &amp; Baseline'!AR29/INDEX('Global Constants'!AK$38:AK$40,$H29))</f>
        <v/>
      </c>
      <c r="AS29" s="26" t="str">
        <f>IF($C29="","",'Profile &amp; Baseline'!AS29/INDEX('Global Constants'!AL$38:AL$40,$H29))</f>
        <v/>
      </c>
      <c r="AT29" s="26" t="str">
        <f>IF($C29="","",'Profile &amp; Baseline'!AT29/INDEX('Global Constants'!AM$38:AM$40,$H29))</f>
        <v/>
      </c>
      <c r="AU29" s="26" t="str">
        <f>IF($C29="","",'Profile &amp; Baseline'!AU29/INDEX('Global Constants'!AN$38:AN$40,$H29))</f>
        <v/>
      </c>
      <c r="AV29" s="26" t="str">
        <f>IF($C29="","",'Profile &amp; Baseline'!AV29/INDEX('Global Constants'!AO$38:AO$40,$H29))</f>
        <v/>
      </c>
      <c r="AW29" s="26" t="str">
        <f>IF($C29="","",'Profile &amp; Baseline'!AW29/INDEX('Global Constants'!AP$38:AP$40,$H29))</f>
        <v/>
      </c>
      <c r="AX29" s="26" t="str">
        <f>IF($C29="","",'Profile &amp; Baseline'!AX29/INDEX('Global Constants'!AQ$38:AQ$40,$H29))</f>
        <v/>
      </c>
      <c r="AY29" s="26" t="str">
        <f>IF($C29="","",'Profile &amp; Baseline'!AY29/INDEX('Global Constants'!AR$38:AR$40,$H29))</f>
        <v/>
      </c>
      <c r="AZ29" s="26" t="str">
        <f>IF($C29="","",'Profile &amp; Baseline'!AZ29/INDEX('Global Constants'!AS$38:AS$40,$H29))</f>
        <v/>
      </c>
      <c r="BA29" s="26" t="str">
        <f>IF($C29="","",'Profile &amp; Baseline'!BA29/INDEX('Global Constants'!AT$38:AT$40,$H29))</f>
        <v/>
      </c>
      <c r="BB29" s="26" t="str">
        <f>IF($C29="","",'Profile &amp; Baseline'!BB29/INDEX('Global Constants'!AU$38:AU$40,$H29))</f>
        <v/>
      </c>
      <c r="BC29" s="26" t="str">
        <f>IF($C29="","",'Profile &amp; Baseline'!BC29/INDEX('Global Constants'!AV$38:AV$40,$H29))</f>
        <v/>
      </c>
      <c r="BD29" s="26" t="str">
        <f>IF($C29="","",'Profile &amp; Baseline'!BD29/INDEX('Global Constants'!AW$38:AW$40,$H29))</f>
        <v/>
      </c>
      <c r="BE29" s="26" t="str">
        <f>IF($C29="","",'Profile &amp; Baseline'!BE29/INDEX('Global Constants'!AX$38:AX$40,$H29))</f>
        <v/>
      </c>
      <c r="BF29" s="26" t="str">
        <f>IF($C29="","",'Profile &amp; Baseline'!BF29/INDEX('Global Constants'!AY$38:AY$40,$H29))</f>
        <v/>
      </c>
      <c r="BG29" s="26" t="str">
        <f>IF($C29="","",'Profile &amp; Baseline'!BG29/INDEX('Global Constants'!AZ$38:AZ$40,$H29))</f>
        <v/>
      </c>
      <c r="BH29" s="26" t="str">
        <f>IF($C29="","",'Profile &amp; Baseline'!BH29/INDEX('Global Constants'!BA$38:BA$40,$H29))</f>
        <v/>
      </c>
      <c r="BI29" s="26" t="str">
        <f>IF($C29="","",'Profile &amp; Baseline'!BI29/INDEX('Global Constants'!BB$38:BB$40,$H29))</f>
        <v/>
      </c>
      <c r="BJ29" s="26" t="str">
        <f>IF($C29="","",'Profile &amp; Baseline'!BJ29/INDEX('Global Constants'!BC$38:BC$40,$H29))</f>
        <v/>
      </c>
      <c r="BK29" s="26" t="str">
        <f>IF($C29="","",'Profile &amp; Baseline'!BK29/INDEX('Global Constants'!BD$38:BD$40,$H29))</f>
        <v/>
      </c>
      <c r="BL29" s="26" t="str">
        <f>IF($C29="","",'Profile &amp; Baseline'!BL29/INDEX('Global Constants'!BE$38:BE$40,$H29))</f>
        <v/>
      </c>
      <c r="BM29" s="26" t="str">
        <f>IF($C29="","",'Profile &amp; Baseline'!BM29/INDEX('Global Constants'!BF$38:BF$40,$H29))</f>
        <v/>
      </c>
      <c r="BN29" s="26" t="str">
        <f>IF($C29="","",'Profile &amp; Baseline'!BN29/INDEX('Global Constants'!BG$38:BG$40,$H29))</f>
        <v/>
      </c>
      <c r="BO29" s="26" t="str">
        <f>IF($C29="","",'Profile &amp; Baseline'!BO29/INDEX('Global Constants'!BH$38:BH$40,$H29))</f>
        <v/>
      </c>
      <c r="BP29" s="26" t="str">
        <f>IF($C29="","",'Profile &amp; Baseline'!BP29/INDEX('Global Constants'!BI$38:BI$40,$H29))</f>
        <v/>
      </c>
      <c r="BQ29" s="26" t="str">
        <f>IF($C29="","",'Profile &amp; Baseline'!BQ29/INDEX('Global Constants'!BJ$38:BJ$40,$H29))</f>
        <v/>
      </c>
      <c r="BR29" s="26" t="str">
        <f>IF($C29="","",'Profile &amp; Baseline'!BR29/INDEX('Global Constants'!BK$38:BK$40,$H29))</f>
        <v/>
      </c>
      <c r="BS29" s="26" t="str">
        <f>IF($C29="","",'Profile &amp; Baseline'!BS29/INDEX('Global Constants'!BL$38:BL$40,$H29))</f>
        <v/>
      </c>
      <c r="BT29" s="26" t="str">
        <f>IF($C29="","",'Profile &amp; Baseline'!BT29/INDEX('Global Constants'!BM$38:BM$40,$H29))</f>
        <v/>
      </c>
      <c r="BU29" s="26" t="str">
        <f>IF($C29="","",'Profile &amp; Baseline'!BU29/INDEX('Global Constants'!BN$38:BN$40,$H29))</f>
        <v/>
      </c>
      <c r="BV29" s="26" t="str">
        <f>IF($C29="","",'Profile &amp; Baseline'!BV29/INDEX('Global Constants'!BO$38:BO$40,$H29))</f>
        <v/>
      </c>
      <c r="BW29" s="26" t="str">
        <f>IF($C29="","",'Profile &amp; Baseline'!BW29/INDEX('Global Constants'!BP$38:BP$40,$H29))</f>
        <v/>
      </c>
      <c r="BX29" s="26" t="str">
        <f>IF($C29="","",'Profile &amp; Baseline'!BX29/INDEX('Global Constants'!BQ$38:BQ$40,$H29))</f>
        <v/>
      </c>
      <c r="BY29" s="26" t="str">
        <f>IF($C29="","",'Profile &amp; Baseline'!BY29/INDEX('Global Constants'!BR$38:BR$40,$H29))</f>
        <v/>
      </c>
      <c r="BZ29" s="26" t="str">
        <f>IF($C29="","",'Profile &amp; Baseline'!BZ29/INDEX('Global Constants'!BS$38:BS$40,$H29))</f>
        <v/>
      </c>
      <c r="CA29" s="26" t="str">
        <f>IF($C29="","",'Profile &amp; Baseline'!CA29/INDEX('Global Constants'!BT$38:BT$40,$H29))</f>
        <v/>
      </c>
      <c r="CB29" s="26" t="str">
        <f>IF($C29="","",'Profile &amp; Baseline'!CB29/INDEX('Global Constants'!BU$38:BU$40,$H29))</f>
        <v/>
      </c>
      <c r="CC29" s="26" t="str">
        <f>IF($C29="","",'Profile &amp; Baseline'!CC29/INDEX('Global Constants'!BV$38:BV$40,$H29))</f>
        <v/>
      </c>
      <c r="CD29" s="26" t="str">
        <f>IF($C29="","",'Profile &amp; Baseline'!CD29/INDEX('Global Constants'!BW$38:BW$40,$H29))</f>
        <v/>
      </c>
      <c r="CE29" s="26" t="str">
        <f>IF($C29="","",'Profile &amp; Baseline'!CE29/INDEX('Global Constants'!BX$38:BX$40,$H29))</f>
        <v/>
      </c>
      <c r="CF29" s="26" t="str">
        <f>IF($C29="","",'Profile &amp; Baseline'!CF29/INDEX('Global Constants'!BY$38:BY$40,$H29))</f>
        <v/>
      </c>
      <c r="CG29" s="26" t="str">
        <f>IF($C29="","",'Profile &amp; Baseline'!CG29/INDEX('Global Constants'!BZ$38:BZ$40,$H29))</f>
        <v/>
      </c>
      <c r="CH29" s="26" t="str">
        <f>IF($C29="","",'Profile &amp; Baseline'!CH29/INDEX('Global Constants'!CA$38:CA$40,$H29))</f>
        <v/>
      </c>
      <c r="CI29" s="26" t="str">
        <f>IF($C29="","",'Profile &amp; Baseline'!CI29/INDEX('Global Constants'!CB$38:CB$40,$H29))</f>
        <v/>
      </c>
      <c r="CJ29" s="26" t="str">
        <f>IF($C29="","",'Profile &amp; Baseline'!CJ29/INDEX('Global Constants'!CC$38:CC$40,$H29))</f>
        <v/>
      </c>
      <c r="CK29" s="26" t="str">
        <f>IF($C29="","",'Profile &amp; Baseline'!CK29/INDEX('Global Constants'!CD$38:CD$40,$H29))</f>
        <v/>
      </c>
      <c r="CL29" s="26" t="str">
        <f>IF($C29="","",'Profile &amp; Baseline'!CL29/INDEX('Global Constants'!CE$38:CE$40,$H29))</f>
        <v/>
      </c>
      <c r="CM29" s="26" t="str">
        <f>IF($C29="","",'Profile &amp; Baseline'!CM29/INDEX('Global Constants'!CF$38:CF$40,$H29))</f>
        <v/>
      </c>
      <c r="CN29" s="26" t="str">
        <f>IF($C29="","",'Profile &amp; Baseline'!CN29/INDEX('Global Constants'!CG$38:CG$40,$H29))</f>
        <v/>
      </c>
      <c r="CO29" s="26" t="str">
        <f>IF($C29="","",'Profile &amp; Baseline'!CO29/INDEX('Global Constants'!CH$38:CH$40,$H29))</f>
        <v/>
      </c>
      <c r="CP29" s="26" t="str">
        <f>IF($C29="","",'Profile &amp; Baseline'!CP29/INDEX('Global Constants'!CI$38:CI$40,$H29))</f>
        <v/>
      </c>
      <c r="CQ29" s="26" t="str">
        <f>IF($C29="","",'Profile &amp; Baseline'!CQ29/INDEX('Global Constants'!CJ$38:CJ$40,$H29))</f>
        <v/>
      </c>
      <c r="CR29" s="26" t="str">
        <f>IF($C29="","",'Profile &amp; Baseline'!CR29/INDEX('Global Constants'!CK$38:CK$40,$H29))</f>
        <v/>
      </c>
      <c r="CS29" s="26" t="str">
        <f>IF($C29="","",'Profile &amp; Baseline'!CS29/INDEX('Global Constants'!CL$38:CL$40,$H29))</f>
        <v/>
      </c>
      <c r="CT29" s="26" t="str">
        <f>IF($C29="","",'Profile &amp; Baseline'!CT29/INDEX('Global Constants'!CM$38:CM$40,$H29))</f>
        <v/>
      </c>
      <c r="CU29" s="26" t="str">
        <f>IF($C29="","",'Profile &amp; Baseline'!CU29/INDEX('Global Constants'!CN$38:CN$40,$H29))</f>
        <v/>
      </c>
      <c r="CV29" s="26" t="str">
        <f>IF($C29="","",'Profile &amp; Baseline'!CV29/INDEX('Global Constants'!CO$38:CO$40,$H29))</f>
        <v/>
      </c>
      <c r="CW29" s="26" t="str">
        <f>IF($C29="","",'Profile &amp; Baseline'!CW29/INDEX('Global Constants'!CP$38:CP$40,$H29))</f>
        <v/>
      </c>
      <c r="CX29" s="26" t="str">
        <f>IF($C29="","",'Profile &amp; Baseline'!CX29/INDEX('Global Constants'!CQ$38:CQ$40,$H29))</f>
        <v/>
      </c>
      <c r="CZ29" s="26">
        <f t="shared" ca="1" si="1"/>
        <v>0</v>
      </c>
      <c r="DA29" s="26">
        <f t="shared" si="2"/>
        <v>0</v>
      </c>
    </row>
    <row r="30" spans="3:105" x14ac:dyDescent="0.3">
      <c r="C30" s="4" t="str">
        <f>IF('Cost &amp; Risk Inputs'!C31="","",'Cost &amp; Risk Inputs'!C31)</f>
        <v/>
      </c>
      <c r="D30" s="4" t="str">
        <f>IF(C30="","",'Cost &amp; Risk Inputs'!H31)</f>
        <v/>
      </c>
      <c r="E30" s="4" t="str">
        <f>IF(C30="","",'Cost &amp; Risk Inputs'!I31)</f>
        <v/>
      </c>
      <c r="F30" s="4" t="str">
        <f>IF(C30="","",'Cost &amp; Risk Inputs'!G31)</f>
        <v/>
      </c>
      <c r="H30" s="18" t="str">
        <f t="shared" si="0"/>
        <v/>
      </c>
      <c r="M30" s="26" t="str">
        <f>IF($C30="","",'Profile &amp; Baseline'!M30/INDEX('Global Constants'!F$38:F$40,$H30))</f>
        <v/>
      </c>
      <c r="N30" s="26" t="str">
        <f>IF($C30="","",'Profile &amp; Baseline'!N30/INDEX('Global Constants'!G$38:G$40,$H30))</f>
        <v/>
      </c>
      <c r="O30" s="26" t="str">
        <f>IF($C30="","",'Profile &amp; Baseline'!O30/INDEX('Global Constants'!H$38:H$40,$H30))</f>
        <v/>
      </c>
      <c r="P30" s="26" t="str">
        <f>IF($C30="","",'Profile &amp; Baseline'!P30/INDEX('Global Constants'!I$38:I$40,$H30))</f>
        <v/>
      </c>
      <c r="Q30" s="26" t="str">
        <f>IF($C30="","",'Profile &amp; Baseline'!Q30/INDEX('Global Constants'!J$38:J$40,$H30))</f>
        <v/>
      </c>
      <c r="R30" s="26" t="str">
        <f>IF($C30="","",'Profile &amp; Baseline'!R30/INDEX('Global Constants'!K$38:K$40,$H30))</f>
        <v/>
      </c>
      <c r="S30" s="26" t="str">
        <f>IF($C30="","",'Profile &amp; Baseline'!S30/INDEX('Global Constants'!L$38:L$40,$H30))</f>
        <v/>
      </c>
      <c r="T30" s="26" t="str">
        <f>IF($C30="","",'Profile &amp; Baseline'!T30/INDEX('Global Constants'!M$38:M$40,$H30))</f>
        <v/>
      </c>
      <c r="U30" s="26" t="str">
        <f>IF($C30="","",'Profile &amp; Baseline'!U30/INDEX('Global Constants'!N$38:N$40,$H30))</f>
        <v/>
      </c>
      <c r="V30" s="26" t="str">
        <f>IF($C30="","",'Profile &amp; Baseline'!V30/INDEX('Global Constants'!O$38:O$40,$H30))</f>
        <v/>
      </c>
      <c r="W30" s="26" t="str">
        <f>IF($C30="","",'Profile &amp; Baseline'!W30/INDEX('Global Constants'!P$38:P$40,$H30))</f>
        <v/>
      </c>
      <c r="X30" s="26" t="str">
        <f>IF($C30="","",'Profile &amp; Baseline'!X30/INDEX('Global Constants'!Q$38:Q$40,$H30))</f>
        <v/>
      </c>
      <c r="Y30" s="26" t="str">
        <f>IF($C30="","",'Profile &amp; Baseline'!Y30/INDEX('Global Constants'!R$38:R$40,$H30))</f>
        <v/>
      </c>
      <c r="Z30" s="26" t="str">
        <f>IF($C30="","",'Profile &amp; Baseline'!Z30/INDEX('Global Constants'!S$38:S$40,$H30))</f>
        <v/>
      </c>
      <c r="AA30" s="26" t="str">
        <f>IF($C30="","",'Profile &amp; Baseline'!AA30/INDEX('Global Constants'!T$38:T$40,$H30))</f>
        <v/>
      </c>
      <c r="AB30" s="26" t="str">
        <f>IF($C30="","",'Profile &amp; Baseline'!AB30/INDEX('Global Constants'!U$38:U$40,$H30))</f>
        <v/>
      </c>
      <c r="AC30" s="26" t="str">
        <f>IF($C30="","",'Profile &amp; Baseline'!AC30/INDEX('Global Constants'!V$38:V$40,$H30))</f>
        <v/>
      </c>
      <c r="AD30" s="26" t="str">
        <f>IF($C30="","",'Profile &amp; Baseline'!AD30/INDEX('Global Constants'!W$38:W$40,$H30))</f>
        <v/>
      </c>
      <c r="AE30" s="26" t="str">
        <f>IF($C30="","",'Profile &amp; Baseline'!AE30/INDEX('Global Constants'!X$38:X$40,$H30))</f>
        <v/>
      </c>
      <c r="AF30" s="26" t="str">
        <f>IF($C30="","",'Profile &amp; Baseline'!AF30/INDEX('Global Constants'!Y$38:Y$40,$H30))</f>
        <v/>
      </c>
      <c r="AG30" s="26" t="str">
        <f>IF($C30="","",'Profile &amp; Baseline'!AG30/INDEX('Global Constants'!Z$38:Z$40,$H30))</f>
        <v/>
      </c>
      <c r="AH30" s="26" t="str">
        <f>IF($C30="","",'Profile &amp; Baseline'!AH30/INDEX('Global Constants'!AA$38:AA$40,$H30))</f>
        <v/>
      </c>
      <c r="AI30" s="26" t="str">
        <f>IF($C30="","",'Profile &amp; Baseline'!AI30/INDEX('Global Constants'!AB$38:AB$40,$H30))</f>
        <v/>
      </c>
      <c r="AJ30" s="26" t="str">
        <f>IF($C30="","",'Profile &amp; Baseline'!AJ30/INDEX('Global Constants'!AC$38:AC$40,$H30))</f>
        <v/>
      </c>
      <c r="AK30" s="26" t="str">
        <f>IF($C30="","",'Profile &amp; Baseline'!AK30/INDEX('Global Constants'!AD$38:AD$40,$H30))</f>
        <v/>
      </c>
      <c r="AL30" s="26" t="str">
        <f>IF($C30="","",'Profile &amp; Baseline'!AL30/INDEX('Global Constants'!AE$38:AE$40,$H30))</f>
        <v/>
      </c>
      <c r="AM30" s="26" t="str">
        <f>IF($C30="","",'Profile &amp; Baseline'!AM30/INDEX('Global Constants'!AF$38:AF$40,$H30))</f>
        <v/>
      </c>
      <c r="AN30" s="26" t="str">
        <f>IF($C30="","",'Profile &amp; Baseline'!AN30/INDEX('Global Constants'!AG$38:AG$40,$H30))</f>
        <v/>
      </c>
      <c r="AO30" s="26" t="str">
        <f>IF($C30="","",'Profile &amp; Baseline'!AO30/INDEX('Global Constants'!AH$38:AH$40,$H30))</f>
        <v/>
      </c>
      <c r="AP30" s="26" t="str">
        <f>IF($C30="","",'Profile &amp; Baseline'!AP30/INDEX('Global Constants'!AI$38:AI$40,$H30))</f>
        <v/>
      </c>
      <c r="AQ30" s="26" t="str">
        <f>IF($C30="","",'Profile &amp; Baseline'!AQ30/INDEX('Global Constants'!AJ$38:AJ$40,$H30))</f>
        <v/>
      </c>
      <c r="AR30" s="26" t="str">
        <f>IF($C30="","",'Profile &amp; Baseline'!AR30/INDEX('Global Constants'!AK$38:AK$40,$H30))</f>
        <v/>
      </c>
      <c r="AS30" s="26" t="str">
        <f>IF($C30="","",'Profile &amp; Baseline'!AS30/INDEX('Global Constants'!AL$38:AL$40,$H30))</f>
        <v/>
      </c>
      <c r="AT30" s="26" t="str">
        <f>IF($C30="","",'Profile &amp; Baseline'!AT30/INDEX('Global Constants'!AM$38:AM$40,$H30))</f>
        <v/>
      </c>
      <c r="AU30" s="26" t="str">
        <f>IF($C30="","",'Profile &amp; Baseline'!AU30/INDEX('Global Constants'!AN$38:AN$40,$H30))</f>
        <v/>
      </c>
      <c r="AV30" s="26" t="str">
        <f>IF($C30="","",'Profile &amp; Baseline'!AV30/INDEX('Global Constants'!AO$38:AO$40,$H30))</f>
        <v/>
      </c>
      <c r="AW30" s="26" t="str">
        <f>IF($C30="","",'Profile &amp; Baseline'!AW30/INDEX('Global Constants'!AP$38:AP$40,$H30))</f>
        <v/>
      </c>
      <c r="AX30" s="26" t="str">
        <f>IF($C30="","",'Profile &amp; Baseline'!AX30/INDEX('Global Constants'!AQ$38:AQ$40,$H30))</f>
        <v/>
      </c>
      <c r="AY30" s="26" t="str">
        <f>IF($C30="","",'Profile &amp; Baseline'!AY30/INDEX('Global Constants'!AR$38:AR$40,$H30))</f>
        <v/>
      </c>
      <c r="AZ30" s="26" t="str">
        <f>IF($C30="","",'Profile &amp; Baseline'!AZ30/INDEX('Global Constants'!AS$38:AS$40,$H30))</f>
        <v/>
      </c>
      <c r="BA30" s="26" t="str">
        <f>IF($C30="","",'Profile &amp; Baseline'!BA30/INDEX('Global Constants'!AT$38:AT$40,$H30))</f>
        <v/>
      </c>
      <c r="BB30" s="26" t="str">
        <f>IF($C30="","",'Profile &amp; Baseline'!BB30/INDEX('Global Constants'!AU$38:AU$40,$H30))</f>
        <v/>
      </c>
      <c r="BC30" s="26" t="str">
        <f>IF($C30="","",'Profile &amp; Baseline'!BC30/INDEX('Global Constants'!AV$38:AV$40,$H30))</f>
        <v/>
      </c>
      <c r="BD30" s="26" t="str">
        <f>IF($C30="","",'Profile &amp; Baseline'!BD30/INDEX('Global Constants'!AW$38:AW$40,$H30))</f>
        <v/>
      </c>
      <c r="BE30" s="26" t="str">
        <f>IF($C30="","",'Profile &amp; Baseline'!BE30/INDEX('Global Constants'!AX$38:AX$40,$H30))</f>
        <v/>
      </c>
      <c r="BF30" s="26" t="str">
        <f>IF($C30="","",'Profile &amp; Baseline'!BF30/INDEX('Global Constants'!AY$38:AY$40,$H30))</f>
        <v/>
      </c>
      <c r="BG30" s="26" t="str">
        <f>IF($C30="","",'Profile &amp; Baseline'!BG30/INDEX('Global Constants'!AZ$38:AZ$40,$H30))</f>
        <v/>
      </c>
      <c r="BH30" s="26" t="str">
        <f>IF($C30="","",'Profile &amp; Baseline'!BH30/INDEX('Global Constants'!BA$38:BA$40,$H30))</f>
        <v/>
      </c>
      <c r="BI30" s="26" t="str">
        <f>IF($C30="","",'Profile &amp; Baseline'!BI30/INDEX('Global Constants'!BB$38:BB$40,$H30))</f>
        <v/>
      </c>
      <c r="BJ30" s="26" t="str">
        <f>IF($C30="","",'Profile &amp; Baseline'!BJ30/INDEX('Global Constants'!BC$38:BC$40,$H30))</f>
        <v/>
      </c>
      <c r="BK30" s="26" t="str">
        <f>IF($C30="","",'Profile &amp; Baseline'!BK30/INDEX('Global Constants'!BD$38:BD$40,$H30))</f>
        <v/>
      </c>
      <c r="BL30" s="26" t="str">
        <f>IF($C30="","",'Profile &amp; Baseline'!BL30/INDEX('Global Constants'!BE$38:BE$40,$H30))</f>
        <v/>
      </c>
      <c r="BM30" s="26" t="str">
        <f>IF($C30="","",'Profile &amp; Baseline'!BM30/INDEX('Global Constants'!BF$38:BF$40,$H30))</f>
        <v/>
      </c>
      <c r="BN30" s="26" t="str">
        <f>IF($C30="","",'Profile &amp; Baseline'!BN30/INDEX('Global Constants'!BG$38:BG$40,$H30))</f>
        <v/>
      </c>
      <c r="BO30" s="26" t="str">
        <f>IF($C30="","",'Profile &amp; Baseline'!BO30/INDEX('Global Constants'!BH$38:BH$40,$H30))</f>
        <v/>
      </c>
      <c r="BP30" s="26" t="str">
        <f>IF($C30="","",'Profile &amp; Baseline'!BP30/INDEX('Global Constants'!BI$38:BI$40,$H30))</f>
        <v/>
      </c>
      <c r="BQ30" s="26" t="str">
        <f>IF($C30="","",'Profile &amp; Baseline'!BQ30/INDEX('Global Constants'!BJ$38:BJ$40,$H30))</f>
        <v/>
      </c>
      <c r="BR30" s="26" t="str">
        <f>IF($C30="","",'Profile &amp; Baseline'!BR30/INDEX('Global Constants'!BK$38:BK$40,$H30))</f>
        <v/>
      </c>
      <c r="BS30" s="26" t="str">
        <f>IF($C30="","",'Profile &amp; Baseline'!BS30/INDEX('Global Constants'!BL$38:BL$40,$H30))</f>
        <v/>
      </c>
      <c r="BT30" s="26" t="str">
        <f>IF($C30="","",'Profile &amp; Baseline'!BT30/INDEX('Global Constants'!BM$38:BM$40,$H30))</f>
        <v/>
      </c>
      <c r="BU30" s="26" t="str">
        <f>IF($C30="","",'Profile &amp; Baseline'!BU30/INDEX('Global Constants'!BN$38:BN$40,$H30))</f>
        <v/>
      </c>
      <c r="BV30" s="26" t="str">
        <f>IF($C30="","",'Profile &amp; Baseline'!BV30/INDEX('Global Constants'!BO$38:BO$40,$H30))</f>
        <v/>
      </c>
      <c r="BW30" s="26" t="str">
        <f>IF($C30="","",'Profile &amp; Baseline'!BW30/INDEX('Global Constants'!BP$38:BP$40,$H30))</f>
        <v/>
      </c>
      <c r="BX30" s="26" t="str">
        <f>IF($C30="","",'Profile &amp; Baseline'!BX30/INDEX('Global Constants'!BQ$38:BQ$40,$H30))</f>
        <v/>
      </c>
      <c r="BY30" s="26" t="str">
        <f>IF($C30="","",'Profile &amp; Baseline'!BY30/INDEX('Global Constants'!BR$38:BR$40,$H30))</f>
        <v/>
      </c>
      <c r="BZ30" s="26" t="str">
        <f>IF($C30="","",'Profile &amp; Baseline'!BZ30/INDEX('Global Constants'!BS$38:BS$40,$H30))</f>
        <v/>
      </c>
      <c r="CA30" s="26" t="str">
        <f>IF($C30="","",'Profile &amp; Baseline'!CA30/INDEX('Global Constants'!BT$38:BT$40,$H30))</f>
        <v/>
      </c>
      <c r="CB30" s="26" t="str">
        <f>IF($C30="","",'Profile &amp; Baseline'!CB30/INDEX('Global Constants'!BU$38:BU$40,$H30))</f>
        <v/>
      </c>
      <c r="CC30" s="26" t="str">
        <f>IF($C30="","",'Profile &amp; Baseline'!CC30/INDEX('Global Constants'!BV$38:BV$40,$H30))</f>
        <v/>
      </c>
      <c r="CD30" s="26" t="str">
        <f>IF($C30="","",'Profile &amp; Baseline'!CD30/INDEX('Global Constants'!BW$38:BW$40,$H30))</f>
        <v/>
      </c>
      <c r="CE30" s="26" t="str">
        <f>IF($C30="","",'Profile &amp; Baseline'!CE30/INDEX('Global Constants'!BX$38:BX$40,$H30))</f>
        <v/>
      </c>
      <c r="CF30" s="26" t="str">
        <f>IF($C30="","",'Profile &amp; Baseline'!CF30/INDEX('Global Constants'!BY$38:BY$40,$H30))</f>
        <v/>
      </c>
      <c r="CG30" s="26" t="str">
        <f>IF($C30="","",'Profile &amp; Baseline'!CG30/INDEX('Global Constants'!BZ$38:BZ$40,$H30))</f>
        <v/>
      </c>
      <c r="CH30" s="26" t="str">
        <f>IF($C30="","",'Profile &amp; Baseline'!CH30/INDEX('Global Constants'!CA$38:CA$40,$H30))</f>
        <v/>
      </c>
      <c r="CI30" s="26" t="str">
        <f>IF($C30="","",'Profile &amp; Baseline'!CI30/INDEX('Global Constants'!CB$38:CB$40,$H30))</f>
        <v/>
      </c>
      <c r="CJ30" s="26" t="str">
        <f>IF($C30="","",'Profile &amp; Baseline'!CJ30/INDEX('Global Constants'!CC$38:CC$40,$H30))</f>
        <v/>
      </c>
      <c r="CK30" s="26" t="str">
        <f>IF($C30="","",'Profile &amp; Baseline'!CK30/INDEX('Global Constants'!CD$38:CD$40,$H30))</f>
        <v/>
      </c>
      <c r="CL30" s="26" t="str">
        <f>IF($C30="","",'Profile &amp; Baseline'!CL30/INDEX('Global Constants'!CE$38:CE$40,$H30))</f>
        <v/>
      </c>
      <c r="CM30" s="26" t="str">
        <f>IF($C30="","",'Profile &amp; Baseline'!CM30/INDEX('Global Constants'!CF$38:CF$40,$H30))</f>
        <v/>
      </c>
      <c r="CN30" s="26" t="str">
        <f>IF($C30="","",'Profile &amp; Baseline'!CN30/INDEX('Global Constants'!CG$38:CG$40,$H30))</f>
        <v/>
      </c>
      <c r="CO30" s="26" t="str">
        <f>IF($C30="","",'Profile &amp; Baseline'!CO30/INDEX('Global Constants'!CH$38:CH$40,$H30))</f>
        <v/>
      </c>
      <c r="CP30" s="26" t="str">
        <f>IF($C30="","",'Profile &amp; Baseline'!CP30/INDEX('Global Constants'!CI$38:CI$40,$H30))</f>
        <v/>
      </c>
      <c r="CQ30" s="26" t="str">
        <f>IF($C30="","",'Profile &amp; Baseline'!CQ30/INDEX('Global Constants'!CJ$38:CJ$40,$H30))</f>
        <v/>
      </c>
      <c r="CR30" s="26" t="str">
        <f>IF($C30="","",'Profile &amp; Baseline'!CR30/INDEX('Global Constants'!CK$38:CK$40,$H30))</f>
        <v/>
      </c>
      <c r="CS30" s="26" t="str">
        <f>IF($C30="","",'Profile &amp; Baseline'!CS30/INDEX('Global Constants'!CL$38:CL$40,$H30))</f>
        <v/>
      </c>
      <c r="CT30" s="26" t="str">
        <f>IF($C30="","",'Profile &amp; Baseline'!CT30/INDEX('Global Constants'!CM$38:CM$40,$H30))</f>
        <v/>
      </c>
      <c r="CU30" s="26" t="str">
        <f>IF($C30="","",'Profile &amp; Baseline'!CU30/INDEX('Global Constants'!CN$38:CN$40,$H30))</f>
        <v/>
      </c>
      <c r="CV30" s="26" t="str">
        <f>IF($C30="","",'Profile &amp; Baseline'!CV30/INDEX('Global Constants'!CO$38:CO$40,$H30))</f>
        <v/>
      </c>
      <c r="CW30" s="26" t="str">
        <f>IF($C30="","",'Profile &amp; Baseline'!CW30/INDEX('Global Constants'!CP$38:CP$40,$H30))</f>
        <v/>
      </c>
      <c r="CX30" s="26" t="str">
        <f>IF($C30="","",'Profile &amp; Baseline'!CX30/INDEX('Global Constants'!CQ$38:CQ$40,$H30))</f>
        <v/>
      </c>
      <c r="CZ30" s="26">
        <f t="shared" ca="1" si="1"/>
        <v>0</v>
      </c>
      <c r="DA30" s="26">
        <f t="shared" si="2"/>
        <v>0</v>
      </c>
    </row>
    <row r="31" spans="3:105" x14ac:dyDescent="0.3">
      <c r="C31" s="4" t="str">
        <f>IF('Cost &amp; Risk Inputs'!C32="","",'Cost &amp; Risk Inputs'!C32)</f>
        <v/>
      </c>
      <c r="D31" s="4" t="str">
        <f>IF(C31="","",'Cost &amp; Risk Inputs'!H32)</f>
        <v/>
      </c>
      <c r="E31" s="4" t="str">
        <f>IF(C31="","",'Cost &amp; Risk Inputs'!I32)</f>
        <v/>
      </c>
      <c r="F31" s="4" t="str">
        <f>IF(C31="","",'Cost &amp; Risk Inputs'!G32)</f>
        <v/>
      </c>
      <c r="H31" s="18" t="str">
        <f t="shared" si="0"/>
        <v/>
      </c>
      <c r="M31" s="26" t="str">
        <f>IF($C31="","",'Profile &amp; Baseline'!M31/INDEX('Global Constants'!F$38:F$40,$H31))</f>
        <v/>
      </c>
      <c r="N31" s="26" t="str">
        <f>IF($C31="","",'Profile &amp; Baseline'!N31/INDEX('Global Constants'!G$38:G$40,$H31))</f>
        <v/>
      </c>
      <c r="O31" s="26" t="str">
        <f>IF($C31="","",'Profile &amp; Baseline'!O31/INDEX('Global Constants'!H$38:H$40,$H31))</f>
        <v/>
      </c>
      <c r="P31" s="26" t="str">
        <f>IF($C31="","",'Profile &amp; Baseline'!P31/INDEX('Global Constants'!I$38:I$40,$H31))</f>
        <v/>
      </c>
      <c r="Q31" s="26" t="str">
        <f>IF($C31="","",'Profile &amp; Baseline'!Q31/INDEX('Global Constants'!J$38:J$40,$H31))</f>
        <v/>
      </c>
      <c r="R31" s="26" t="str">
        <f>IF($C31="","",'Profile &amp; Baseline'!R31/INDEX('Global Constants'!K$38:K$40,$H31))</f>
        <v/>
      </c>
      <c r="S31" s="26" t="str">
        <f>IF($C31="","",'Profile &amp; Baseline'!S31/INDEX('Global Constants'!L$38:L$40,$H31))</f>
        <v/>
      </c>
      <c r="T31" s="26" t="str">
        <f>IF($C31="","",'Profile &amp; Baseline'!T31/INDEX('Global Constants'!M$38:M$40,$H31))</f>
        <v/>
      </c>
      <c r="U31" s="26" t="str">
        <f>IF($C31="","",'Profile &amp; Baseline'!U31/INDEX('Global Constants'!N$38:N$40,$H31))</f>
        <v/>
      </c>
      <c r="V31" s="26" t="str">
        <f>IF($C31="","",'Profile &amp; Baseline'!V31/INDEX('Global Constants'!O$38:O$40,$H31))</f>
        <v/>
      </c>
      <c r="W31" s="26" t="str">
        <f>IF($C31="","",'Profile &amp; Baseline'!W31/INDEX('Global Constants'!P$38:P$40,$H31))</f>
        <v/>
      </c>
      <c r="X31" s="26" t="str">
        <f>IF($C31="","",'Profile &amp; Baseline'!X31/INDEX('Global Constants'!Q$38:Q$40,$H31))</f>
        <v/>
      </c>
      <c r="Y31" s="26" t="str">
        <f>IF($C31="","",'Profile &amp; Baseline'!Y31/INDEX('Global Constants'!R$38:R$40,$H31))</f>
        <v/>
      </c>
      <c r="Z31" s="26" t="str">
        <f>IF($C31="","",'Profile &amp; Baseline'!Z31/INDEX('Global Constants'!S$38:S$40,$H31))</f>
        <v/>
      </c>
      <c r="AA31" s="26" t="str">
        <f>IF($C31="","",'Profile &amp; Baseline'!AA31/INDEX('Global Constants'!T$38:T$40,$H31))</f>
        <v/>
      </c>
      <c r="AB31" s="26" t="str">
        <f>IF($C31="","",'Profile &amp; Baseline'!AB31/INDEX('Global Constants'!U$38:U$40,$H31))</f>
        <v/>
      </c>
      <c r="AC31" s="26" t="str">
        <f>IF($C31="","",'Profile &amp; Baseline'!AC31/INDEX('Global Constants'!V$38:V$40,$H31))</f>
        <v/>
      </c>
      <c r="AD31" s="26" t="str">
        <f>IF($C31="","",'Profile &amp; Baseline'!AD31/INDEX('Global Constants'!W$38:W$40,$H31))</f>
        <v/>
      </c>
      <c r="AE31" s="26" t="str">
        <f>IF($C31="","",'Profile &amp; Baseline'!AE31/INDEX('Global Constants'!X$38:X$40,$H31))</f>
        <v/>
      </c>
      <c r="AF31" s="26" t="str">
        <f>IF($C31="","",'Profile &amp; Baseline'!AF31/INDEX('Global Constants'!Y$38:Y$40,$H31))</f>
        <v/>
      </c>
      <c r="AG31" s="26" t="str">
        <f>IF($C31="","",'Profile &amp; Baseline'!AG31/INDEX('Global Constants'!Z$38:Z$40,$H31))</f>
        <v/>
      </c>
      <c r="AH31" s="26" t="str">
        <f>IF($C31="","",'Profile &amp; Baseline'!AH31/INDEX('Global Constants'!AA$38:AA$40,$H31))</f>
        <v/>
      </c>
      <c r="AI31" s="26" t="str">
        <f>IF($C31="","",'Profile &amp; Baseline'!AI31/INDEX('Global Constants'!AB$38:AB$40,$H31))</f>
        <v/>
      </c>
      <c r="AJ31" s="26" t="str">
        <f>IF($C31="","",'Profile &amp; Baseline'!AJ31/INDEX('Global Constants'!AC$38:AC$40,$H31))</f>
        <v/>
      </c>
      <c r="AK31" s="26" t="str">
        <f>IF($C31="","",'Profile &amp; Baseline'!AK31/INDEX('Global Constants'!AD$38:AD$40,$H31))</f>
        <v/>
      </c>
      <c r="AL31" s="26" t="str">
        <f>IF($C31="","",'Profile &amp; Baseline'!AL31/INDEX('Global Constants'!AE$38:AE$40,$H31))</f>
        <v/>
      </c>
      <c r="AM31" s="26" t="str">
        <f>IF($C31="","",'Profile &amp; Baseline'!AM31/INDEX('Global Constants'!AF$38:AF$40,$H31))</f>
        <v/>
      </c>
      <c r="AN31" s="26" t="str">
        <f>IF($C31="","",'Profile &amp; Baseline'!AN31/INDEX('Global Constants'!AG$38:AG$40,$H31))</f>
        <v/>
      </c>
      <c r="AO31" s="26" t="str">
        <f>IF($C31="","",'Profile &amp; Baseline'!AO31/INDEX('Global Constants'!AH$38:AH$40,$H31))</f>
        <v/>
      </c>
      <c r="AP31" s="26" t="str">
        <f>IF($C31="","",'Profile &amp; Baseline'!AP31/INDEX('Global Constants'!AI$38:AI$40,$H31))</f>
        <v/>
      </c>
      <c r="AQ31" s="26" t="str">
        <f>IF($C31="","",'Profile &amp; Baseline'!AQ31/INDEX('Global Constants'!AJ$38:AJ$40,$H31))</f>
        <v/>
      </c>
      <c r="AR31" s="26" t="str">
        <f>IF($C31="","",'Profile &amp; Baseline'!AR31/INDEX('Global Constants'!AK$38:AK$40,$H31))</f>
        <v/>
      </c>
      <c r="AS31" s="26" t="str">
        <f>IF($C31="","",'Profile &amp; Baseline'!AS31/INDEX('Global Constants'!AL$38:AL$40,$H31))</f>
        <v/>
      </c>
      <c r="AT31" s="26" t="str">
        <f>IF($C31="","",'Profile &amp; Baseline'!AT31/INDEX('Global Constants'!AM$38:AM$40,$H31))</f>
        <v/>
      </c>
      <c r="AU31" s="26" t="str">
        <f>IF($C31="","",'Profile &amp; Baseline'!AU31/INDEX('Global Constants'!AN$38:AN$40,$H31))</f>
        <v/>
      </c>
      <c r="AV31" s="26" t="str">
        <f>IF($C31="","",'Profile &amp; Baseline'!AV31/INDEX('Global Constants'!AO$38:AO$40,$H31))</f>
        <v/>
      </c>
      <c r="AW31" s="26" t="str">
        <f>IF($C31="","",'Profile &amp; Baseline'!AW31/INDEX('Global Constants'!AP$38:AP$40,$H31))</f>
        <v/>
      </c>
      <c r="AX31" s="26" t="str">
        <f>IF($C31="","",'Profile &amp; Baseline'!AX31/INDEX('Global Constants'!AQ$38:AQ$40,$H31))</f>
        <v/>
      </c>
      <c r="AY31" s="26" t="str">
        <f>IF($C31="","",'Profile &amp; Baseline'!AY31/INDEX('Global Constants'!AR$38:AR$40,$H31))</f>
        <v/>
      </c>
      <c r="AZ31" s="26" t="str">
        <f>IF($C31="","",'Profile &amp; Baseline'!AZ31/INDEX('Global Constants'!AS$38:AS$40,$H31))</f>
        <v/>
      </c>
      <c r="BA31" s="26" t="str">
        <f>IF($C31="","",'Profile &amp; Baseline'!BA31/INDEX('Global Constants'!AT$38:AT$40,$H31))</f>
        <v/>
      </c>
      <c r="BB31" s="26" t="str">
        <f>IF($C31="","",'Profile &amp; Baseline'!BB31/INDEX('Global Constants'!AU$38:AU$40,$H31))</f>
        <v/>
      </c>
      <c r="BC31" s="26" t="str">
        <f>IF($C31="","",'Profile &amp; Baseline'!BC31/INDEX('Global Constants'!AV$38:AV$40,$H31))</f>
        <v/>
      </c>
      <c r="BD31" s="26" t="str">
        <f>IF($C31="","",'Profile &amp; Baseline'!BD31/INDEX('Global Constants'!AW$38:AW$40,$H31))</f>
        <v/>
      </c>
      <c r="BE31" s="26" t="str">
        <f>IF($C31="","",'Profile &amp; Baseline'!BE31/INDEX('Global Constants'!AX$38:AX$40,$H31))</f>
        <v/>
      </c>
      <c r="BF31" s="26" t="str">
        <f>IF($C31="","",'Profile &amp; Baseline'!BF31/INDEX('Global Constants'!AY$38:AY$40,$H31))</f>
        <v/>
      </c>
      <c r="BG31" s="26" t="str">
        <f>IF($C31="","",'Profile &amp; Baseline'!BG31/INDEX('Global Constants'!AZ$38:AZ$40,$H31))</f>
        <v/>
      </c>
      <c r="BH31" s="26" t="str">
        <f>IF($C31="","",'Profile &amp; Baseline'!BH31/INDEX('Global Constants'!BA$38:BA$40,$H31))</f>
        <v/>
      </c>
      <c r="BI31" s="26" t="str">
        <f>IF($C31="","",'Profile &amp; Baseline'!BI31/INDEX('Global Constants'!BB$38:BB$40,$H31))</f>
        <v/>
      </c>
      <c r="BJ31" s="26" t="str">
        <f>IF($C31="","",'Profile &amp; Baseline'!BJ31/INDEX('Global Constants'!BC$38:BC$40,$H31))</f>
        <v/>
      </c>
      <c r="BK31" s="26" t="str">
        <f>IF($C31="","",'Profile &amp; Baseline'!BK31/INDEX('Global Constants'!BD$38:BD$40,$H31))</f>
        <v/>
      </c>
      <c r="BL31" s="26" t="str">
        <f>IF($C31="","",'Profile &amp; Baseline'!BL31/INDEX('Global Constants'!BE$38:BE$40,$H31))</f>
        <v/>
      </c>
      <c r="BM31" s="26" t="str">
        <f>IF($C31="","",'Profile &amp; Baseline'!BM31/INDEX('Global Constants'!BF$38:BF$40,$H31))</f>
        <v/>
      </c>
      <c r="BN31" s="26" t="str">
        <f>IF($C31="","",'Profile &amp; Baseline'!BN31/INDEX('Global Constants'!BG$38:BG$40,$H31))</f>
        <v/>
      </c>
      <c r="BO31" s="26" t="str">
        <f>IF($C31="","",'Profile &amp; Baseline'!BO31/INDEX('Global Constants'!BH$38:BH$40,$H31))</f>
        <v/>
      </c>
      <c r="BP31" s="26" t="str">
        <f>IF($C31="","",'Profile &amp; Baseline'!BP31/INDEX('Global Constants'!BI$38:BI$40,$H31))</f>
        <v/>
      </c>
      <c r="BQ31" s="26" t="str">
        <f>IF($C31="","",'Profile &amp; Baseline'!BQ31/INDEX('Global Constants'!BJ$38:BJ$40,$H31))</f>
        <v/>
      </c>
      <c r="BR31" s="26" t="str">
        <f>IF($C31="","",'Profile &amp; Baseline'!BR31/INDEX('Global Constants'!BK$38:BK$40,$H31))</f>
        <v/>
      </c>
      <c r="BS31" s="26" t="str">
        <f>IF($C31="","",'Profile &amp; Baseline'!BS31/INDEX('Global Constants'!BL$38:BL$40,$H31))</f>
        <v/>
      </c>
      <c r="BT31" s="26" t="str">
        <f>IF($C31="","",'Profile &amp; Baseline'!BT31/INDEX('Global Constants'!BM$38:BM$40,$H31))</f>
        <v/>
      </c>
      <c r="BU31" s="26" t="str">
        <f>IF($C31="","",'Profile &amp; Baseline'!BU31/INDEX('Global Constants'!BN$38:BN$40,$H31))</f>
        <v/>
      </c>
      <c r="BV31" s="26" t="str">
        <f>IF($C31="","",'Profile &amp; Baseline'!BV31/INDEX('Global Constants'!BO$38:BO$40,$H31))</f>
        <v/>
      </c>
      <c r="BW31" s="26" t="str">
        <f>IF($C31="","",'Profile &amp; Baseline'!BW31/INDEX('Global Constants'!BP$38:BP$40,$H31))</f>
        <v/>
      </c>
      <c r="BX31" s="26" t="str">
        <f>IF($C31="","",'Profile &amp; Baseline'!BX31/INDEX('Global Constants'!BQ$38:BQ$40,$H31))</f>
        <v/>
      </c>
      <c r="BY31" s="26" t="str">
        <f>IF($C31="","",'Profile &amp; Baseline'!BY31/INDEX('Global Constants'!BR$38:BR$40,$H31))</f>
        <v/>
      </c>
      <c r="BZ31" s="26" t="str">
        <f>IF($C31="","",'Profile &amp; Baseline'!BZ31/INDEX('Global Constants'!BS$38:BS$40,$H31))</f>
        <v/>
      </c>
      <c r="CA31" s="26" t="str">
        <f>IF($C31="","",'Profile &amp; Baseline'!CA31/INDEX('Global Constants'!BT$38:BT$40,$H31))</f>
        <v/>
      </c>
      <c r="CB31" s="26" t="str">
        <f>IF($C31="","",'Profile &amp; Baseline'!CB31/INDEX('Global Constants'!BU$38:BU$40,$H31))</f>
        <v/>
      </c>
      <c r="CC31" s="26" t="str">
        <f>IF($C31="","",'Profile &amp; Baseline'!CC31/INDEX('Global Constants'!BV$38:BV$40,$H31))</f>
        <v/>
      </c>
      <c r="CD31" s="26" t="str">
        <f>IF($C31="","",'Profile &amp; Baseline'!CD31/INDEX('Global Constants'!BW$38:BW$40,$H31))</f>
        <v/>
      </c>
      <c r="CE31" s="26" t="str">
        <f>IF($C31="","",'Profile &amp; Baseline'!CE31/INDEX('Global Constants'!BX$38:BX$40,$H31))</f>
        <v/>
      </c>
      <c r="CF31" s="26" t="str">
        <f>IF($C31="","",'Profile &amp; Baseline'!CF31/INDEX('Global Constants'!BY$38:BY$40,$H31))</f>
        <v/>
      </c>
      <c r="CG31" s="26" t="str">
        <f>IF($C31="","",'Profile &amp; Baseline'!CG31/INDEX('Global Constants'!BZ$38:BZ$40,$H31))</f>
        <v/>
      </c>
      <c r="CH31" s="26" t="str">
        <f>IF($C31="","",'Profile &amp; Baseline'!CH31/INDEX('Global Constants'!CA$38:CA$40,$H31))</f>
        <v/>
      </c>
      <c r="CI31" s="26" t="str">
        <f>IF($C31="","",'Profile &amp; Baseline'!CI31/INDEX('Global Constants'!CB$38:CB$40,$H31))</f>
        <v/>
      </c>
      <c r="CJ31" s="26" t="str">
        <f>IF($C31="","",'Profile &amp; Baseline'!CJ31/INDEX('Global Constants'!CC$38:CC$40,$H31))</f>
        <v/>
      </c>
      <c r="CK31" s="26" t="str">
        <f>IF($C31="","",'Profile &amp; Baseline'!CK31/INDEX('Global Constants'!CD$38:CD$40,$H31))</f>
        <v/>
      </c>
      <c r="CL31" s="26" t="str">
        <f>IF($C31="","",'Profile &amp; Baseline'!CL31/INDEX('Global Constants'!CE$38:CE$40,$H31))</f>
        <v/>
      </c>
      <c r="CM31" s="26" t="str">
        <f>IF($C31="","",'Profile &amp; Baseline'!CM31/INDEX('Global Constants'!CF$38:CF$40,$H31))</f>
        <v/>
      </c>
      <c r="CN31" s="26" t="str">
        <f>IF($C31="","",'Profile &amp; Baseline'!CN31/INDEX('Global Constants'!CG$38:CG$40,$H31))</f>
        <v/>
      </c>
      <c r="CO31" s="26" t="str">
        <f>IF($C31="","",'Profile &amp; Baseline'!CO31/INDEX('Global Constants'!CH$38:CH$40,$H31))</f>
        <v/>
      </c>
      <c r="CP31" s="26" t="str">
        <f>IF($C31="","",'Profile &amp; Baseline'!CP31/INDEX('Global Constants'!CI$38:CI$40,$H31))</f>
        <v/>
      </c>
      <c r="CQ31" s="26" t="str">
        <f>IF($C31="","",'Profile &amp; Baseline'!CQ31/INDEX('Global Constants'!CJ$38:CJ$40,$H31))</f>
        <v/>
      </c>
      <c r="CR31" s="26" t="str">
        <f>IF($C31="","",'Profile &amp; Baseline'!CR31/INDEX('Global Constants'!CK$38:CK$40,$H31))</f>
        <v/>
      </c>
      <c r="CS31" s="26" t="str">
        <f>IF($C31="","",'Profile &amp; Baseline'!CS31/INDEX('Global Constants'!CL$38:CL$40,$H31))</f>
        <v/>
      </c>
      <c r="CT31" s="26" t="str">
        <f>IF($C31="","",'Profile &amp; Baseline'!CT31/INDEX('Global Constants'!CM$38:CM$40,$H31))</f>
        <v/>
      </c>
      <c r="CU31" s="26" t="str">
        <f>IF($C31="","",'Profile &amp; Baseline'!CU31/INDEX('Global Constants'!CN$38:CN$40,$H31))</f>
        <v/>
      </c>
      <c r="CV31" s="26" t="str">
        <f>IF($C31="","",'Profile &amp; Baseline'!CV31/INDEX('Global Constants'!CO$38:CO$40,$H31))</f>
        <v/>
      </c>
      <c r="CW31" s="26" t="str">
        <f>IF($C31="","",'Profile &amp; Baseline'!CW31/INDEX('Global Constants'!CP$38:CP$40,$H31))</f>
        <v/>
      </c>
      <c r="CX31" s="26" t="str">
        <f>IF($C31="","",'Profile &amp; Baseline'!CX31/INDEX('Global Constants'!CQ$38:CQ$40,$H31))</f>
        <v/>
      </c>
      <c r="CZ31" s="26">
        <f t="shared" ca="1" si="1"/>
        <v>0</v>
      </c>
      <c r="DA31" s="26">
        <f t="shared" si="2"/>
        <v>0</v>
      </c>
    </row>
    <row r="32" spans="3:105" x14ac:dyDescent="0.3">
      <c r="C32" s="4" t="str">
        <f>IF('Cost &amp; Risk Inputs'!C33="","",'Cost &amp; Risk Inputs'!C33)</f>
        <v/>
      </c>
      <c r="D32" s="4" t="str">
        <f>IF(C32="","",'Cost &amp; Risk Inputs'!H33)</f>
        <v/>
      </c>
      <c r="E32" s="4" t="str">
        <f>IF(C32="","",'Cost &amp; Risk Inputs'!I33)</f>
        <v/>
      </c>
      <c r="F32" s="4" t="str">
        <f>IF(C32="","",'Cost &amp; Risk Inputs'!G33)</f>
        <v/>
      </c>
      <c r="H32" s="18" t="str">
        <f t="shared" si="0"/>
        <v/>
      </c>
      <c r="M32" s="26" t="str">
        <f>IF($C32="","",'Profile &amp; Baseline'!M32/INDEX('Global Constants'!F$38:F$40,$H32))</f>
        <v/>
      </c>
      <c r="N32" s="26" t="str">
        <f>IF($C32="","",'Profile &amp; Baseline'!N32/INDEX('Global Constants'!G$38:G$40,$H32))</f>
        <v/>
      </c>
      <c r="O32" s="26" t="str">
        <f>IF($C32="","",'Profile &amp; Baseline'!O32/INDEX('Global Constants'!H$38:H$40,$H32))</f>
        <v/>
      </c>
      <c r="P32" s="26" t="str">
        <f>IF($C32="","",'Profile &amp; Baseline'!P32/INDEX('Global Constants'!I$38:I$40,$H32))</f>
        <v/>
      </c>
      <c r="Q32" s="26" t="str">
        <f>IF($C32="","",'Profile &amp; Baseline'!Q32/INDEX('Global Constants'!J$38:J$40,$H32))</f>
        <v/>
      </c>
      <c r="R32" s="26" t="str">
        <f>IF($C32="","",'Profile &amp; Baseline'!R32/INDEX('Global Constants'!K$38:K$40,$H32))</f>
        <v/>
      </c>
      <c r="S32" s="26" t="str">
        <f>IF($C32="","",'Profile &amp; Baseline'!S32/INDEX('Global Constants'!L$38:L$40,$H32))</f>
        <v/>
      </c>
      <c r="T32" s="26" t="str">
        <f>IF($C32="","",'Profile &amp; Baseline'!T32/INDEX('Global Constants'!M$38:M$40,$H32))</f>
        <v/>
      </c>
      <c r="U32" s="26" t="str">
        <f>IF($C32="","",'Profile &amp; Baseline'!U32/INDEX('Global Constants'!N$38:N$40,$H32))</f>
        <v/>
      </c>
      <c r="V32" s="26" t="str">
        <f>IF($C32="","",'Profile &amp; Baseline'!V32/INDEX('Global Constants'!O$38:O$40,$H32))</f>
        <v/>
      </c>
      <c r="W32" s="26" t="str">
        <f>IF($C32="","",'Profile &amp; Baseline'!W32/INDEX('Global Constants'!P$38:P$40,$H32))</f>
        <v/>
      </c>
      <c r="X32" s="26" t="str">
        <f>IF($C32="","",'Profile &amp; Baseline'!X32/INDEX('Global Constants'!Q$38:Q$40,$H32))</f>
        <v/>
      </c>
      <c r="Y32" s="26" t="str">
        <f>IF($C32="","",'Profile &amp; Baseline'!Y32/INDEX('Global Constants'!R$38:R$40,$H32))</f>
        <v/>
      </c>
      <c r="Z32" s="26" t="str">
        <f>IF($C32="","",'Profile &amp; Baseline'!Z32/INDEX('Global Constants'!S$38:S$40,$H32))</f>
        <v/>
      </c>
      <c r="AA32" s="26" t="str">
        <f>IF($C32="","",'Profile &amp; Baseline'!AA32/INDEX('Global Constants'!T$38:T$40,$H32))</f>
        <v/>
      </c>
      <c r="AB32" s="26" t="str">
        <f>IF($C32="","",'Profile &amp; Baseline'!AB32/INDEX('Global Constants'!U$38:U$40,$H32))</f>
        <v/>
      </c>
      <c r="AC32" s="26" t="str">
        <f>IF($C32="","",'Profile &amp; Baseline'!AC32/INDEX('Global Constants'!V$38:V$40,$H32))</f>
        <v/>
      </c>
      <c r="AD32" s="26" t="str">
        <f>IF($C32="","",'Profile &amp; Baseline'!AD32/INDEX('Global Constants'!W$38:W$40,$H32))</f>
        <v/>
      </c>
      <c r="AE32" s="26" t="str">
        <f>IF($C32="","",'Profile &amp; Baseline'!AE32/INDEX('Global Constants'!X$38:X$40,$H32))</f>
        <v/>
      </c>
      <c r="AF32" s="26" t="str">
        <f>IF($C32="","",'Profile &amp; Baseline'!AF32/INDEX('Global Constants'!Y$38:Y$40,$H32))</f>
        <v/>
      </c>
      <c r="AG32" s="26" t="str">
        <f>IF($C32="","",'Profile &amp; Baseline'!AG32/INDEX('Global Constants'!Z$38:Z$40,$H32))</f>
        <v/>
      </c>
      <c r="AH32" s="26" t="str">
        <f>IF($C32="","",'Profile &amp; Baseline'!AH32/INDEX('Global Constants'!AA$38:AA$40,$H32))</f>
        <v/>
      </c>
      <c r="AI32" s="26" t="str">
        <f>IF($C32="","",'Profile &amp; Baseline'!AI32/INDEX('Global Constants'!AB$38:AB$40,$H32))</f>
        <v/>
      </c>
      <c r="AJ32" s="26" t="str">
        <f>IF($C32="","",'Profile &amp; Baseline'!AJ32/INDEX('Global Constants'!AC$38:AC$40,$H32))</f>
        <v/>
      </c>
      <c r="AK32" s="26" t="str">
        <f>IF($C32="","",'Profile &amp; Baseline'!AK32/INDEX('Global Constants'!AD$38:AD$40,$H32))</f>
        <v/>
      </c>
      <c r="AL32" s="26" t="str">
        <f>IF($C32="","",'Profile &amp; Baseline'!AL32/INDEX('Global Constants'!AE$38:AE$40,$H32))</f>
        <v/>
      </c>
      <c r="AM32" s="26" t="str">
        <f>IF($C32="","",'Profile &amp; Baseline'!AM32/INDEX('Global Constants'!AF$38:AF$40,$H32))</f>
        <v/>
      </c>
      <c r="AN32" s="26" t="str">
        <f>IF($C32="","",'Profile &amp; Baseline'!AN32/INDEX('Global Constants'!AG$38:AG$40,$H32))</f>
        <v/>
      </c>
      <c r="AO32" s="26" t="str">
        <f>IF($C32="","",'Profile &amp; Baseline'!AO32/INDEX('Global Constants'!AH$38:AH$40,$H32))</f>
        <v/>
      </c>
      <c r="AP32" s="26" t="str">
        <f>IF($C32="","",'Profile &amp; Baseline'!AP32/INDEX('Global Constants'!AI$38:AI$40,$H32))</f>
        <v/>
      </c>
      <c r="AQ32" s="26" t="str">
        <f>IF($C32="","",'Profile &amp; Baseline'!AQ32/INDEX('Global Constants'!AJ$38:AJ$40,$H32))</f>
        <v/>
      </c>
      <c r="AR32" s="26" t="str">
        <f>IF($C32="","",'Profile &amp; Baseline'!AR32/INDEX('Global Constants'!AK$38:AK$40,$H32))</f>
        <v/>
      </c>
      <c r="AS32" s="26" t="str">
        <f>IF($C32="","",'Profile &amp; Baseline'!AS32/INDEX('Global Constants'!AL$38:AL$40,$H32))</f>
        <v/>
      </c>
      <c r="AT32" s="26" t="str">
        <f>IF($C32="","",'Profile &amp; Baseline'!AT32/INDEX('Global Constants'!AM$38:AM$40,$H32))</f>
        <v/>
      </c>
      <c r="AU32" s="26" t="str">
        <f>IF($C32="","",'Profile &amp; Baseline'!AU32/INDEX('Global Constants'!AN$38:AN$40,$H32))</f>
        <v/>
      </c>
      <c r="AV32" s="26" t="str">
        <f>IF($C32="","",'Profile &amp; Baseline'!AV32/INDEX('Global Constants'!AO$38:AO$40,$H32))</f>
        <v/>
      </c>
      <c r="AW32" s="26" t="str">
        <f>IF($C32="","",'Profile &amp; Baseline'!AW32/INDEX('Global Constants'!AP$38:AP$40,$H32))</f>
        <v/>
      </c>
      <c r="AX32" s="26" t="str">
        <f>IF($C32="","",'Profile &amp; Baseline'!AX32/INDEX('Global Constants'!AQ$38:AQ$40,$H32))</f>
        <v/>
      </c>
      <c r="AY32" s="26" t="str">
        <f>IF($C32="","",'Profile &amp; Baseline'!AY32/INDEX('Global Constants'!AR$38:AR$40,$H32))</f>
        <v/>
      </c>
      <c r="AZ32" s="26" t="str">
        <f>IF($C32="","",'Profile &amp; Baseline'!AZ32/INDEX('Global Constants'!AS$38:AS$40,$H32))</f>
        <v/>
      </c>
      <c r="BA32" s="26" t="str">
        <f>IF($C32="","",'Profile &amp; Baseline'!BA32/INDEX('Global Constants'!AT$38:AT$40,$H32))</f>
        <v/>
      </c>
      <c r="BB32" s="26" t="str">
        <f>IF($C32="","",'Profile &amp; Baseline'!BB32/INDEX('Global Constants'!AU$38:AU$40,$H32))</f>
        <v/>
      </c>
      <c r="BC32" s="26" t="str">
        <f>IF($C32="","",'Profile &amp; Baseline'!BC32/INDEX('Global Constants'!AV$38:AV$40,$H32))</f>
        <v/>
      </c>
      <c r="BD32" s="26" t="str">
        <f>IF($C32="","",'Profile &amp; Baseline'!BD32/INDEX('Global Constants'!AW$38:AW$40,$H32))</f>
        <v/>
      </c>
      <c r="BE32" s="26" t="str">
        <f>IF($C32="","",'Profile &amp; Baseline'!BE32/INDEX('Global Constants'!AX$38:AX$40,$H32))</f>
        <v/>
      </c>
      <c r="BF32" s="26" t="str">
        <f>IF($C32="","",'Profile &amp; Baseline'!BF32/INDEX('Global Constants'!AY$38:AY$40,$H32))</f>
        <v/>
      </c>
      <c r="BG32" s="26" t="str">
        <f>IF($C32="","",'Profile &amp; Baseline'!BG32/INDEX('Global Constants'!AZ$38:AZ$40,$H32))</f>
        <v/>
      </c>
      <c r="BH32" s="26" t="str">
        <f>IF($C32="","",'Profile &amp; Baseline'!BH32/INDEX('Global Constants'!BA$38:BA$40,$H32))</f>
        <v/>
      </c>
      <c r="BI32" s="26" t="str">
        <f>IF($C32="","",'Profile &amp; Baseline'!BI32/INDEX('Global Constants'!BB$38:BB$40,$H32))</f>
        <v/>
      </c>
      <c r="BJ32" s="26" t="str">
        <f>IF($C32="","",'Profile &amp; Baseline'!BJ32/INDEX('Global Constants'!BC$38:BC$40,$H32))</f>
        <v/>
      </c>
      <c r="BK32" s="26" t="str">
        <f>IF($C32="","",'Profile &amp; Baseline'!BK32/INDEX('Global Constants'!BD$38:BD$40,$H32))</f>
        <v/>
      </c>
      <c r="BL32" s="26" t="str">
        <f>IF($C32="","",'Profile &amp; Baseline'!BL32/INDEX('Global Constants'!BE$38:BE$40,$H32))</f>
        <v/>
      </c>
      <c r="BM32" s="26" t="str">
        <f>IF($C32="","",'Profile &amp; Baseline'!BM32/INDEX('Global Constants'!BF$38:BF$40,$H32))</f>
        <v/>
      </c>
      <c r="BN32" s="26" t="str">
        <f>IF($C32="","",'Profile &amp; Baseline'!BN32/INDEX('Global Constants'!BG$38:BG$40,$H32))</f>
        <v/>
      </c>
      <c r="BO32" s="26" t="str">
        <f>IF($C32="","",'Profile &amp; Baseline'!BO32/INDEX('Global Constants'!BH$38:BH$40,$H32))</f>
        <v/>
      </c>
      <c r="BP32" s="26" t="str">
        <f>IF($C32="","",'Profile &amp; Baseline'!BP32/INDEX('Global Constants'!BI$38:BI$40,$H32))</f>
        <v/>
      </c>
      <c r="BQ32" s="26" t="str">
        <f>IF($C32="","",'Profile &amp; Baseline'!BQ32/INDEX('Global Constants'!BJ$38:BJ$40,$H32))</f>
        <v/>
      </c>
      <c r="BR32" s="26" t="str">
        <f>IF($C32="","",'Profile &amp; Baseline'!BR32/INDEX('Global Constants'!BK$38:BK$40,$H32))</f>
        <v/>
      </c>
      <c r="BS32" s="26" t="str">
        <f>IF($C32="","",'Profile &amp; Baseline'!BS32/INDEX('Global Constants'!BL$38:BL$40,$H32))</f>
        <v/>
      </c>
      <c r="BT32" s="26" t="str">
        <f>IF($C32="","",'Profile &amp; Baseline'!BT32/INDEX('Global Constants'!BM$38:BM$40,$H32))</f>
        <v/>
      </c>
      <c r="BU32" s="26" t="str">
        <f>IF($C32="","",'Profile &amp; Baseline'!BU32/INDEX('Global Constants'!BN$38:BN$40,$H32))</f>
        <v/>
      </c>
      <c r="BV32" s="26" t="str">
        <f>IF($C32="","",'Profile &amp; Baseline'!BV32/INDEX('Global Constants'!BO$38:BO$40,$H32))</f>
        <v/>
      </c>
      <c r="BW32" s="26" t="str">
        <f>IF($C32="","",'Profile &amp; Baseline'!BW32/INDEX('Global Constants'!BP$38:BP$40,$H32))</f>
        <v/>
      </c>
      <c r="BX32" s="26" t="str">
        <f>IF($C32="","",'Profile &amp; Baseline'!BX32/INDEX('Global Constants'!BQ$38:BQ$40,$H32))</f>
        <v/>
      </c>
      <c r="BY32" s="26" t="str">
        <f>IF($C32="","",'Profile &amp; Baseline'!BY32/INDEX('Global Constants'!BR$38:BR$40,$H32))</f>
        <v/>
      </c>
      <c r="BZ32" s="26" t="str">
        <f>IF($C32="","",'Profile &amp; Baseline'!BZ32/INDEX('Global Constants'!BS$38:BS$40,$H32))</f>
        <v/>
      </c>
      <c r="CA32" s="26" t="str">
        <f>IF($C32="","",'Profile &amp; Baseline'!CA32/INDEX('Global Constants'!BT$38:BT$40,$H32))</f>
        <v/>
      </c>
      <c r="CB32" s="26" t="str">
        <f>IF($C32="","",'Profile &amp; Baseline'!CB32/INDEX('Global Constants'!BU$38:BU$40,$H32))</f>
        <v/>
      </c>
      <c r="CC32" s="26" t="str">
        <f>IF($C32="","",'Profile &amp; Baseline'!CC32/INDEX('Global Constants'!BV$38:BV$40,$H32))</f>
        <v/>
      </c>
      <c r="CD32" s="26" t="str">
        <f>IF($C32="","",'Profile &amp; Baseline'!CD32/INDEX('Global Constants'!BW$38:BW$40,$H32))</f>
        <v/>
      </c>
      <c r="CE32" s="26" t="str">
        <f>IF($C32="","",'Profile &amp; Baseline'!CE32/INDEX('Global Constants'!BX$38:BX$40,$H32))</f>
        <v/>
      </c>
      <c r="CF32" s="26" t="str">
        <f>IF($C32="","",'Profile &amp; Baseline'!CF32/INDEX('Global Constants'!BY$38:BY$40,$H32))</f>
        <v/>
      </c>
      <c r="CG32" s="26" t="str">
        <f>IF($C32="","",'Profile &amp; Baseline'!CG32/INDEX('Global Constants'!BZ$38:BZ$40,$H32))</f>
        <v/>
      </c>
      <c r="CH32" s="26" t="str">
        <f>IF($C32="","",'Profile &amp; Baseline'!CH32/INDEX('Global Constants'!CA$38:CA$40,$H32))</f>
        <v/>
      </c>
      <c r="CI32" s="26" t="str">
        <f>IF($C32="","",'Profile &amp; Baseline'!CI32/INDEX('Global Constants'!CB$38:CB$40,$H32))</f>
        <v/>
      </c>
      <c r="CJ32" s="26" t="str">
        <f>IF($C32="","",'Profile &amp; Baseline'!CJ32/INDEX('Global Constants'!CC$38:CC$40,$H32))</f>
        <v/>
      </c>
      <c r="CK32" s="26" t="str">
        <f>IF($C32="","",'Profile &amp; Baseline'!CK32/INDEX('Global Constants'!CD$38:CD$40,$H32))</f>
        <v/>
      </c>
      <c r="CL32" s="26" t="str">
        <f>IF($C32="","",'Profile &amp; Baseline'!CL32/INDEX('Global Constants'!CE$38:CE$40,$H32))</f>
        <v/>
      </c>
      <c r="CM32" s="26" t="str">
        <f>IF($C32="","",'Profile &amp; Baseline'!CM32/INDEX('Global Constants'!CF$38:CF$40,$H32))</f>
        <v/>
      </c>
      <c r="CN32" s="26" t="str">
        <f>IF($C32="","",'Profile &amp; Baseline'!CN32/INDEX('Global Constants'!CG$38:CG$40,$H32))</f>
        <v/>
      </c>
      <c r="CO32" s="26" t="str">
        <f>IF($C32="","",'Profile &amp; Baseline'!CO32/INDEX('Global Constants'!CH$38:CH$40,$H32))</f>
        <v/>
      </c>
      <c r="CP32" s="26" t="str">
        <f>IF($C32="","",'Profile &amp; Baseline'!CP32/INDEX('Global Constants'!CI$38:CI$40,$H32))</f>
        <v/>
      </c>
      <c r="CQ32" s="26" t="str">
        <f>IF($C32="","",'Profile &amp; Baseline'!CQ32/INDEX('Global Constants'!CJ$38:CJ$40,$H32))</f>
        <v/>
      </c>
      <c r="CR32" s="26" t="str">
        <f>IF($C32="","",'Profile &amp; Baseline'!CR32/INDEX('Global Constants'!CK$38:CK$40,$H32))</f>
        <v/>
      </c>
      <c r="CS32" s="26" t="str">
        <f>IF($C32="","",'Profile &amp; Baseline'!CS32/INDEX('Global Constants'!CL$38:CL$40,$H32))</f>
        <v/>
      </c>
      <c r="CT32" s="26" t="str">
        <f>IF($C32="","",'Profile &amp; Baseline'!CT32/INDEX('Global Constants'!CM$38:CM$40,$H32))</f>
        <v/>
      </c>
      <c r="CU32" s="26" t="str">
        <f>IF($C32="","",'Profile &amp; Baseline'!CU32/INDEX('Global Constants'!CN$38:CN$40,$H32))</f>
        <v/>
      </c>
      <c r="CV32" s="26" t="str">
        <f>IF($C32="","",'Profile &amp; Baseline'!CV32/INDEX('Global Constants'!CO$38:CO$40,$H32))</f>
        <v/>
      </c>
      <c r="CW32" s="26" t="str">
        <f>IF($C32="","",'Profile &amp; Baseline'!CW32/INDEX('Global Constants'!CP$38:CP$40,$H32))</f>
        <v/>
      </c>
      <c r="CX32" s="26" t="str">
        <f>IF($C32="","",'Profile &amp; Baseline'!CX32/INDEX('Global Constants'!CQ$38:CQ$40,$H32))</f>
        <v/>
      </c>
      <c r="CZ32" s="26">
        <f t="shared" ca="1" si="1"/>
        <v>0</v>
      </c>
      <c r="DA32" s="26">
        <f t="shared" si="2"/>
        <v>0</v>
      </c>
    </row>
    <row r="33" spans="3:105" x14ac:dyDescent="0.3">
      <c r="C33" s="4" t="str">
        <f>IF('Cost &amp; Risk Inputs'!C34="","",'Cost &amp; Risk Inputs'!C34)</f>
        <v/>
      </c>
      <c r="D33" s="4" t="str">
        <f>IF(C33="","",'Cost &amp; Risk Inputs'!H34)</f>
        <v/>
      </c>
      <c r="E33" s="4" t="str">
        <f>IF(C33="","",'Cost &amp; Risk Inputs'!I34)</f>
        <v/>
      </c>
      <c r="F33" s="4" t="str">
        <f>IF(C33="","",'Cost &amp; Risk Inputs'!G34)</f>
        <v/>
      </c>
      <c r="H33" s="18" t="str">
        <f t="shared" si="0"/>
        <v/>
      </c>
      <c r="M33" s="26" t="str">
        <f>IF($C33="","",'Profile &amp; Baseline'!M33/INDEX('Global Constants'!F$38:F$40,$H33))</f>
        <v/>
      </c>
      <c r="N33" s="26" t="str">
        <f>IF($C33="","",'Profile &amp; Baseline'!N33/INDEX('Global Constants'!G$38:G$40,$H33))</f>
        <v/>
      </c>
      <c r="O33" s="26" t="str">
        <f>IF($C33="","",'Profile &amp; Baseline'!O33/INDEX('Global Constants'!H$38:H$40,$H33))</f>
        <v/>
      </c>
      <c r="P33" s="26" t="str">
        <f>IF($C33="","",'Profile &amp; Baseline'!P33/INDEX('Global Constants'!I$38:I$40,$H33))</f>
        <v/>
      </c>
      <c r="Q33" s="26" t="str">
        <f>IF($C33="","",'Profile &amp; Baseline'!Q33/INDEX('Global Constants'!J$38:J$40,$H33))</f>
        <v/>
      </c>
      <c r="R33" s="26" t="str">
        <f>IF($C33="","",'Profile &amp; Baseline'!R33/INDEX('Global Constants'!K$38:K$40,$H33))</f>
        <v/>
      </c>
      <c r="S33" s="26" t="str">
        <f>IF($C33="","",'Profile &amp; Baseline'!S33/INDEX('Global Constants'!L$38:L$40,$H33))</f>
        <v/>
      </c>
      <c r="T33" s="26" t="str">
        <f>IF($C33="","",'Profile &amp; Baseline'!T33/INDEX('Global Constants'!M$38:M$40,$H33))</f>
        <v/>
      </c>
      <c r="U33" s="26" t="str">
        <f>IF($C33="","",'Profile &amp; Baseline'!U33/INDEX('Global Constants'!N$38:N$40,$H33))</f>
        <v/>
      </c>
      <c r="V33" s="26" t="str">
        <f>IF($C33="","",'Profile &amp; Baseline'!V33/INDEX('Global Constants'!O$38:O$40,$H33))</f>
        <v/>
      </c>
      <c r="W33" s="26" t="str">
        <f>IF($C33="","",'Profile &amp; Baseline'!W33/INDEX('Global Constants'!P$38:P$40,$H33))</f>
        <v/>
      </c>
      <c r="X33" s="26" t="str">
        <f>IF($C33="","",'Profile &amp; Baseline'!X33/INDEX('Global Constants'!Q$38:Q$40,$H33))</f>
        <v/>
      </c>
      <c r="Y33" s="26" t="str">
        <f>IF($C33="","",'Profile &amp; Baseline'!Y33/INDEX('Global Constants'!R$38:R$40,$H33))</f>
        <v/>
      </c>
      <c r="Z33" s="26" t="str">
        <f>IF($C33="","",'Profile &amp; Baseline'!Z33/INDEX('Global Constants'!S$38:S$40,$H33))</f>
        <v/>
      </c>
      <c r="AA33" s="26" t="str">
        <f>IF($C33="","",'Profile &amp; Baseline'!AA33/INDEX('Global Constants'!T$38:T$40,$H33))</f>
        <v/>
      </c>
      <c r="AB33" s="26" t="str">
        <f>IF($C33="","",'Profile &amp; Baseline'!AB33/INDEX('Global Constants'!U$38:U$40,$H33))</f>
        <v/>
      </c>
      <c r="AC33" s="26" t="str">
        <f>IF($C33="","",'Profile &amp; Baseline'!AC33/INDEX('Global Constants'!V$38:V$40,$H33))</f>
        <v/>
      </c>
      <c r="AD33" s="26" t="str">
        <f>IF($C33="","",'Profile &amp; Baseline'!AD33/INDEX('Global Constants'!W$38:W$40,$H33))</f>
        <v/>
      </c>
      <c r="AE33" s="26" t="str">
        <f>IF($C33="","",'Profile &amp; Baseline'!AE33/INDEX('Global Constants'!X$38:X$40,$H33))</f>
        <v/>
      </c>
      <c r="AF33" s="26" t="str">
        <f>IF($C33="","",'Profile &amp; Baseline'!AF33/INDEX('Global Constants'!Y$38:Y$40,$H33))</f>
        <v/>
      </c>
      <c r="AG33" s="26" t="str">
        <f>IF($C33="","",'Profile &amp; Baseline'!AG33/INDEX('Global Constants'!Z$38:Z$40,$H33))</f>
        <v/>
      </c>
      <c r="AH33" s="26" t="str">
        <f>IF($C33="","",'Profile &amp; Baseline'!AH33/INDEX('Global Constants'!AA$38:AA$40,$H33))</f>
        <v/>
      </c>
      <c r="AI33" s="26" t="str">
        <f>IF($C33="","",'Profile &amp; Baseline'!AI33/INDEX('Global Constants'!AB$38:AB$40,$H33))</f>
        <v/>
      </c>
      <c r="AJ33" s="26" t="str">
        <f>IF($C33="","",'Profile &amp; Baseline'!AJ33/INDEX('Global Constants'!AC$38:AC$40,$H33))</f>
        <v/>
      </c>
      <c r="AK33" s="26" t="str">
        <f>IF($C33="","",'Profile &amp; Baseline'!AK33/INDEX('Global Constants'!AD$38:AD$40,$H33))</f>
        <v/>
      </c>
      <c r="AL33" s="26" t="str">
        <f>IF($C33="","",'Profile &amp; Baseline'!AL33/INDEX('Global Constants'!AE$38:AE$40,$H33))</f>
        <v/>
      </c>
      <c r="AM33" s="26" t="str">
        <f>IF($C33="","",'Profile &amp; Baseline'!AM33/INDEX('Global Constants'!AF$38:AF$40,$H33))</f>
        <v/>
      </c>
      <c r="AN33" s="26" t="str">
        <f>IF($C33="","",'Profile &amp; Baseline'!AN33/INDEX('Global Constants'!AG$38:AG$40,$H33))</f>
        <v/>
      </c>
      <c r="AO33" s="26" t="str">
        <f>IF($C33="","",'Profile &amp; Baseline'!AO33/INDEX('Global Constants'!AH$38:AH$40,$H33))</f>
        <v/>
      </c>
      <c r="AP33" s="26" t="str">
        <f>IF($C33="","",'Profile &amp; Baseline'!AP33/INDEX('Global Constants'!AI$38:AI$40,$H33))</f>
        <v/>
      </c>
      <c r="AQ33" s="26" t="str">
        <f>IF($C33="","",'Profile &amp; Baseline'!AQ33/INDEX('Global Constants'!AJ$38:AJ$40,$H33))</f>
        <v/>
      </c>
      <c r="AR33" s="26" t="str">
        <f>IF($C33="","",'Profile &amp; Baseline'!AR33/INDEX('Global Constants'!AK$38:AK$40,$H33))</f>
        <v/>
      </c>
      <c r="AS33" s="26" t="str">
        <f>IF($C33="","",'Profile &amp; Baseline'!AS33/INDEX('Global Constants'!AL$38:AL$40,$H33))</f>
        <v/>
      </c>
      <c r="AT33" s="26" t="str">
        <f>IF($C33="","",'Profile &amp; Baseline'!AT33/INDEX('Global Constants'!AM$38:AM$40,$H33))</f>
        <v/>
      </c>
      <c r="AU33" s="26" t="str">
        <f>IF($C33="","",'Profile &amp; Baseline'!AU33/INDEX('Global Constants'!AN$38:AN$40,$H33))</f>
        <v/>
      </c>
      <c r="AV33" s="26" t="str">
        <f>IF($C33="","",'Profile &amp; Baseline'!AV33/INDEX('Global Constants'!AO$38:AO$40,$H33))</f>
        <v/>
      </c>
      <c r="AW33" s="26" t="str">
        <f>IF($C33="","",'Profile &amp; Baseline'!AW33/INDEX('Global Constants'!AP$38:AP$40,$H33))</f>
        <v/>
      </c>
      <c r="AX33" s="26" t="str">
        <f>IF($C33="","",'Profile &amp; Baseline'!AX33/INDEX('Global Constants'!AQ$38:AQ$40,$H33))</f>
        <v/>
      </c>
      <c r="AY33" s="26" t="str">
        <f>IF($C33="","",'Profile &amp; Baseline'!AY33/INDEX('Global Constants'!AR$38:AR$40,$H33))</f>
        <v/>
      </c>
      <c r="AZ33" s="26" t="str">
        <f>IF($C33="","",'Profile &amp; Baseline'!AZ33/INDEX('Global Constants'!AS$38:AS$40,$H33))</f>
        <v/>
      </c>
      <c r="BA33" s="26" t="str">
        <f>IF($C33="","",'Profile &amp; Baseline'!BA33/INDEX('Global Constants'!AT$38:AT$40,$H33))</f>
        <v/>
      </c>
      <c r="BB33" s="26" t="str">
        <f>IF($C33="","",'Profile &amp; Baseline'!BB33/INDEX('Global Constants'!AU$38:AU$40,$H33))</f>
        <v/>
      </c>
      <c r="BC33" s="26" t="str">
        <f>IF($C33="","",'Profile &amp; Baseline'!BC33/INDEX('Global Constants'!AV$38:AV$40,$H33))</f>
        <v/>
      </c>
      <c r="BD33" s="26" t="str">
        <f>IF($C33="","",'Profile &amp; Baseline'!BD33/INDEX('Global Constants'!AW$38:AW$40,$H33))</f>
        <v/>
      </c>
      <c r="BE33" s="26" t="str">
        <f>IF($C33="","",'Profile &amp; Baseline'!BE33/INDEX('Global Constants'!AX$38:AX$40,$H33))</f>
        <v/>
      </c>
      <c r="BF33" s="26" t="str">
        <f>IF($C33="","",'Profile &amp; Baseline'!BF33/INDEX('Global Constants'!AY$38:AY$40,$H33))</f>
        <v/>
      </c>
      <c r="BG33" s="26" t="str">
        <f>IF($C33="","",'Profile &amp; Baseline'!BG33/INDEX('Global Constants'!AZ$38:AZ$40,$H33))</f>
        <v/>
      </c>
      <c r="BH33" s="26" t="str">
        <f>IF($C33="","",'Profile &amp; Baseline'!BH33/INDEX('Global Constants'!BA$38:BA$40,$H33))</f>
        <v/>
      </c>
      <c r="BI33" s="26" t="str">
        <f>IF($C33="","",'Profile &amp; Baseline'!BI33/INDEX('Global Constants'!BB$38:BB$40,$H33))</f>
        <v/>
      </c>
      <c r="BJ33" s="26" t="str">
        <f>IF($C33="","",'Profile &amp; Baseline'!BJ33/INDEX('Global Constants'!BC$38:BC$40,$H33))</f>
        <v/>
      </c>
      <c r="BK33" s="26" t="str">
        <f>IF($C33="","",'Profile &amp; Baseline'!BK33/INDEX('Global Constants'!BD$38:BD$40,$H33))</f>
        <v/>
      </c>
      <c r="BL33" s="26" t="str">
        <f>IF($C33="","",'Profile &amp; Baseline'!BL33/INDEX('Global Constants'!BE$38:BE$40,$H33))</f>
        <v/>
      </c>
      <c r="BM33" s="26" t="str">
        <f>IF($C33="","",'Profile &amp; Baseline'!BM33/INDEX('Global Constants'!BF$38:BF$40,$H33))</f>
        <v/>
      </c>
      <c r="BN33" s="26" t="str">
        <f>IF($C33="","",'Profile &amp; Baseline'!BN33/INDEX('Global Constants'!BG$38:BG$40,$H33))</f>
        <v/>
      </c>
      <c r="BO33" s="26" t="str">
        <f>IF($C33="","",'Profile &amp; Baseline'!BO33/INDEX('Global Constants'!BH$38:BH$40,$H33))</f>
        <v/>
      </c>
      <c r="BP33" s="26" t="str">
        <f>IF($C33="","",'Profile &amp; Baseline'!BP33/INDEX('Global Constants'!BI$38:BI$40,$H33))</f>
        <v/>
      </c>
      <c r="BQ33" s="26" t="str">
        <f>IF($C33="","",'Profile &amp; Baseline'!BQ33/INDEX('Global Constants'!BJ$38:BJ$40,$H33))</f>
        <v/>
      </c>
      <c r="BR33" s="26" t="str">
        <f>IF($C33="","",'Profile &amp; Baseline'!BR33/INDEX('Global Constants'!BK$38:BK$40,$H33))</f>
        <v/>
      </c>
      <c r="BS33" s="26" t="str">
        <f>IF($C33="","",'Profile &amp; Baseline'!BS33/INDEX('Global Constants'!BL$38:BL$40,$H33))</f>
        <v/>
      </c>
      <c r="BT33" s="26" t="str">
        <f>IF($C33="","",'Profile &amp; Baseline'!BT33/INDEX('Global Constants'!BM$38:BM$40,$H33))</f>
        <v/>
      </c>
      <c r="BU33" s="26" t="str">
        <f>IF($C33="","",'Profile &amp; Baseline'!BU33/INDEX('Global Constants'!BN$38:BN$40,$H33))</f>
        <v/>
      </c>
      <c r="BV33" s="26" t="str">
        <f>IF($C33="","",'Profile &amp; Baseline'!BV33/INDEX('Global Constants'!BO$38:BO$40,$H33))</f>
        <v/>
      </c>
      <c r="BW33" s="26" t="str">
        <f>IF($C33="","",'Profile &amp; Baseline'!BW33/INDEX('Global Constants'!BP$38:BP$40,$H33))</f>
        <v/>
      </c>
      <c r="BX33" s="26" t="str">
        <f>IF($C33="","",'Profile &amp; Baseline'!BX33/INDEX('Global Constants'!BQ$38:BQ$40,$H33))</f>
        <v/>
      </c>
      <c r="BY33" s="26" t="str">
        <f>IF($C33="","",'Profile &amp; Baseline'!BY33/INDEX('Global Constants'!BR$38:BR$40,$H33))</f>
        <v/>
      </c>
      <c r="BZ33" s="26" t="str">
        <f>IF($C33="","",'Profile &amp; Baseline'!BZ33/INDEX('Global Constants'!BS$38:BS$40,$H33))</f>
        <v/>
      </c>
      <c r="CA33" s="26" t="str">
        <f>IF($C33="","",'Profile &amp; Baseline'!CA33/INDEX('Global Constants'!BT$38:BT$40,$H33))</f>
        <v/>
      </c>
      <c r="CB33" s="26" t="str">
        <f>IF($C33="","",'Profile &amp; Baseline'!CB33/INDEX('Global Constants'!BU$38:BU$40,$H33))</f>
        <v/>
      </c>
      <c r="CC33" s="26" t="str">
        <f>IF($C33="","",'Profile &amp; Baseline'!CC33/INDEX('Global Constants'!BV$38:BV$40,$H33))</f>
        <v/>
      </c>
      <c r="CD33" s="26" t="str">
        <f>IF($C33="","",'Profile &amp; Baseline'!CD33/INDEX('Global Constants'!BW$38:BW$40,$H33))</f>
        <v/>
      </c>
      <c r="CE33" s="26" t="str">
        <f>IF($C33="","",'Profile &amp; Baseline'!CE33/INDEX('Global Constants'!BX$38:BX$40,$H33))</f>
        <v/>
      </c>
      <c r="CF33" s="26" t="str">
        <f>IF($C33="","",'Profile &amp; Baseline'!CF33/INDEX('Global Constants'!BY$38:BY$40,$H33))</f>
        <v/>
      </c>
      <c r="CG33" s="26" t="str">
        <f>IF($C33="","",'Profile &amp; Baseline'!CG33/INDEX('Global Constants'!BZ$38:BZ$40,$H33))</f>
        <v/>
      </c>
      <c r="CH33" s="26" t="str">
        <f>IF($C33="","",'Profile &amp; Baseline'!CH33/INDEX('Global Constants'!CA$38:CA$40,$H33))</f>
        <v/>
      </c>
      <c r="CI33" s="26" t="str">
        <f>IF($C33="","",'Profile &amp; Baseline'!CI33/INDEX('Global Constants'!CB$38:CB$40,$H33))</f>
        <v/>
      </c>
      <c r="CJ33" s="26" t="str">
        <f>IF($C33="","",'Profile &amp; Baseline'!CJ33/INDEX('Global Constants'!CC$38:CC$40,$H33))</f>
        <v/>
      </c>
      <c r="CK33" s="26" t="str">
        <f>IF($C33="","",'Profile &amp; Baseline'!CK33/INDEX('Global Constants'!CD$38:CD$40,$H33))</f>
        <v/>
      </c>
      <c r="CL33" s="26" t="str">
        <f>IF($C33="","",'Profile &amp; Baseline'!CL33/INDEX('Global Constants'!CE$38:CE$40,$H33))</f>
        <v/>
      </c>
      <c r="CM33" s="26" t="str">
        <f>IF($C33="","",'Profile &amp; Baseline'!CM33/INDEX('Global Constants'!CF$38:CF$40,$H33))</f>
        <v/>
      </c>
      <c r="CN33" s="26" t="str">
        <f>IF($C33="","",'Profile &amp; Baseline'!CN33/INDEX('Global Constants'!CG$38:CG$40,$H33))</f>
        <v/>
      </c>
      <c r="CO33" s="26" t="str">
        <f>IF($C33="","",'Profile &amp; Baseline'!CO33/INDEX('Global Constants'!CH$38:CH$40,$H33))</f>
        <v/>
      </c>
      <c r="CP33" s="26" t="str">
        <f>IF($C33="","",'Profile &amp; Baseline'!CP33/INDEX('Global Constants'!CI$38:CI$40,$H33))</f>
        <v/>
      </c>
      <c r="CQ33" s="26" t="str">
        <f>IF($C33="","",'Profile &amp; Baseline'!CQ33/INDEX('Global Constants'!CJ$38:CJ$40,$H33))</f>
        <v/>
      </c>
      <c r="CR33" s="26" t="str">
        <f>IF($C33="","",'Profile &amp; Baseline'!CR33/INDEX('Global Constants'!CK$38:CK$40,$H33))</f>
        <v/>
      </c>
      <c r="CS33" s="26" t="str">
        <f>IF($C33="","",'Profile &amp; Baseline'!CS33/INDEX('Global Constants'!CL$38:CL$40,$H33))</f>
        <v/>
      </c>
      <c r="CT33" s="26" t="str">
        <f>IF($C33="","",'Profile &amp; Baseline'!CT33/INDEX('Global Constants'!CM$38:CM$40,$H33))</f>
        <v/>
      </c>
      <c r="CU33" s="26" t="str">
        <f>IF($C33="","",'Profile &amp; Baseline'!CU33/INDEX('Global Constants'!CN$38:CN$40,$H33))</f>
        <v/>
      </c>
      <c r="CV33" s="26" t="str">
        <f>IF($C33="","",'Profile &amp; Baseline'!CV33/INDEX('Global Constants'!CO$38:CO$40,$H33))</f>
        <v/>
      </c>
      <c r="CW33" s="26" t="str">
        <f>IF($C33="","",'Profile &amp; Baseline'!CW33/INDEX('Global Constants'!CP$38:CP$40,$H33))</f>
        <v/>
      </c>
      <c r="CX33" s="26" t="str">
        <f>IF($C33="","",'Profile &amp; Baseline'!CX33/INDEX('Global Constants'!CQ$38:CQ$40,$H33))</f>
        <v/>
      </c>
      <c r="CZ33" s="26">
        <f t="shared" ca="1" si="1"/>
        <v>0</v>
      </c>
      <c r="DA33" s="26">
        <f t="shared" si="2"/>
        <v>0</v>
      </c>
    </row>
    <row r="34" spans="3:105" x14ac:dyDescent="0.3">
      <c r="C34" s="4" t="str">
        <f>IF('Cost &amp; Risk Inputs'!C35="","",'Cost &amp; Risk Inputs'!C35)</f>
        <v/>
      </c>
      <c r="D34" s="4" t="str">
        <f>IF(C34="","",'Cost &amp; Risk Inputs'!H35)</f>
        <v/>
      </c>
      <c r="E34" s="4" t="str">
        <f>IF(C34="","",'Cost &amp; Risk Inputs'!I35)</f>
        <v/>
      </c>
      <c r="F34" s="4" t="str">
        <f>IF(C34="","",'Cost &amp; Risk Inputs'!G35)</f>
        <v/>
      </c>
      <c r="H34" s="18" t="str">
        <f t="shared" si="0"/>
        <v/>
      </c>
      <c r="M34" s="26" t="str">
        <f>IF($C34="","",'Profile &amp; Baseline'!M34/INDEX('Global Constants'!F$38:F$40,$H34))</f>
        <v/>
      </c>
      <c r="N34" s="26" t="str">
        <f>IF($C34="","",'Profile &amp; Baseline'!N34/INDEX('Global Constants'!G$38:G$40,$H34))</f>
        <v/>
      </c>
      <c r="O34" s="26" t="str">
        <f>IF($C34="","",'Profile &amp; Baseline'!O34/INDEX('Global Constants'!H$38:H$40,$H34))</f>
        <v/>
      </c>
      <c r="P34" s="26" t="str">
        <f>IF($C34="","",'Profile &amp; Baseline'!P34/INDEX('Global Constants'!I$38:I$40,$H34))</f>
        <v/>
      </c>
      <c r="Q34" s="26" t="str">
        <f>IF($C34="","",'Profile &amp; Baseline'!Q34/INDEX('Global Constants'!J$38:J$40,$H34))</f>
        <v/>
      </c>
      <c r="R34" s="26" t="str">
        <f>IF($C34="","",'Profile &amp; Baseline'!R34/INDEX('Global Constants'!K$38:K$40,$H34))</f>
        <v/>
      </c>
      <c r="S34" s="26" t="str">
        <f>IF($C34="","",'Profile &amp; Baseline'!S34/INDEX('Global Constants'!L$38:L$40,$H34))</f>
        <v/>
      </c>
      <c r="T34" s="26" t="str">
        <f>IF($C34="","",'Profile &amp; Baseline'!T34/INDEX('Global Constants'!M$38:M$40,$H34))</f>
        <v/>
      </c>
      <c r="U34" s="26" t="str">
        <f>IF($C34="","",'Profile &amp; Baseline'!U34/INDEX('Global Constants'!N$38:N$40,$H34))</f>
        <v/>
      </c>
      <c r="V34" s="26" t="str">
        <f>IF($C34="","",'Profile &amp; Baseline'!V34/INDEX('Global Constants'!O$38:O$40,$H34))</f>
        <v/>
      </c>
      <c r="W34" s="26" t="str">
        <f>IF($C34="","",'Profile &amp; Baseline'!W34/INDEX('Global Constants'!P$38:P$40,$H34))</f>
        <v/>
      </c>
      <c r="X34" s="26" t="str">
        <f>IF($C34="","",'Profile &amp; Baseline'!X34/INDEX('Global Constants'!Q$38:Q$40,$H34))</f>
        <v/>
      </c>
      <c r="Y34" s="26" t="str">
        <f>IF($C34="","",'Profile &amp; Baseline'!Y34/INDEX('Global Constants'!R$38:R$40,$H34))</f>
        <v/>
      </c>
      <c r="Z34" s="26" t="str">
        <f>IF($C34="","",'Profile &amp; Baseline'!Z34/INDEX('Global Constants'!S$38:S$40,$H34))</f>
        <v/>
      </c>
      <c r="AA34" s="26" t="str">
        <f>IF($C34="","",'Profile &amp; Baseline'!AA34/INDEX('Global Constants'!T$38:T$40,$H34))</f>
        <v/>
      </c>
      <c r="AB34" s="26" t="str">
        <f>IF($C34="","",'Profile &amp; Baseline'!AB34/INDEX('Global Constants'!U$38:U$40,$H34))</f>
        <v/>
      </c>
      <c r="AC34" s="26" t="str">
        <f>IF($C34="","",'Profile &amp; Baseline'!AC34/INDEX('Global Constants'!V$38:V$40,$H34))</f>
        <v/>
      </c>
      <c r="AD34" s="26" t="str">
        <f>IF($C34="","",'Profile &amp; Baseline'!AD34/INDEX('Global Constants'!W$38:W$40,$H34))</f>
        <v/>
      </c>
      <c r="AE34" s="26" t="str">
        <f>IF($C34="","",'Profile &amp; Baseline'!AE34/INDEX('Global Constants'!X$38:X$40,$H34))</f>
        <v/>
      </c>
      <c r="AF34" s="26" t="str">
        <f>IF($C34="","",'Profile &amp; Baseline'!AF34/INDEX('Global Constants'!Y$38:Y$40,$H34))</f>
        <v/>
      </c>
      <c r="AG34" s="26" t="str">
        <f>IF($C34="","",'Profile &amp; Baseline'!AG34/INDEX('Global Constants'!Z$38:Z$40,$H34))</f>
        <v/>
      </c>
      <c r="AH34" s="26" t="str">
        <f>IF($C34="","",'Profile &amp; Baseline'!AH34/INDEX('Global Constants'!AA$38:AA$40,$H34))</f>
        <v/>
      </c>
      <c r="AI34" s="26" t="str">
        <f>IF($C34="","",'Profile &amp; Baseline'!AI34/INDEX('Global Constants'!AB$38:AB$40,$H34))</f>
        <v/>
      </c>
      <c r="AJ34" s="26" t="str">
        <f>IF($C34="","",'Profile &amp; Baseline'!AJ34/INDEX('Global Constants'!AC$38:AC$40,$H34))</f>
        <v/>
      </c>
      <c r="AK34" s="26" t="str">
        <f>IF($C34="","",'Profile &amp; Baseline'!AK34/INDEX('Global Constants'!AD$38:AD$40,$H34))</f>
        <v/>
      </c>
      <c r="AL34" s="26" t="str">
        <f>IF($C34="","",'Profile &amp; Baseline'!AL34/INDEX('Global Constants'!AE$38:AE$40,$H34))</f>
        <v/>
      </c>
      <c r="AM34" s="26" t="str">
        <f>IF($C34="","",'Profile &amp; Baseline'!AM34/INDEX('Global Constants'!AF$38:AF$40,$H34))</f>
        <v/>
      </c>
      <c r="AN34" s="26" t="str">
        <f>IF($C34="","",'Profile &amp; Baseline'!AN34/INDEX('Global Constants'!AG$38:AG$40,$H34))</f>
        <v/>
      </c>
      <c r="AO34" s="26" t="str">
        <f>IF($C34="","",'Profile &amp; Baseline'!AO34/INDEX('Global Constants'!AH$38:AH$40,$H34))</f>
        <v/>
      </c>
      <c r="AP34" s="26" t="str">
        <f>IF($C34="","",'Profile &amp; Baseline'!AP34/INDEX('Global Constants'!AI$38:AI$40,$H34))</f>
        <v/>
      </c>
      <c r="AQ34" s="26" t="str">
        <f>IF($C34="","",'Profile &amp; Baseline'!AQ34/INDEX('Global Constants'!AJ$38:AJ$40,$H34))</f>
        <v/>
      </c>
      <c r="AR34" s="26" t="str">
        <f>IF($C34="","",'Profile &amp; Baseline'!AR34/INDEX('Global Constants'!AK$38:AK$40,$H34))</f>
        <v/>
      </c>
      <c r="AS34" s="26" t="str">
        <f>IF($C34="","",'Profile &amp; Baseline'!AS34/INDEX('Global Constants'!AL$38:AL$40,$H34))</f>
        <v/>
      </c>
      <c r="AT34" s="26" t="str">
        <f>IF($C34="","",'Profile &amp; Baseline'!AT34/INDEX('Global Constants'!AM$38:AM$40,$H34))</f>
        <v/>
      </c>
      <c r="AU34" s="26" t="str">
        <f>IF($C34="","",'Profile &amp; Baseline'!AU34/INDEX('Global Constants'!AN$38:AN$40,$H34))</f>
        <v/>
      </c>
      <c r="AV34" s="26" t="str">
        <f>IF($C34="","",'Profile &amp; Baseline'!AV34/INDEX('Global Constants'!AO$38:AO$40,$H34))</f>
        <v/>
      </c>
      <c r="AW34" s="26" t="str">
        <f>IF($C34="","",'Profile &amp; Baseline'!AW34/INDEX('Global Constants'!AP$38:AP$40,$H34))</f>
        <v/>
      </c>
      <c r="AX34" s="26" t="str">
        <f>IF($C34="","",'Profile &amp; Baseline'!AX34/INDEX('Global Constants'!AQ$38:AQ$40,$H34))</f>
        <v/>
      </c>
      <c r="AY34" s="26" t="str">
        <f>IF($C34="","",'Profile &amp; Baseline'!AY34/INDEX('Global Constants'!AR$38:AR$40,$H34))</f>
        <v/>
      </c>
      <c r="AZ34" s="26" t="str">
        <f>IF($C34="","",'Profile &amp; Baseline'!AZ34/INDEX('Global Constants'!AS$38:AS$40,$H34))</f>
        <v/>
      </c>
      <c r="BA34" s="26" t="str">
        <f>IF($C34="","",'Profile &amp; Baseline'!BA34/INDEX('Global Constants'!AT$38:AT$40,$H34))</f>
        <v/>
      </c>
      <c r="BB34" s="26" t="str">
        <f>IF($C34="","",'Profile &amp; Baseline'!BB34/INDEX('Global Constants'!AU$38:AU$40,$H34))</f>
        <v/>
      </c>
      <c r="BC34" s="26" t="str">
        <f>IF($C34="","",'Profile &amp; Baseline'!BC34/INDEX('Global Constants'!AV$38:AV$40,$H34))</f>
        <v/>
      </c>
      <c r="BD34" s="26" t="str">
        <f>IF($C34="","",'Profile &amp; Baseline'!BD34/INDEX('Global Constants'!AW$38:AW$40,$H34))</f>
        <v/>
      </c>
      <c r="BE34" s="26" t="str">
        <f>IF($C34="","",'Profile &amp; Baseline'!BE34/INDEX('Global Constants'!AX$38:AX$40,$H34))</f>
        <v/>
      </c>
      <c r="BF34" s="26" t="str">
        <f>IF($C34="","",'Profile &amp; Baseline'!BF34/INDEX('Global Constants'!AY$38:AY$40,$H34))</f>
        <v/>
      </c>
      <c r="BG34" s="26" t="str">
        <f>IF($C34="","",'Profile &amp; Baseline'!BG34/INDEX('Global Constants'!AZ$38:AZ$40,$H34))</f>
        <v/>
      </c>
      <c r="BH34" s="26" t="str">
        <f>IF($C34="","",'Profile &amp; Baseline'!BH34/INDEX('Global Constants'!BA$38:BA$40,$H34))</f>
        <v/>
      </c>
      <c r="BI34" s="26" t="str">
        <f>IF($C34="","",'Profile &amp; Baseline'!BI34/INDEX('Global Constants'!BB$38:BB$40,$H34))</f>
        <v/>
      </c>
      <c r="BJ34" s="26" t="str">
        <f>IF($C34="","",'Profile &amp; Baseline'!BJ34/INDEX('Global Constants'!BC$38:BC$40,$H34))</f>
        <v/>
      </c>
      <c r="BK34" s="26" t="str">
        <f>IF($C34="","",'Profile &amp; Baseline'!BK34/INDEX('Global Constants'!BD$38:BD$40,$H34))</f>
        <v/>
      </c>
      <c r="BL34" s="26" t="str">
        <f>IF($C34="","",'Profile &amp; Baseline'!BL34/INDEX('Global Constants'!BE$38:BE$40,$H34))</f>
        <v/>
      </c>
      <c r="BM34" s="26" t="str">
        <f>IF($C34="","",'Profile &amp; Baseline'!BM34/INDEX('Global Constants'!BF$38:BF$40,$H34))</f>
        <v/>
      </c>
      <c r="BN34" s="26" t="str">
        <f>IF($C34="","",'Profile &amp; Baseline'!BN34/INDEX('Global Constants'!BG$38:BG$40,$H34))</f>
        <v/>
      </c>
      <c r="BO34" s="26" t="str">
        <f>IF($C34="","",'Profile &amp; Baseline'!BO34/INDEX('Global Constants'!BH$38:BH$40,$H34))</f>
        <v/>
      </c>
      <c r="BP34" s="26" t="str">
        <f>IF($C34="","",'Profile &amp; Baseline'!BP34/INDEX('Global Constants'!BI$38:BI$40,$H34))</f>
        <v/>
      </c>
      <c r="BQ34" s="26" t="str">
        <f>IF($C34="","",'Profile &amp; Baseline'!BQ34/INDEX('Global Constants'!BJ$38:BJ$40,$H34))</f>
        <v/>
      </c>
      <c r="BR34" s="26" t="str">
        <f>IF($C34="","",'Profile &amp; Baseline'!BR34/INDEX('Global Constants'!BK$38:BK$40,$H34))</f>
        <v/>
      </c>
      <c r="BS34" s="26" t="str">
        <f>IF($C34="","",'Profile &amp; Baseline'!BS34/INDEX('Global Constants'!BL$38:BL$40,$H34))</f>
        <v/>
      </c>
      <c r="BT34" s="26" t="str">
        <f>IF($C34="","",'Profile &amp; Baseline'!BT34/INDEX('Global Constants'!BM$38:BM$40,$H34))</f>
        <v/>
      </c>
      <c r="BU34" s="26" t="str">
        <f>IF($C34="","",'Profile &amp; Baseline'!BU34/INDEX('Global Constants'!BN$38:BN$40,$H34))</f>
        <v/>
      </c>
      <c r="BV34" s="26" t="str">
        <f>IF($C34="","",'Profile &amp; Baseline'!BV34/INDEX('Global Constants'!BO$38:BO$40,$H34))</f>
        <v/>
      </c>
      <c r="BW34" s="26" t="str">
        <f>IF($C34="","",'Profile &amp; Baseline'!BW34/INDEX('Global Constants'!BP$38:BP$40,$H34))</f>
        <v/>
      </c>
      <c r="BX34" s="26" t="str">
        <f>IF($C34="","",'Profile &amp; Baseline'!BX34/INDEX('Global Constants'!BQ$38:BQ$40,$H34))</f>
        <v/>
      </c>
      <c r="BY34" s="26" t="str">
        <f>IF($C34="","",'Profile &amp; Baseline'!BY34/INDEX('Global Constants'!BR$38:BR$40,$H34))</f>
        <v/>
      </c>
      <c r="BZ34" s="26" t="str">
        <f>IF($C34="","",'Profile &amp; Baseline'!BZ34/INDEX('Global Constants'!BS$38:BS$40,$H34))</f>
        <v/>
      </c>
      <c r="CA34" s="26" t="str">
        <f>IF($C34="","",'Profile &amp; Baseline'!CA34/INDEX('Global Constants'!BT$38:BT$40,$H34))</f>
        <v/>
      </c>
      <c r="CB34" s="26" t="str">
        <f>IF($C34="","",'Profile &amp; Baseline'!CB34/INDEX('Global Constants'!BU$38:BU$40,$H34))</f>
        <v/>
      </c>
      <c r="CC34" s="26" t="str">
        <f>IF($C34="","",'Profile &amp; Baseline'!CC34/INDEX('Global Constants'!BV$38:BV$40,$H34))</f>
        <v/>
      </c>
      <c r="CD34" s="26" t="str">
        <f>IF($C34="","",'Profile &amp; Baseline'!CD34/INDEX('Global Constants'!BW$38:BW$40,$H34))</f>
        <v/>
      </c>
      <c r="CE34" s="26" t="str">
        <f>IF($C34="","",'Profile &amp; Baseline'!CE34/INDEX('Global Constants'!BX$38:BX$40,$H34))</f>
        <v/>
      </c>
      <c r="CF34" s="26" t="str">
        <f>IF($C34="","",'Profile &amp; Baseline'!CF34/INDEX('Global Constants'!BY$38:BY$40,$H34))</f>
        <v/>
      </c>
      <c r="CG34" s="26" t="str">
        <f>IF($C34="","",'Profile &amp; Baseline'!CG34/INDEX('Global Constants'!BZ$38:BZ$40,$H34))</f>
        <v/>
      </c>
      <c r="CH34" s="26" t="str">
        <f>IF($C34="","",'Profile &amp; Baseline'!CH34/INDEX('Global Constants'!CA$38:CA$40,$H34))</f>
        <v/>
      </c>
      <c r="CI34" s="26" t="str">
        <f>IF($C34="","",'Profile &amp; Baseline'!CI34/INDEX('Global Constants'!CB$38:CB$40,$H34))</f>
        <v/>
      </c>
      <c r="CJ34" s="26" t="str">
        <f>IF($C34="","",'Profile &amp; Baseline'!CJ34/INDEX('Global Constants'!CC$38:CC$40,$H34))</f>
        <v/>
      </c>
      <c r="CK34" s="26" t="str">
        <f>IF($C34="","",'Profile &amp; Baseline'!CK34/INDEX('Global Constants'!CD$38:CD$40,$H34))</f>
        <v/>
      </c>
      <c r="CL34" s="26" t="str">
        <f>IF($C34="","",'Profile &amp; Baseline'!CL34/INDEX('Global Constants'!CE$38:CE$40,$H34))</f>
        <v/>
      </c>
      <c r="CM34" s="26" t="str">
        <f>IF($C34="","",'Profile &amp; Baseline'!CM34/INDEX('Global Constants'!CF$38:CF$40,$H34))</f>
        <v/>
      </c>
      <c r="CN34" s="26" t="str">
        <f>IF($C34="","",'Profile &amp; Baseline'!CN34/INDEX('Global Constants'!CG$38:CG$40,$H34))</f>
        <v/>
      </c>
      <c r="CO34" s="26" t="str">
        <f>IF($C34="","",'Profile &amp; Baseline'!CO34/INDEX('Global Constants'!CH$38:CH$40,$H34))</f>
        <v/>
      </c>
      <c r="CP34" s="26" t="str">
        <f>IF($C34="","",'Profile &amp; Baseline'!CP34/INDEX('Global Constants'!CI$38:CI$40,$H34))</f>
        <v/>
      </c>
      <c r="CQ34" s="26" t="str">
        <f>IF($C34="","",'Profile &amp; Baseline'!CQ34/INDEX('Global Constants'!CJ$38:CJ$40,$H34))</f>
        <v/>
      </c>
      <c r="CR34" s="26" t="str">
        <f>IF($C34="","",'Profile &amp; Baseline'!CR34/INDEX('Global Constants'!CK$38:CK$40,$H34))</f>
        <v/>
      </c>
      <c r="CS34" s="26" t="str">
        <f>IF($C34="","",'Profile &amp; Baseline'!CS34/INDEX('Global Constants'!CL$38:CL$40,$H34))</f>
        <v/>
      </c>
      <c r="CT34" s="26" t="str">
        <f>IF($C34="","",'Profile &amp; Baseline'!CT34/INDEX('Global Constants'!CM$38:CM$40,$H34))</f>
        <v/>
      </c>
      <c r="CU34" s="26" t="str">
        <f>IF($C34="","",'Profile &amp; Baseline'!CU34/INDEX('Global Constants'!CN$38:CN$40,$H34))</f>
        <v/>
      </c>
      <c r="CV34" s="26" t="str">
        <f>IF($C34="","",'Profile &amp; Baseline'!CV34/INDEX('Global Constants'!CO$38:CO$40,$H34))</f>
        <v/>
      </c>
      <c r="CW34" s="26" t="str">
        <f>IF($C34="","",'Profile &amp; Baseline'!CW34/INDEX('Global Constants'!CP$38:CP$40,$H34))</f>
        <v/>
      </c>
      <c r="CX34" s="26" t="str">
        <f>IF($C34="","",'Profile &amp; Baseline'!CX34/INDEX('Global Constants'!CQ$38:CQ$40,$H34))</f>
        <v/>
      </c>
      <c r="CZ34" s="26">
        <f t="shared" ca="1" si="1"/>
        <v>0</v>
      </c>
      <c r="DA34" s="26">
        <f t="shared" si="2"/>
        <v>0</v>
      </c>
    </row>
    <row r="35" spans="3:105" x14ac:dyDescent="0.3">
      <c r="C35" s="4" t="str">
        <f>IF('Cost &amp; Risk Inputs'!C36="","",'Cost &amp; Risk Inputs'!C36)</f>
        <v/>
      </c>
      <c r="D35" s="4" t="str">
        <f>IF(C35="","",'Cost &amp; Risk Inputs'!H36)</f>
        <v/>
      </c>
      <c r="E35" s="4" t="str">
        <f>IF(C35="","",'Cost &amp; Risk Inputs'!I36)</f>
        <v/>
      </c>
      <c r="F35" s="4" t="str">
        <f>IF(C35="","",'Cost &amp; Risk Inputs'!G36)</f>
        <v/>
      </c>
      <c r="H35" s="18" t="str">
        <f t="shared" si="0"/>
        <v/>
      </c>
      <c r="M35" s="26" t="str">
        <f>IF($C35="","",'Profile &amp; Baseline'!M35/INDEX('Global Constants'!F$38:F$40,$H35))</f>
        <v/>
      </c>
      <c r="N35" s="26" t="str">
        <f>IF($C35="","",'Profile &amp; Baseline'!N35/INDEX('Global Constants'!G$38:G$40,$H35))</f>
        <v/>
      </c>
      <c r="O35" s="26" t="str">
        <f>IF($C35="","",'Profile &amp; Baseline'!O35/INDEX('Global Constants'!H$38:H$40,$H35))</f>
        <v/>
      </c>
      <c r="P35" s="26" t="str">
        <f>IF($C35="","",'Profile &amp; Baseline'!P35/INDEX('Global Constants'!I$38:I$40,$H35))</f>
        <v/>
      </c>
      <c r="Q35" s="26" t="str">
        <f>IF($C35="","",'Profile &amp; Baseline'!Q35/INDEX('Global Constants'!J$38:J$40,$H35))</f>
        <v/>
      </c>
      <c r="R35" s="26" t="str">
        <f>IF($C35="","",'Profile &amp; Baseline'!R35/INDEX('Global Constants'!K$38:K$40,$H35))</f>
        <v/>
      </c>
      <c r="S35" s="26" t="str">
        <f>IF($C35="","",'Profile &amp; Baseline'!S35/INDEX('Global Constants'!L$38:L$40,$H35))</f>
        <v/>
      </c>
      <c r="T35" s="26" t="str">
        <f>IF($C35="","",'Profile &amp; Baseline'!T35/INDEX('Global Constants'!M$38:M$40,$H35))</f>
        <v/>
      </c>
      <c r="U35" s="26" t="str">
        <f>IF($C35="","",'Profile &amp; Baseline'!U35/INDEX('Global Constants'!N$38:N$40,$H35))</f>
        <v/>
      </c>
      <c r="V35" s="26" t="str">
        <f>IF($C35="","",'Profile &amp; Baseline'!V35/INDEX('Global Constants'!O$38:O$40,$H35))</f>
        <v/>
      </c>
      <c r="W35" s="26" t="str">
        <f>IF($C35="","",'Profile &amp; Baseline'!W35/INDEX('Global Constants'!P$38:P$40,$H35))</f>
        <v/>
      </c>
      <c r="X35" s="26" t="str">
        <f>IF($C35="","",'Profile &amp; Baseline'!X35/INDEX('Global Constants'!Q$38:Q$40,$H35))</f>
        <v/>
      </c>
      <c r="Y35" s="26" t="str">
        <f>IF($C35="","",'Profile &amp; Baseline'!Y35/INDEX('Global Constants'!R$38:R$40,$H35))</f>
        <v/>
      </c>
      <c r="Z35" s="26" t="str">
        <f>IF($C35="","",'Profile &amp; Baseline'!Z35/INDEX('Global Constants'!S$38:S$40,$H35))</f>
        <v/>
      </c>
      <c r="AA35" s="26" t="str">
        <f>IF($C35="","",'Profile &amp; Baseline'!AA35/INDEX('Global Constants'!T$38:T$40,$H35))</f>
        <v/>
      </c>
      <c r="AB35" s="26" t="str">
        <f>IF($C35="","",'Profile &amp; Baseline'!AB35/INDEX('Global Constants'!U$38:U$40,$H35))</f>
        <v/>
      </c>
      <c r="AC35" s="26" t="str">
        <f>IF($C35="","",'Profile &amp; Baseline'!AC35/INDEX('Global Constants'!V$38:V$40,$H35))</f>
        <v/>
      </c>
      <c r="AD35" s="26" t="str">
        <f>IF($C35="","",'Profile &amp; Baseline'!AD35/INDEX('Global Constants'!W$38:W$40,$H35))</f>
        <v/>
      </c>
      <c r="AE35" s="26" t="str">
        <f>IF($C35="","",'Profile &amp; Baseline'!AE35/INDEX('Global Constants'!X$38:X$40,$H35))</f>
        <v/>
      </c>
      <c r="AF35" s="26" t="str">
        <f>IF($C35="","",'Profile &amp; Baseline'!AF35/INDEX('Global Constants'!Y$38:Y$40,$H35))</f>
        <v/>
      </c>
      <c r="AG35" s="26" t="str">
        <f>IF($C35="","",'Profile &amp; Baseline'!AG35/INDEX('Global Constants'!Z$38:Z$40,$H35))</f>
        <v/>
      </c>
      <c r="AH35" s="26" t="str">
        <f>IF($C35="","",'Profile &amp; Baseline'!AH35/INDEX('Global Constants'!AA$38:AA$40,$H35))</f>
        <v/>
      </c>
      <c r="AI35" s="26" t="str">
        <f>IF($C35="","",'Profile &amp; Baseline'!AI35/INDEX('Global Constants'!AB$38:AB$40,$H35))</f>
        <v/>
      </c>
      <c r="AJ35" s="26" t="str">
        <f>IF($C35="","",'Profile &amp; Baseline'!AJ35/INDEX('Global Constants'!AC$38:AC$40,$H35))</f>
        <v/>
      </c>
      <c r="AK35" s="26" t="str">
        <f>IF($C35="","",'Profile &amp; Baseline'!AK35/INDEX('Global Constants'!AD$38:AD$40,$H35))</f>
        <v/>
      </c>
      <c r="AL35" s="26" t="str">
        <f>IF($C35="","",'Profile &amp; Baseline'!AL35/INDEX('Global Constants'!AE$38:AE$40,$H35))</f>
        <v/>
      </c>
      <c r="AM35" s="26" t="str">
        <f>IF($C35="","",'Profile &amp; Baseline'!AM35/INDEX('Global Constants'!AF$38:AF$40,$H35))</f>
        <v/>
      </c>
      <c r="AN35" s="26" t="str">
        <f>IF($C35="","",'Profile &amp; Baseline'!AN35/INDEX('Global Constants'!AG$38:AG$40,$H35))</f>
        <v/>
      </c>
      <c r="AO35" s="26" t="str">
        <f>IF($C35="","",'Profile &amp; Baseline'!AO35/INDEX('Global Constants'!AH$38:AH$40,$H35))</f>
        <v/>
      </c>
      <c r="AP35" s="26" t="str">
        <f>IF($C35="","",'Profile &amp; Baseline'!AP35/INDEX('Global Constants'!AI$38:AI$40,$H35))</f>
        <v/>
      </c>
      <c r="AQ35" s="26" t="str">
        <f>IF($C35="","",'Profile &amp; Baseline'!AQ35/INDEX('Global Constants'!AJ$38:AJ$40,$H35))</f>
        <v/>
      </c>
      <c r="AR35" s="26" t="str">
        <f>IF($C35="","",'Profile &amp; Baseline'!AR35/INDEX('Global Constants'!AK$38:AK$40,$H35))</f>
        <v/>
      </c>
      <c r="AS35" s="26" t="str">
        <f>IF($C35="","",'Profile &amp; Baseline'!AS35/INDEX('Global Constants'!AL$38:AL$40,$H35))</f>
        <v/>
      </c>
      <c r="AT35" s="26" t="str">
        <f>IF($C35="","",'Profile &amp; Baseline'!AT35/INDEX('Global Constants'!AM$38:AM$40,$H35))</f>
        <v/>
      </c>
      <c r="AU35" s="26" t="str">
        <f>IF($C35="","",'Profile &amp; Baseline'!AU35/INDEX('Global Constants'!AN$38:AN$40,$H35))</f>
        <v/>
      </c>
      <c r="AV35" s="26" t="str">
        <f>IF($C35="","",'Profile &amp; Baseline'!AV35/INDEX('Global Constants'!AO$38:AO$40,$H35))</f>
        <v/>
      </c>
      <c r="AW35" s="26" t="str">
        <f>IF($C35="","",'Profile &amp; Baseline'!AW35/INDEX('Global Constants'!AP$38:AP$40,$H35))</f>
        <v/>
      </c>
      <c r="AX35" s="26" t="str">
        <f>IF($C35="","",'Profile &amp; Baseline'!AX35/INDEX('Global Constants'!AQ$38:AQ$40,$H35))</f>
        <v/>
      </c>
      <c r="AY35" s="26" t="str">
        <f>IF($C35="","",'Profile &amp; Baseline'!AY35/INDEX('Global Constants'!AR$38:AR$40,$H35))</f>
        <v/>
      </c>
      <c r="AZ35" s="26" t="str">
        <f>IF($C35="","",'Profile &amp; Baseline'!AZ35/INDEX('Global Constants'!AS$38:AS$40,$H35))</f>
        <v/>
      </c>
      <c r="BA35" s="26" t="str">
        <f>IF($C35="","",'Profile &amp; Baseline'!BA35/INDEX('Global Constants'!AT$38:AT$40,$H35))</f>
        <v/>
      </c>
      <c r="BB35" s="26" t="str">
        <f>IF($C35="","",'Profile &amp; Baseline'!BB35/INDEX('Global Constants'!AU$38:AU$40,$H35))</f>
        <v/>
      </c>
      <c r="BC35" s="26" t="str">
        <f>IF($C35="","",'Profile &amp; Baseline'!BC35/INDEX('Global Constants'!AV$38:AV$40,$H35))</f>
        <v/>
      </c>
      <c r="BD35" s="26" t="str">
        <f>IF($C35="","",'Profile &amp; Baseline'!BD35/INDEX('Global Constants'!AW$38:AW$40,$H35))</f>
        <v/>
      </c>
      <c r="BE35" s="26" t="str">
        <f>IF($C35="","",'Profile &amp; Baseline'!BE35/INDEX('Global Constants'!AX$38:AX$40,$H35))</f>
        <v/>
      </c>
      <c r="BF35" s="26" t="str">
        <f>IF($C35="","",'Profile &amp; Baseline'!BF35/INDEX('Global Constants'!AY$38:AY$40,$H35))</f>
        <v/>
      </c>
      <c r="BG35" s="26" t="str">
        <f>IF($C35="","",'Profile &amp; Baseline'!BG35/INDEX('Global Constants'!AZ$38:AZ$40,$H35))</f>
        <v/>
      </c>
      <c r="BH35" s="26" t="str">
        <f>IF($C35="","",'Profile &amp; Baseline'!BH35/INDEX('Global Constants'!BA$38:BA$40,$H35))</f>
        <v/>
      </c>
      <c r="BI35" s="26" t="str">
        <f>IF($C35="","",'Profile &amp; Baseline'!BI35/INDEX('Global Constants'!BB$38:BB$40,$H35))</f>
        <v/>
      </c>
      <c r="BJ35" s="26" t="str">
        <f>IF($C35="","",'Profile &amp; Baseline'!BJ35/INDEX('Global Constants'!BC$38:BC$40,$H35))</f>
        <v/>
      </c>
      <c r="BK35" s="26" t="str">
        <f>IF($C35="","",'Profile &amp; Baseline'!BK35/INDEX('Global Constants'!BD$38:BD$40,$H35))</f>
        <v/>
      </c>
      <c r="BL35" s="26" t="str">
        <f>IF($C35="","",'Profile &amp; Baseline'!BL35/INDEX('Global Constants'!BE$38:BE$40,$H35))</f>
        <v/>
      </c>
      <c r="BM35" s="26" t="str">
        <f>IF($C35="","",'Profile &amp; Baseline'!BM35/INDEX('Global Constants'!BF$38:BF$40,$H35))</f>
        <v/>
      </c>
      <c r="BN35" s="26" t="str">
        <f>IF($C35="","",'Profile &amp; Baseline'!BN35/INDEX('Global Constants'!BG$38:BG$40,$H35))</f>
        <v/>
      </c>
      <c r="BO35" s="26" t="str">
        <f>IF($C35="","",'Profile &amp; Baseline'!BO35/INDEX('Global Constants'!BH$38:BH$40,$H35))</f>
        <v/>
      </c>
      <c r="BP35" s="26" t="str">
        <f>IF($C35="","",'Profile &amp; Baseline'!BP35/INDEX('Global Constants'!BI$38:BI$40,$H35))</f>
        <v/>
      </c>
      <c r="BQ35" s="26" t="str">
        <f>IF($C35="","",'Profile &amp; Baseline'!BQ35/INDEX('Global Constants'!BJ$38:BJ$40,$H35))</f>
        <v/>
      </c>
      <c r="BR35" s="26" t="str">
        <f>IF($C35="","",'Profile &amp; Baseline'!BR35/INDEX('Global Constants'!BK$38:BK$40,$H35))</f>
        <v/>
      </c>
      <c r="BS35" s="26" t="str">
        <f>IF($C35="","",'Profile &amp; Baseline'!BS35/INDEX('Global Constants'!BL$38:BL$40,$H35))</f>
        <v/>
      </c>
      <c r="BT35" s="26" t="str">
        <f>IF($C35="","",'Profile &amp; Baseline'!BT35/INDEX('Global Constants'!BM$38:BM$40,$H35))</f>
        <v/>
      </c>
      <c r="BU35" s="26" t="str">
        <f>IF($C35="","",'Profile &amp; Baseline'!BU35/INDEX('Global Constants'!BN$38:BN$40,$H35))</f>
        <v/>
      </c>
      <c r="BV35" s="26" t="str">
        <f>IF($C35="","",'Profile &amp; Baseline'!BV35/INDEX('Global Constants'!BO$38:BO$40,$H35))</f>
        <v/>
      </c>
      <c r="BW35" s="26" t="str">
        <f>IF($C35="","",'Profile &amp; Baseline'!BW35/INDEX('Global Constants'!BP$38:BP$40,$H35))</f>
        <v/>
      </c>
      <c r="BX35" s="26" t="str">
        <f>IF($C35="","",'Profile &amp; Baseline'!BX35/INDEX('Global Constants'!BQ$38:BQ$40,$H35))</f>
        <v/>
      </c>
      <c r="BY35" s="26" t="str">
        <f>IF($C35="","",'Profile &amp; Baseline'!BY35/INDEX('Global Constants'!BR$38:BR$40,$H35))</f>
        <v/>
      </c>
      <c r="BZ35" s="26" t="str">
        <f>IF($C35="","",'Profile &amp; Baseline'!BZ35/INDEX('Global Constants'!BS$38:BS$40,$H35))</f>
        <v/>
      </c>
      <c r="CA35" s="26" t="str">
        <f>IF($C35="","",'Profile &amp; Baseline'!CA35/INDEX('Global Constants'!BT$38:BT$40,$H35))</f>
        <v/>
      </c>
      <c r="CB35" s="26" t="str">
        <f>IF($C35="","",'Profile &amp; Baseline'!CB35/INDEX('Global Constants'!BU$38:BU$40,$H35))</f>
        <v/>
      </c>
      <c r="CC35" s="26" t="str">
        <f>IF($C35="","",'Profile &amp; Baseline'!CC35/INDEX('Global Constants'!BV$38:BV$40,$H35))</f>
        <v/>
      </c>
      <c r="CD35" s="26" t="str">
        <f>IF($C35="","",'Profile &amp; Baseline'!CD35/INDEX('Global Constants'!BW$38:BW$40,$H35))</f>
        <v/>
      </c>
      <c r="CE35" s="26" t="str">
        <f>IF($C35="","",'Profile &amp; Baseline'!CE35/INDEX('Global Constants'!BX$38:BX$40,$H35))</f>
        <v/>
      </c>
      <c r="CF35" s="26" t="str">
        <f>IF($C35="","",'Profile &amp; Baseline'!CF35/INDEX('Global Constants'!BY$38:BY$40,$H35))</f>
        <v/>
      </c>
      <c r="CG35" s="26" t="str">
        <f>IF($C35="","",'Profile &amp; Baseline'!CG35/INDEX('Global Constants'!BZ$38:BZ$40,$H35))</f>
        <v/>
      </c>
      <c r="CH35" s="26" t="str">
        <f>IF($C35="","",'Profile &amp; Baseline'!CH35/INDEX('Global Constants'!CA$38:CA$40,$H35))</f>
        <v/>
      </c>
      <c r="CI35" s="26" t="str">
        <f>IF($C35="","",'Profile &amp; Baseline'!CI35/INDEX('Global Constants'!CB$38:CB$40,$H35))</f>
        <v/>
      </c>
      <c r="CJ35" s="26" t="str">
        <f>IF($C35="","",'Profile &amp; Baseline'!CJ35/INDEX('Global Constants'!CC$38:CC$40,$H35))</f>
        <v/>
      </c>
      <c r="CK35" s="26" t="str">
        <f>IF($C35="","",'Profile &amp; Baseline'!CK35/INDEX('Global Constants'!CD$38:CD$40,$H35))</f>
        <v/>
      </c>
      <c r="CL35" s="26" t="str">
        <f>IF($C35="","",'Profile &amp; Baseline'!CL35/INDEX('Global Constants'!CE$38:CE$40,$H35))</f>
        <v/>
      </c>
      <c r="CM35" s="26" t="str">
        <f>IF($C35="","",'Profile &amp; Baseline'!CM35/INDEX('Global Constants'!CF$38:CF$40,$H35))</f>
        <v/>
      </c>
      <c r="CN35" s="26" t="str">
        <f>IF($C35="","",'Profile &amp; Baseline'!CN35/INDEX('Global Constants'!CG$38:CG$40,$H35))</f>
        <v/>
      </c>
      <c r="CO35" s="26" t="str">
        <f>IF($C35="","",'Profile &amp; Baseline'!CO35/INDEX('Global Constants'!CH$38:CH$40,$H35))</f>
        <v/>
      </c>
      <c r="CP35" s="26" t="str">
        <f>IF($C35="","",'Profile &amp; Baseline'!CP35/INDEX('Global Constants'!CI$38:CI$40,$H35))</f>
        <v/>
      </c>
      <c r="CQ35" s="26" t="str">
        <f>IF($C35="","",'Profile &amp; Baseline'!CQ35/INDEX('Global Constants'!CJ$38:CJ$40,$H35))</f>
        <v/>
      </c>
      <c r="CR35" s="26" t="str">
        <f>IF($C35="","",'Profile &amp; Baseline'!CR35/INDEX('Global Constants'!CK$38:CK$40,$H35))</f>
        <v/>
      </c>
      <c r="CS35" s="26" t="str">
        <f>IF($C35="","",'Profile &amp; Baseline'!CS35/INDEX('Global Constants'!CL$38:CL$40,$H35))</f>
        <v/>
      </c>
      <c r="CT35" s="26" t="str">
        <f>IF($C35="","",'Profile &amp; Baseline'!CT35/INDEX('Global Constants'!CM$38:CM$40,$H35))</f>
        <v/>
      </c>
      <c r="CU35" s="26" t="str">
        <f>IF($C35="","",'Profile &amp; Baseline'!CU35/INDEX('Global Constants'!CN$38:CN$40,$H35))</f>
        <v/>
      </c>
      <c r="CV35" s="26" t="str">
        <f>IF($C35="","",'Profile &amp; Baseline'!CV35/INDEX('Global Constants'!CO$38:CO$40,$H35))</f>
        <v/>
      </c>
      <c r="CW35" s="26" t="str">
        <f>IF($C35="","",'Profile &amp; Baseline'!CW35/INDEX('Global Constants'!CP$38:CP$40,$H35))</f>
        <v/>
      </c>
      <c r="CX35" s="26" t="str">
        <f>IF($C35="","",'Profile &amp; Baseline'!CX35/INDEX('Global Constants'!CQ$38:CQ$40,$H35))</f>
        <v/>
      </c>
      <c r="CZ35" s="26">
        <f t="shared" ca="1" si="1"/>
        <v>0</v>
      </c>
      <c r="DA35" s="26">
        <f t="shared" si="2"/>
        <v>0</v>
      </c>
    </row>
    <row r="36" spans="3:105" x14ac:dyDescent="0.3">
      <c r="C36" s="4" t="str">
        <f>IF('Cost &amp; Risk Inputs'!C37="","",'Cost &amp; Risk Inputs'!C37)</f>
        <v/>
      </c>
      <c r="D36" s="4" t="str">
        <f>IF(C36="","",'Cost &amp; Risk Inputs'!H37)</f>
        <v/>
      </c>
      <c r="E36" s="4" t="str">
        <f>IF(C36="","",'Cost &amp; Risk Inputs'!I37)</f>
        <v/>
      </c>
      <c r="F36" s="4" t="str">
        <f>IF(C36="","",'Cost &amp; Risk Inputs'!G37)</f>
        <v/>
      </c>
      <c r="H36" s="18" t="str">
        <f t="shared" si="0"/>
        <v/>
      </c>
      <c r="M36" s="26" t="str">
        <f>IF($C36="","",'Profile &amp; Baseline'!M36/INDEX('Global Constants'!F$38:F$40,$H36))</f>
        <v/>
      </c>
      <c r="N36" s="26" t="str">
        <f>IF($C36="","",'Profile &amp; Baseline'!N36/INDEX('Global Constants'!G$38:G$40,$H36))</f>
        <v/>
      </c>
      <c r="O36" s="26" t="str">
        <f>IF($C36="","",'Profile &amp; Baseline'!O36/INDEX('Global Constants'!H$38:H$40,$H36))</f>
        <v/>
      </c>
      <c r="P36" s="26" t="str">
        <f>IF($C36="","",'Profile &amp; Baseline'!P36/INDEX('Global Constants'!I$38:I$40,$H36))</f>
        <v/>
      </c>
      <c r="Q36" s="26" t="str">
        <f>IF($C36="","",'Profile &amp; Baseline'!Q36/INDEX('Global Constants'!J$38:J$40,$H36))</f>
        <v/>
      </c>
      <c r="R36" s="26" t="str">
        <f>IF($C36="","",'Profile &amp; Baseline'!R36/INDEX('Global Constants'!K$38:K$40,$H36))</f>
        <v/>
      </c>
      <c r="S36" s="26" t="str">
        <f>IF($C36="","",'Profile &amp; Baseline'!S36/INDEX('Global Constants'!L$38:L$40,$H36))</f>
        <v/>
      </c>
      <c r="T36" s="26" t="str">
        <f>IF($C36="","",'Profile &amp; Baseline'!T36/INDEX('Global Constants'!M$38:M$40,$H36))</f>
        <v/>
      </c>
      <c r="U36" s="26" t="str">
        <f>IF($C36="","",'Profile &amp; Baseline'!U36/INDEX('Global Constants'!N$38:N$40,$H36))</f>
        <v/>
      </c>
      <c r="V36" s="26" t="str">
        <f>IF($C36="","",'Profile &amp; Baseline'!V36/INDEX('Global Constants'!O$38:O$40,$H36))</f>
        <v/>
      </c>
      <c r="W36" s="26" t="str">
        <f>IF($C36="","",'Profile &amp; Baseline'!W36/INDEX('Global Constants'!P$38:P$40,$H36))</f>
        <v/>
      </c>
      <c r="X36" s="26" t="str">
        <f>IF($C36="","",'Profile &amp; Baseline'!X36/INDEX('Global Constants'!Q$38:Q$40,$H36))</f>
        <v/>
      </c>
      <c r="Y36" s="26" t="str">
        <f>IF($C36="","",'Profile &amp; Baseline'!Y36/INDEX('Global Constants'!R$38:R$40,$H36))</f>
        <v/>
      </c>
      <c r="Z36" s="26" t="str">
        <f>IF($C36="","",'Profile &amp; Baseline'!Z36/INDEX('Global Constants'!S$38:S$40,$H36))</f>
        <v/>
      </c>
      <c r="AA36" s="26" t="str">
        <f>IF($C36="","",'Profile &amp; Baseline'!AA36/INDEX('Global Constants'!T$38:T$40,$H36))</f>
        <v/>
      </c>
      <c r="AB36" s="26" t="str">
        <f>IF($C36="","",'Profile &amp; Baseline'!AB36/INDEX('Global Constants'!U$38:U$40,$H36))</f>
        <v/>
      </c>
      <c r="AC36" s="26" t="str">
        <f>IF($C36="","",'Profile &amp; Baseline'!AC36/INDEX('Global Constants'!V$38:V$40,$H36))</f>
        <v/>
      </c>
      <c r="AD36" s="26" t="str">
        <f>IF($C36="","",'Profile &amp; Baseline'!AD36/INDEX('Global Constants'!W$38:W$40,$H36))</f>
        <v/>
      </c>
      <c r="AE36" s="26" t="str">
        <f>IF($C36="","",'Profile &amp; Baseline'!AE36/INDEX('Global Constants'!X$38:X$40,$H36))</f>
        <v/>
      </c>
      <c r="AF36" s="26" t="str">
        <f>IF($C36="","",'Profile &amp; Baseline'!AF36/INDEX('Global Constants'!Y$38:Y$40,$H36))</f>
        <v/>
      </c>
      <c r="AG36" s="26" t="str">
        <f>IF($C36="","",'Profile &amp; Baseline'!AG36/INDEX('Global Constants'!Z$38:Z$40,$H36))</f>
        <v/>
      </c>
      <c r="AH36" s="26" t="str">
        <f>IF($C36="","",'Profile &amp; Baseline'!AH36/INDEX('Global Constants'!AA$38:AA$40,$H36))</f>
        <v/>
      </c>
      <c r="AI36" s="26" t="str">
        <f>IF($C36="","",'Profile &amp; Baseline'!AI36/INDEX('Global Constants'!AB$38:AB$40,$H36))</f>
        <v/>
      </c>
      <c r="AJ36" s="26" t="str">
        <f>IF($C36="","",'Profile &amp; Baseline'!AJ36/INDEX('Global Constants'!AC$38:AC$40,$H36))</f>
        <v/>
      </c>
      <c r="AK36" s="26" t="str">
        <f>IF($C36="","",'Profile &amp; Baseline'!AK36/INDEX('Global Constants'!AD$38:AD$40,$H36))</f>
        <v/>
      </c>
      <c r="AL36" s="26" t="str">
        <f>IF($C36="","",'Profile &amp; Baseline'!AL36/INDEX('Global Constants'!AE$38:AE$40,$H36))</f>
        <v/>
      </c>
      <c r="AM36" s="26" t="str">
        <f>IF($C36="","",'Profile &amp; Baseline'!AM36/INDEX('Global Constants'!AF$38:AF$40,$H36))</f>
        <v/>
      </c>
      <c r="AN36" s="26" t="str">
        <f>IF($C36="","",'Profile &amp; Baseline'!AN36/INDEX('Global Constants'!AG$38:AG$40,$H36))</f>
        <v/>
      </c>
      <c r="AO36" s="26" t="str">
        <f>IF($C36="","",'Profile &amp; Baseline'!AO36/INDEX('Global Constants'!AH$38:AH$40,$H36))</f>
        <v/>
      </c>
      <c r="AP36" s="26" t="str">
        <f>IF($C36="","",'Profile &amp; Baseline'!AP36/INDEX('Global Constants'!AI$38:AI$40,$H36))</f>
        <v/>
      </c>
      <c r="AQ36" s="26" t="str">
        <f>IF($C36="","",'Profile &amp; Baseline'!AQ36/INDEX('Global Constants'!AJ$38:AJ$40,$H36))</f>
        <v/>
      </c>
      <c r="AR36" s="26" t="str">
        <f>IF($C36="","",'Profile &amp; Baseline'!AR36/INDEX('Global Constants'!AK$38:AK$40,$H36))</f>
        <v/>
      </c>
      <c r="AS36" s="26" t="str">
        <f>IF($C36="","",'Profile &amp; Baseline'!AS36/INDEX('Global Constants'!AL$38:AL$40,$H36))</f>
        <v/>
      </c>
      <c r="AT36" s="26" t="str">
        <f>IF($C36="","",'Profile &amp; Baseline'!AT36/INDEX('Global Constants'!AM$38:AM$40,$H36))</f>
        <v/>
      </c>
      <c r="AU36" s="26" t="str">
        <f>IF($C36="","",'Profile &amp; Baseline'!AU36/INDEX('Global Constants'!AN$38:AN$40,$H36))</f>
        <v/>
      </c>
      <c r="AV36" s="26" t="str">
        <f>IF($C36="","",'Profile &amp; Baseline'!AV36/INDEX('Global Constants'!AO$38:AO$40,$H36))</f>
        <v/>
      </c>
      <c r="AW36" s="26" t="str">
        <f>IF($C36="","",'Profile &amp; Baseline'!AW36/INDEX('Global Constants'!AP$38:AP$40,$H36))</f>
        <v/>
      </c>
      <c r="AX36" s="26" t="str">
        <f>IF($C36="","",'Profile &amp; Baseline'!AX36/INDEX('Global Constants'!AQ$38:AQ$40,$H36))</f>
        <v/>
      </c>
      <c r="AY36" s="26" t="str">
        <f>IF($C36="","",'Profile &amp; Baseline'!AY36/INDEX('Global Constants'!AR$38:AR$40,$H36))</f>
        <v/>
      </c>
      <c r="AZ36" s="26" t="str">
        <f>IF($C36="","",'Profile &amp; Baseline'!AZ36/INDEX('Global Constants'!AS$38:AS$40,$H36))</f>
        <v/>
      </c>
      <c r="BA36" s="26" t="str">
        <f>IF($C36="","",'Profile &amp; Baseline'!BA36/INDEX('Global Constants'!AT$38:AT$40,$H36))</f>
        <v/>
      </c>
      <c r="BB36" s="26" t="str">
        <f>IF($C36="","",'Profile &amp; Baseline'!BB36/INDEX('Global Constants'!AU$38:AU$40,$H36))</f>
        <v/>
      </c>
      <c r="BC36" s="26" t="str">
        <f>IF($C36="","",'Profile &amp; Baseline'!BC36/INDEX('Global Constants'!AV$38:AV$40,$H36))</f>
        <v/>
      </c>
      <c r="BD36" s="26" t="str">
        <f>IF($C36="","",'Profile &amp; Baseline'!BD36/INDEX('Global Constants'!AW$38:AW$40,$H36))</f>
        <v/>
      </c>
      <c r="BE36" s="26" t="str">
        <f>IF($C36="","",'Profile &amp; Baseline'!BE36/INDEX('Global Constants'!AX$38:AX$40,$H36))</f>
        <v/>
      </c>
      <c r="BF36" s="26" t="str">
        <f>IF($C36="","",'Profile &amp; Baseline'!BF36/INDEX('Global Constants'!AY$38:AY$40,$H36))</f>
        <v/>
      </c>
      <c r="BG36" s="26" t="str">
        <f>IF($C36="","",'Profile &amp; Baseline'!BG36/INDEX('Global Constants'!AZ$38:AZ$40,$H36))</f>
        <v/>
      </c>
      <c r="BH36" s="26" t="str">
        <f>IF($C36="","",'Profile &amp; Baseline'!BH36/INDEX('Global Constants'!BA$38:BA$40,$H36))</f>
        <v/>
      </c>
      <c r="BI36" s="26" t="str">
        <f>IF($C36="","",'Profile &amp; Baseline'!BI36/INDEX('Global Constants'!BB$38:BB$40,$H36))</f>
        <v/>
      </c>
      <c r="BJ36" s="26" t="str">
        <f>IF($C36="","",'Profile &amp; Baseline'!BJ36/INDEX('Global Constants'!BC$38:BC$40,$H36))</f>
        <v/>
      </c>
      <c r="BK36" s="26" t="str">
        <f>IF($C36="","",'Profile &amp; Baseline'!BK36/INDEX('Global Constants'!BD$38:BD$40,$H36))</f>
        <v/>
      </c>
      <c r="BL36" s="26" t="str">
        <f>IF($C36="","",'Profile &amp; Baseline'!BL36/INDEX('Global Constants'!BE$38:BE$40,$H36))</f>
        <v/>
      </c>
      <c r="BM36" s="26" t="str">
        <f>IF($C36="","",'Profile &amp; Baseline'!BM36/INDEX('Global Constants'!BF$38:BF$40,$H36))</f>
        <v/>
      </c>
      <c r="BN36" s="26" t="str">
        <f>IF($C36="","",'Profile &amp; Baseline'!BN36/INDEX('Global Constants'!BG$38:BG$40,$H36))</f>
        <v/>
      </c>
      <c r="BO36" s="26" t="str">
        <f>IF($C36="","",'Profile &amp; Baseline'!BO36/INDEX('Global Constants'!BH$38:BH$40,$H36))</f>
        <v/>
      </c>
      <c r="BP36" s="26" t="str">
        <f>IF($C36="","",'Profile &amp; Baseline'!BP36/INDEX('Global Constants'!BI$38:BI$40,$H36))</f>
        <v/>
      </c>
      <c r="BQ36" s="26" t="str">
        <f>IF($C36="","",'Profile &amp; Baseline'!BQ36/INDEX('Global Constants'!BJ$38:BJ$40,$H36))</f>
        <v/>
      </c>
      <c r="BR36" s="26" t="str">
        <f>IF($C36="","",'Profile &amp; Baseline'!BR36/INDEX('Global Constants'!BK$38:BK$40,$H36))</f>
        <v/>
      </c>
      <c r="BS36" s="26" t="str">
        <f>IF($C36="","",'Profile &amp; Baseline'!BS36/INDEX('Global Constants'!BL$38:BL$40,$H36))</f>
        <v/>
      </c>
      <c r="BT36" s="26" t="str">
        <f>IF($C36="","",'Profile &amp; Baseline'!BT36/INDEX('Global Constants'!BM$38:BM$40,$H36))</f>
        <v/>
      </c>
      <c r="BU36" s="26" t="str">
        <f>IF($C36="","",'Profile &amp; Baseline'!BU36/INDEX('Global Constants'!BN$38:BN$40,$H36))</f>
        <v/>
      </c>
      <c r="BV36" s="26" t="str">
        <f>IF($C36="","",'Profile &amp; Baseline'!BV36/INDEX('Global Constants'!BO$38:BO$40,$H36))</f>
        <v/>
      </c>
      <c r="BW36" s="26" t="str">
        <f>IF($C36="","",'Profile &amp; Baseline'!BW36/INDEX('Global Constants'!BP$38:BP$40,$H36))</f>
        <v/>
      </c>
      <c r="BX36" s="26" t="str">
        <f>IF($C36="","",'Profile &amp; Baseline'!BX36/INDEX('Global Constants'!BQ$38:BQ$40,$H36))</f>
        <v/>
      </c>
      <c r="BY36" s="26" t="str">
        <f>IF($C36="","",'Profile &amp; Baseline'!BY36/INDEX('Global Constants'!BR$38:BR$40,$H36))</f>
        <v/>
      </c>
      <c r="BZ36" s="26" t="str">
        <f>IF($C36="","",'Profile &amp; Baseline'!BZ36/INDEX('Global Constants'!BS$38:BS$40,$H36))</f>
        <v/>
      </c>
      <c r="CA36" s="26" t="str">
        <f>IF($C36="","",'Profile &amp; Baseline'!CA36/INDEX('Global Constants'!BT$38:BT$40,$H36))</f>
        <v/>
      </c>
      <c r="CB36" s="26" t="str">
        <f>IF($C36="","",'Profile &amp; Baseline'!CB36/INDEX('Global Constants'!BU$38:BU$40,$H36))</f>
        <v/>
      </c>
      <c r="CC36" s="26" t="str">
        <f>IF($C36="","",'Profile &amp; Baseline'!CC36/INDEX('Global Constants'!BV$38:BV$40,$H36))</f>
        <v/>
      </c>
      <c r="CD36" s="26" t="str">
        <f>IF($C36="","",'Profile &amp; Baseline'!CD36/INDEX('Global Constants'!BW$38:BW$40,$H36))</f>
        <v/>
      </c>
      <c r="CE36" s="26" t="str">
        <f>IF($C36="","",'Profile &amp; Baseline'!CE36/INDEX('Global Constants'!BX$38:BX$40,$H36))</f>
        <v/>
      </c>
      <c r="CF36" s="26" t="str">
        <f>IF($C36="","",'Profile &amp; Baseline'!CF36/INDEX('Global Constants'!BY$38:BY$40,$H36))</f>
        <v/>
      </c>
      <c r="CG36" s="26" t="str">
        <f>IF($C36="","",'Profile &amp; Baseline'!CG36/INDEX('Global Constants'!BZ$38:BZ$40,$H36))</f>
        <v/>
      </c>
      <c r="CH36" s="26" t="str">
        <f>IF($C36="","",'Profile &amp; Baseline'!CH36/INDEX('Global Constants'!CA$38:CA$40,$H36))</f>
        <v/>
      </c>
      <c r="CI36" s="26" t="str">
        <f>IF($C36="","",'Profile &amp; Baseline'!CI36/INDEX('Global Constants'!CB$38:CB$40,$H36))</f>
        <v/>
      </c>
      <c r="CJ36" s="26" t="str">
        <f>IF($C36="","",'Profile &amp; Baseline'!CJ36/INDEX('Global Constants'!CC$38:CC$40,$H36))</f>
        <v/>
      </c>
      <c r="CK36" s="26" t="str">
        <f>IF($C36="","",'Profile &amp; Baseline'!CK36/INDEX('Global Constants'!CD$38:CD$40,$H36))</f>
        <v/>
      </c>
      <c r="CL36" s="26" t="str">
        <f>IF($C36="","",'Profile &amp; Baseline'!CL36/INDEX('Global Constants'!CE$38:CE$40,$H36))</f>
        <v/>
      </c>
      <c r="CM36" s="26" t="str">
        <f>IF($C36="","",'Profile &amp; Baseline'!CM36/INDEX('Global Constants'!CF$38:CF$40,$H36))</f>
        <v/>
      </c>
      <c r="CN36" s="26" t="str">
        <f>IF($C36="","",'Profile &amp; Baseline'!CN36/INDEX('Global Constants'!CG$38:CG$40,$H36))</f>
        <v/>
      </c>
      <c r="CO36" s="26" t="str">
        <f>IF($C36="","",'Profile &amp; Baseline'!CO36/INDEX('Global Constants'!CH$38:CH$40,$H36))</f>
        <v/>
      </c>
      <c r="CP36" s="26" t="str">
        <f>IF($C36="","",'Profile &amp; Baseline'!CP36/INDEX('Global Constants'!CI$38:CI$40,$H36))</f>
        <v/>
      </c>
      <c r="CQ36" s="26" t="str">
        <f>IF($C36="","",'Profile &amp; Baseline'!CQ36/INDEX('Global Constants'!CJ$38:CJ$40,$H36))</f>
        <v/>
      </c>
      <c r="CR36" s="26" t="str">
        <f>IF($C36="","",'Profile &amp; Baseline'!CR36/INDEX('Global Constants'!CK$38:CK$40,$H36))</f>
        <v/>
      </c>
      <c r="CS36" s="26" t="str">
        <f>IF($C36="","",'Profile &amp; Baseline'!CS36/INDEX('Global Constants'!CL$38:CL$40,$H36))</f>
        <v/>
      </c>
      <c r="CT36" s="26" t="str">
        <f>IF($C36="","",'Profile &amp; Baseline'!CT36/INDEX('Global Constants'!CM$38:CM$40,$H36))</f>
        <v/>
      </c>
      <c r="CU36" s="26" t="str">
        <f>IF($C36="","",'Profile &amp; Baseline'!CU36/INDEX('Global Constants'!CN$38:CN$40,$H36))</f>
        <v/>
      </c>
      <c r="CV36" s="26" t="str">
        <f>IF($C36="","",'Profile &amp; Baseline'!CV36/INDEX('Global Constants'!CO$38:CO$40,$H36))</f>
        <v/>
      </c>
      <c r="CW36" s="26" t="str">
        <f>IF($C36="","",'Profile &amp; Baseline'!CW36/INDEX('Global Constants'!CP$38:CP$40,$H36))</f>
        <v/>
      </c>
      <c r="CX36" s="26" t="str">
        <f>IF($C36="","",'Profile &amp; Baseline'!CX36/INDEX('Global Constants'!CQ$38:CQ$40,$H36))</f>
        <v/>
      </c>
      <c r="CZ36" s="26">
        <f t="shared" ca="1" si="1"/>
        <v>0</v>
      </c>
      <c r="DA36" s="26">
        <f t="shared" si="2"/>
        <v>0</v>
      </c>
    </row>
    <row r="37" spans="3:105" x14ac:dyDescent="0.3">
      <c r="C37" s="4" t="str">
        <f>IF('Cost &amp; Risk Inputs'!C38="","",'Cost &amp; Risk Inputs'!C38)</f>
        <v/>
      </c>
      <c r="D37" s="4" t="str">
        <f>IF(C37="","",'Cost &amp; Risk Inputs'!H38)</f>
        <v/>
      </c>
      <c r="E37" s="4" t="str">
        <f>IF(C37="","",'Cost &amp; Risk Inputs'!I38)</f>
        <v/>
      </c>
      <c r="F37" s="4" t="str">
        <f>IF(C37="","",'Cost &amp; Risk Inputs'!G38)</f>
        <v/>
      </c>
      <c r="H37" s="18" t="str">
        <f t="shared" si="0"/>
        <v/>
      </c>
      <c r="M37" s="26" t="str">
        <f>IF($C37="","",'Profile &amp; Baseline'!M37/INDEX('Global Constants'!F$38:F$40,$H37))</f>
        <v/>
      </c>
      <c r="N37" s="26" t="str">
        <f>IF($C37="","",'Profile &amp; Baseline'!N37/INDEX('Global Constants'!G$38:G$40,$H37))</f>
        <v/>
      </c>
      <c r="O37" s="26" t="str">
        <f>IF($C37="","",'Profile &amp; Baseline'!O37/INDEX('Global Constants'!H$38:H$40,$H37))</f>
        <v/>
      </c>
      <c r="P37" s="26" t="str">
        <f>IF($C37="","",'Profile &amp; Baseline'!P37/INDEX('Global Constants'!I$38:I$40,$H37))</f>
        <v/>
      </c>
      <c r="Q37" s="26" t="str">
        <f>IF($C37="","",'Profile &amp; Baseline'!Q37/INDEX('Global Constants'!J$38:J$40,$H37))</f>
        <v/>
      </c>
      <c r="R37" s="26" t="str">
        <f>IF($C37="","",'Profile &amp; Baseline'!R37/INDEX('Global Constants'!K$38:K$40,$H37))</f>
        <v/>
      </c>
      <c r="S37" s="26" t="str">
        <f>IF($C37="","",'Profile &amp; Baseline'!S37/INDEX('Global Constants'!L$38:L$40,$H37))</f>
        <v/>
      </c>
      <c r="T37" s="26" t="str">
        <f>IF($C37="","",'Profile &amp; Baseline'!T37/INDEX('Global Constants'!M$38:M$40,$H37))</f>
        <v/>
      </c>
      <c r="U37" s="26" t="str">
        <f>IF($C37="","",'Profile &amp; Baseline'!U37/INDEX('Global Constants'!N$38:N$40,$H37))</f>
        <v/>
      </c>
      <c r="V37" s="26" t="str">
        <f>IF($C37="","",'Profile &amp; Baseline'!V37/INDEX('Global Constants'!O$38:O$40,$H37))</f>
        <v/>
      </c>
      <c r="W37" s="26" t="str">
        <f>IF($C37="","",'Profile &amp; Baseline'!W37/INDEX('Global Constants'!P$38:P$40,$H37))</f>
        <v/>
      </c>
      <c r="X37" s="26" t="str">
        <f>IF($C37="","",'Profile &amp; Baseline'!X37/INDEX('Global Constants'!Q$38:Q$40,$H37))</f>
        <v/>
      </c>
      <c r="Y37" s="26" t="str">
        <f>IF($C37="","",'Profile &amp; Baseline'!Y37/INDEX('Global Constants'!R$38:R$40,$H37))</f>
        <v/>
      </c>
      <c r="Z37" s="26" t="str">
        <f>IF($C37="","",'Profile &amp; Baseline'!Z37/INDEX('Global Constants'!S$38:S$40,$H37))</f>
        <v/>
      </c>
      <c r="AA37" s="26" t="str">
        <f>IF($C37="","",'Profile &amp; Baseline'!AA37/INDEX('Global Constants'!T$38:T$40,$H37))</f>
        <v/>
      </c>
      <c r="AB37" s="26" t="str">
        <f>IF($C37="","",'Profile &amp; Baseline'!AB37/INDEX('Global Constants'!U$38:U$40,$H37))</f>
        <v/>
      </c>
      <c r="AC37" s="26" t="str">
        <f>IF($C37="","",'Profile &amp; Baseline'!AC37/INDEX('Global Constants'!V$38:V$40,$H37))</f>
        <v/>
      </c>
      <c r="AD37" s="26" t="str">
        <f>IF($C37="","",'Profile &amp; Baseline'!AD37/INDEX('Global Constants'!W$38:W$40,$H37))</f>
        <v/>
      </c>
      <c r="AE37" s="26" t="str">
        <f>IF($C37="","",'Profile &amp; Baseline'!AE37/INDEX('Global Constants'!X$38:X$40,$H37))</f>
        <v/>
      </c>
      <c r="AF37" s="26" t="str">
        <f>IF($C37="","",'Profile &amp; Baseline'!AF37/INDEX('Global Constants'!Y$38:Y$40,$H37))</f>
        <v/>
      </c>
      <c r="AG37" s="26" t="str">
        <f>IF($C37="","",'Profile &amp; Baseline'!AG37/INDEX('Global Constants'!Z$38:Z$40,$H37))</f>
        <v/>
      </c>
      <c r="AH37" s="26" t="str">
        <f>IF($C37="","",'Profile &amp; Baseline'!AH37/INDEX('Global Constants'!AA$38:AA$40,$H37))</f>
        <v/>
      </c>
      <c r="AI37" s="26" t="str">
        <f>IF($C37="","",'Profile &amp; Baseline'!AI37/INDEX('Global Constants'!AB$38:AB$40,$H37))</f>
        <v/>
      </c>
      <c r="AJ37" s="26" t="str">
        <f>IF($C37="","",'Profile &amp; Baseline'!AJ37/INDEX('Global Constants'!AC$38:AC$40,$H37))</f>
        <v/>
      </c>
      <c r="AK37" s="26" t="str">
        <f>IF($C37="","",'Profile &amp; Baseline'!AK37/INDEX('Global Constants'!AD$38:AD$40,$H37))</f>
        <v/>
      </c>
      <c r="AL37" s="26" t="str">
        <f>IF($C37="","",'Profile &amp; Baseline'!AL37/INDEX('Global Constants'!AE$38:AE$40,$H37))</f>
        <v/>
      </c>
      <c r="AM37" s="26" t="str">
        <f>IF($C37="","",'Profile &amp; Baseline'!AM37/INDEX('Global Constants'!AF$38:AF$40,$H37))</f>
        <v/>
      </c>
      <c r="AN37" s="26" t="str">
        <f>IF($C37="","",'Profile &amp; Baseline'!AN37/INDEX('Global Constants'!AG$38:AG$40,$H37))</f>
        <v/>
      </c>
      <c r="AO37" s="26" t="str">
        <f>IF($C37="","",'Profile &amp; Baseline'!AO37/INDEX('Global Constants'!AH$38:AH$40,$H37))</f>
        <v/>
      </c>
      <c r="AP37" s="26" t="str">
        <f>IF($C37="","",'Profile &amp; Baseline'!AP37/INDEX('Global Constants'!AI$38:AI$40,$H37))</f>
        <v/>
      </c>
      <c r="AQ37" s="26" t="str">
        <f>IF($C37="","",'Profile &amp; Baseline'!AQ37/INDEX('Global Constants'!AJ$38:AJ$40,$H37))</f>
        <v/>
      </c>
      <c r="AR37" s="26" t="str">
        <f>IF($C37="","",'Profile &amp; Baseline'!AR37/INDEX('Global Constants'!AK$38:AK$40,$H37))</f>
        <v/>
      </c>
      <c r="AS37" s="26" t="str">
        <f>IF($C37="","",'Profile &amp; Baseline'!AS37/INDEX('Global Constants'!AL$38:AL$40,$H37))</f>
        <v/>
      </c>
      <c r="AT37" s="26" t="str">
        <f>IF($C37="","",'Profile &amp; Baseline'!AT37/INDEX('Global Constants'!AM$38:AM$40,$H37))</f>
        <v/>
      </c>
      <c r="AU37" s="26" t="str">
        <f>IF($C37="","",'Profile &amp; Baseline'!AU37/INDEX('Global Constants'!AN$38:AN$40,$H37))</f>
        <v/>
      </c>
      <c r="AV37" s="26" t="str">
        <f>IF($C37="","",'Profile &amp; Baseline'!AV37/INDEX('Global Constants'!AO$38:AO$40,$H37))</f>
        <v/>
      </c>
      <c r="AW37" s="26" t="str">
        <f>IF($C37="","",'Profile &amp; Baseline'!AW37/INDEX('Global Constants'!AP$38:AP$40,$H37))</f>
        <v/>
      </c>
      <c r="AX37" s="26" t="str">
        <f>IF($C37="","",'Profile &amp; Baseline'!AX37/INDEX('Global Constants'!AQ$38:AQ$40,$H37))</f>
        <v/>
      </c>
      <c r="AY37" s="26" t="str">
        <f>IF($C37="","",'Profile &amp; Baseline'!AY37/INDEX('Global Constants'!AR$38:AR$40,$H37))</f>
        <v/>
      </c>
      <c r="AZ37" s="26" t="str">
        <f>IF($C37="","",'Profile &amp; Baseline'!AZ37/INDEX('Global Constants'!AS$38:AS$40,$H37))</f>
        <v/>
      </c>
      <c r="BA37" s="26" t="str">
        <f>IF($C37="","",'Profile &amp; Baseline'!BA37/INDEX('Global Constants'!AT$38:AT$40,$H37))</f>
        <v/>
      </c>
      <c r="BB37" s="26" t="str">
        <f>IF($C37="","",'Profile &amp; Baseline'!BB37/INDEX('Global Constants'!AU$38:AU$40,$H37))</f>
        <v/>
      </c>
      <c r="BC37" s="26" t="str">
        <f>IF($C37="","",'Profile &amp; Baseline'!BC37/INDEX('Global Constants'!AV$38:AV$40,$H37))</f>
        <v/>
      </c>
      <c r="BD37" s="26" t="str">
        <f>IF($C37="","",'Profile &amp; Baseline'!BD37/INDEX('Global Constants'!AW$38:AW$40,$H37))</f>
        <v/>
      </c>
      <c r="BE37" s="26" t="str">
        <f>IF($C37="","",'Profile &amp; Baseline'!BE37/INDEX('Global Constants'!AX$38:AX$40,$H37))</f>
        <v/>
      </c>
      <c r="BF37" s="26" t="str">
        <f>IF($C37="","",'Profile &amp; Baseline'!BF37/INDEX('Global Constants'!AY$38:AY$40,$H37))</f>
        <v/>
      </c>
      <c r="BG37" s="26" t="str">
        <f>IF($C37="","",'Profile &amp; Baseline'!BG37/INDEX('Global Constants'!AZ$38:AZ$40,$H37))</f>
        <v/>
      </c>
      <c r="BH37" s="26" t="str">
        <f>IF($C37="","",'Profile &amp; Baseline'!BH37/INDEX('Global Constants'!BA$38:BA$40,$H37))</f>
        <v/>
      </c>
      <c r="BI37" s="26" t="str">
        <f>IF($C37="","",'Profile &amp; Baseline'!BI37/INDEX('Global Constants'!BB$38:BB$40,$H37))</f>
        <v/>
      </c>
      <c r="BJ37" s="26" t="str">
        <f>IF($C37="","",'Profile &amp; Baseline'!BJ37/INDEX('Global Constants'!BC$38:BC$40,$H37))</f>
        <v/>
      </c>
      <c r="BK37" s="26" t="str">
        <f>IF($C37="","",'Profile &amp; Baseline'!BK37/INDEX('Global Constants'!BD$38:BD$40,$H37))</f>
        <v/>
      </c>
      <c r="BL37" s="26" t="str">
        <f>IF($C37="","",'Profile &amp; Baseline'!BL37/INDEX('Global Constants'!BE$38:BE$40,$H37))</f>
        <v/>
      </c>
      <c r="BM37" s="26" t="str">
        <f>IF($C37="","",'Profile &amp; Baseline'!BM37/INDEX('Global Constants'!BF$38:BF$40,$H37))</f>
        <v/>
      </c>
      <c r="BN37" s="26" t="str">
        <f>IF($C37="","",'Profile &amp; Baseline'!BN37/INDEX('Global Constants'!BG$38:BG$40,$H37))</f>
        <v/>
      </c>
      <c r="BO37" s="26" t="str">
        <f>IF($C37="","",'Profile &amp; Baseline'!BO37/INDEX('Global Constants'!BH$38:BH$40,$H37))</f>
        <v/>
      </c>
      <c r="BP37" s="26" t="str">
        <f>IF($C37="","",'Profile &amp; Baseline'!BP37/INDEX('Global Constants'!BI$38:BI$40,$H37))</f>
        <v/>
      </c>
      <c r="BQ37" s="26" t="str">
        <f>IF($C37="","",'Profile &amp; Baseline'!BQ37/INDEX('Global Constants'!BJ$38:BJ$40,$H37))</f>
        <v/>
      </c>
      <c r="BR37" s="26" t="str">
        <f>IF($C37="","",'Profile &amp; Baseline'!BR37/INDEX('Global Constants'!BK$38:BK$40,$H37))</f>
        <v/>
      </c>
      <c r="BS37" s="26" t="str">
        <f>IF($C37="","",'Profile &amp; Baseline'!BS37/INDEX('Global Constants'!BL$38:BL$40,$H37))</f>
        <v/>
      </c>
      <c r="BT37" s="26" t="str">
        <f>IF($C37="","",'Profile &amp; Baseline'!BT37/INDEX('Global Constants'!BM$38:BM$40,$H37))</f>
        <v/>
      </c>
      <c r="BU37" s="26" t="str">
        <f>IF($C37="","",'Profile &amp; Baseline'!BU37/INDEX('Global Constants'!BN$38:BN$40,$H37))</f>
        <v/>
      </c>
      <c r="BV37" s="26" t="str">
        <f>IF($C37="","",'Profile &amp; Baseline'!BV37/INDEX('Global Constants'!BO$38:BO$40,$H37))</f>
        <v/>
      </c>
      <c r="BW37" s="26" t="str">
        <f>IF($C37="","",'Profile &amp; Baseline'!BW37/INDEX('Global Constants'!BP$38:BP$40,$H37))</f>
        <v/>
      </c>
      <c r="BX37" s="26" t="str">
        <f>IF($C37="","",'Profile &amp; Baseline'!BX37/INDEX('Global Constants'!BQ$38:BQ$40,$H37))</f>
        <v/>
      </c>
      <c r="BY37" s="26" t="str">
        <f>IF($C37="","",'Profile &amp; Baseline'!BY37/INDEX('Global Constants'!BR$38:BR$40,$H37))</f>
        <v/>
      </c>
      <c r="BZ37" s="26" t="str">
        <f>IF($C37="","",'Profile &amp; Baseline'!BZ37/INDEX('Global Constants'!BS$38:BS$40,$H37))</f>
        <v/>
      </c>
      <c r="CA37" s="26" t="str">
        <f>IF($C37="","",'Profile &amp; Baseline'!CA37/INDEX('Global Constants'!BT$38:BT$40,$H37))</f>
        <v/>
      </c>
      <c r="CB37" s="26" t="str">
        <f>IF($C37="","",'Profile &amp; Baseline'!CB37/INDEX('Global Constants'!BU$38:BU$40,$H37))</f>
        <v/>
      </c>
      <c r="CC37" s="26" t="str">
        <f>IF($C37="","",'Profile &amp; Baseline'!CC37/INDEX('Global Constants'!BV$38:BV$40,$H37))</f>
        <v/>
      </c>
      <c r="CD37" s="26" t="str">
        <f>IF($C37="","",'Profile &amp; Baseline'!CD37/INDEX('Global Constants'!BW$38:BW$40,$H37))</f>
        <v/>
      </c>
      <c r="CE37" s="26" t="str">
        <f>IF($C37="","",'Profile &amp; Baseline'!CE37/INDEX('Global Constants'!BX$38:BX$40,$H37))</f>
        <v/>
      </c>
      <c r="CF37" s="26" t="str">
        <f>IF($C37="","",'Profile &amp; Baseline'!CF37/INDEX('Global Constants'!BY$38:BY$40,$H37))</f>
        <v/>
      </c>
      <c r="CG37" s="26" t="str">
        <f>IF($C37="","",'Profile &amp; Baseline'!CG37/INDEX('Global Constants'!BZ$38:BZ$40,$H37))</f>
        <v/>
      </c>
      <c r="CH37" s="26" t="str">
        <f>IF($C37="","",'Profile &amp; Baseline'!CH37/INDEX('Global Constants'!CA$38:CA$40,$H37))</f>
        <v/>
      </c>
      <c r="CI37" s="26" t="str">
        <f>IF($C37="","",'Profile &amp; Baseline'!CI37/INDEX('Global Constants'!CB$38:CB$40,$H37))</f>
        <v/>
      </c>
      <c r="CJ37" s="26" t="str">
        <f>IF($C37="","",'Profile &amp; Baseline'!CJ37/INDEX('Global Constants'!CC$38:CC$40,$H37))</f>
        <v/>
      </c>
      <c r="CK37" s="26" t="str">
        <f>IF($C37="","",'Profile &amp; Baseline'!CK37/INDEX('Global Constants'!CD$38:CD$40,$H37))</f>
        <v/>
      </c>
      <c r="CL37" s="26" t="str">
        <f>IF($C37="","",'Profile &amp; Baseline'!CL37/INDEX('Global Constants'!CE$38:CE$40,$H37))</f>
        <v/>
      </c>
      <c r="CM37" s="26" t="str">
        <f>IF($C37="","",'Profile &amp; Baseline'!CM37/INDEX('Global Constants'!CF$38:CF$40,$H37))</f>
        <v/>
      </c>
      <c r="CN37" s="26" t="str">
        <f>IF($C37="","",'Profile &amp; Baseline'!CN37/INDEX('Global Constants'!CG$38:CG$40,$H37))</f>
        <v/>
      </c>
      <c r="CO37" s="26" t="str">
        <f>IF($C37="","",'Profile &amp; Baseline'!CO37/INDEX('Global Constants'!CH$38:CH$40,$H37))</f>
        <v/>
      </c>
      <c r="CP37" s="26" t="str">
        <f>IF($C37="","",'Profile &amp; Baseline'!CP37/INDEX('Global Constants'!CI$38:CI$40,$H37))</f>
        <v/>
      </c>
      <c r="CQ37" s="26" t="str">
        <f>IF($C37="","",'Profile &amp; Baseline'!CQ37/INDEX('Global Constants'!CJ$38:CJ$40,$H37))</f>
        <v/>
      </c>
      <c r="CR37" s="26" t="str">
        <f>IF($C37="","",'Profile &amp; Baseline'!CR37/INDEX('Global Constants'!CK$38:CK$40,$H37))</f>
        <v/>
      </c>
      <c r="CS37" s="26" t="str">
        <f>IF($C37="","",'Profile &amp; Baseline'!CS37/INDEX('Global Constants'!CL$38:CL$40,$H37))</f>
        <v/>
      </c>
      <c r="CT37" s="26" t="str">
        <f>IF($C37="","",'Profile &amp; Baseline'!CT37/INDEX('Global Constants'!CM$38:CM$40,$H37))</f>
        <v/>
      </c>
      <c r="CU37" s="26" t="str">
        <f>IF($C37="","",'Profile &amp; Baseline'!CU37/INDEX('Global Constants'!CN$38:CN$40,$H37))</f>
        <v/>
      </c>
      <c r="CV37" s="26" t="str">
        <f>IF($C37="","",'Profile &amp; Baseline'!CV37/INDEX('Global Constants'!CO$38:CO$40,$H37))</f>
        <v/>
      </c>
      <c r="CW37" s="26" t="str">
        <f>IF($C37="","",'Profile &amp; Baseline'!CW37/INDEX('Global Constants'!CP$38:CP$40,$H37))</f>
        <v/>
      </c>
      <c r="CX37" s="26" t="str">
        <f>IF($C37="","",'Profile &amp; Baseline'!CX37/INDEX('Global Constants'!CQ$38:CQ$40,$H37))</f>
        <v/>
      </c>
      <c r="CZ37" s="26">
        <f t="shared" ca="1" si="1"/>
        <v>0</v>
      </c>
      <c r="DA37" s="26">
        <f t="shared" si="2"/>
        <v>0</v>
      </c>
    </row>
    <row r="38" spans="3:105" x14ac:dyDescent="0.3">
      <c r="C38" s="4" t="str">
        <f>IF('Cost &amp; Risk Inputs'!C39="","",'Cost &amp; Risk Inputs'!C39)</f>
        <v/>
      </c>
      <c r="D38" s="4" t="str">
        <f>IF(C38="","",'Cost &amp; Risk Inputs'!H39)</f>
        <v/>
      </c>
      <c r="E38" s="4" t="str">
        <f>IF(C38="","",'Cost &amp; Risk Inputs'!I39)</f>
        <v/>
      </c>
      <c r="F38" s="4" t="str">
        <f>IF(C38="","",'Cost &amp; Risk Inputs'!G39)</f>
        <v/>
      </c>
      <c r="H38" s="18" t="str">
        <f t="shared" si="0"/>
        <v/>
      </c>
      <c r="M38" s="26" t="str">
        <f>IF($C38="","",'Profile &amp; Baseline'!M38/INDEX('Global Constants'!F$38:F$40,$H38))</f>
        <v/>
      </c>
      <c r="N38" s="26" t="str">
        <f>IF($C38="","",'Profile &amp; Baseline'!N38/INDEX('Global Constants'!G$38:G$40,$H38))</f>
        <v/>
      </c>
      <c r="O38" s="26" t="str">
        <f>IF($C38="","",'Profile &amp; Baseline'!O38/INDEX('Global Constants'!H$38:H$40,$H38))</f>
        <v/>
      </c>
      <c r="P38" s="26" t="str">
        <f>IF($C38="","",'Profile &amp; Baseline'!P38/INDEX('Global Constants'!I$38:I$40,$H38))</f>
        <v/>
      </c>
      <c r="Q38" s="26" t="str">
        <f>IF($C38="","",'Profile &amp; Baseline'!Q38/INDEX('Global Constants'!J$38:J$40,$H38))</f>
        <v/>
      </c>
      <c r="R38" s="26" t="str">
        <f>IF($C38="","",'Profile &amp; Baseline'!R38/INDEX('Global Constants'!K$38:K$40,$H38))</f>
        <v/>
      </c>
      <c r="S38" s="26" t="str">
        <f>IF($C38="","",'Profile &amp; Baseline'!S38/INDEX('Global Constants'!L$38:L$40,$H38))</f>
        <v/>
      </c>
      <c r="T38" s="26" t="str">
        <f>IF($C38="","",'Profile &amp; Baseline'!T38/INDEX('Global Constants'!M$38:M$40,$H38))</f>
        <v/>
      </c>
      <c r="U38" s="26" t="str">
        <f>IF($C38="","",'Profile &amp; Baseline'!U38/INDEX('Global Constants'!N$38:N$40,$H38))</f>
        <v/>
      </c>
      <c r="V38" s="26" t="str">
        <f>IF($C38="","",'Profile &amp; Baseline'!V38/INDEX('Global Constants'!O$38:O$40,$H38))</f>
        <v/>
      </c>
      <c r="W38" s="26" t="str">
        <f>IF($C38="","",'Profile &amp; Baseline'!W38/INDEX('Global Constants'!P$38:P$40,$H38))</f>
        <v/>
      </c>
      <c r="X38" s="26" t="str">
        <f>IF($C38="","",'Profile &amp; Baseline'!X38/INDEX('Global Constants'!Q$38:Q$40,$H38))</f>
        <v/>
      </c>
      <c r="Y38" s="26" t="str">
        <f>IF($C38="","",'Profile &amp; Baseline'!Y38/INDEX('Global Constants'!R$38:R$40,$H38))</f>
        <v/>
      </c>
      <c r="Z38" s="26" t="str">
        <f>IF($C38="","",'Profile &amp; Baseline'!Z38/INDEX('Global Constants'!S$38:S$40,$H38))</f>
        <v/>
      </c>
      <c r="AA38" s="26" t="str">
        <f>IF($C38="","",'Profile &amp; Baseline'!AA38/INDEX('Global Constants'!T$38:T$40,$H38))</f>
        <v/>
      </c>
      <c r="AB38" s="26" t="str">
        <f>IF($C38="","",'Profile &amp; Baseline'!AB38/INDEX('Global Constants'!U$38:U$40,$H38))</f>
        <v/>
      </c>
      <c r="AC38" s="26" t="str">
        <f>IF($C38="","",'Profile &amp; Baseline'!AC38/INDEX('Global Constants'!V$38:V$40,$H38))</f>
        <v/>
      </c>
      <c r="AD38" s="26" t="str">
        <f>IF($C38="","",'Profile &amp; Baseline'!AD38/INDEX('Global Constants'!W$38:W$40,$H38))</f>
        <v/>
      </c>
      <c r="AE38" s="26" t="str">
        <f>IF($C38="","",'Profile &amp; Baseline'!AE38/INDEX('Global Constants'!X$38:X$40,$H38))</f>
        <v/>
      </c>
      <c r="AF38" s="26" t="str">
        <f>IF($C38="","",'Profile &amp; Baseline'!AF38/INDEX('Global Constants'!Y$38:Y$40,$H38))</f>
        <v/>
      </c>
      <c r="AG38" s="26" t="str">
        <f>IF($C38="","",'Profile &amp; Baseline'!AG38/INDEX('Global Constants'!Z$38:Z$40,$H38))</f>
        <v/>
      </c>
      <c r="AH38" s="26" t="str">
        <f>IF($C38="","",'Profile &amp; Baseline'!AH38/INDEX('Global Constants'!AA$38:AA$40,$H38))</f>
        <v/>
      </c>
      <c r="AI38" s="26" t="str">
        <f>IF($C38="","",'Profile &amp; Baseline'!AI38/INDEX('Global Constants'!AB$38:AB$40,$H38))</f>
        <v/>
      </c>
      <c r="AJ38" s="26" t="str">
        <f>IF($C38="","",'Profile &amp; Baseline'!AJ38/INDEX('Global Constants'!AC$38:AC$40,$H38))</f>
        <v/>
      </c>
      <c r="AK38" s="26" t="str">
        <f>IF($C38="","",'Profile &amp; Baseline'!AK38/INDEX('Global Constants'!AD$38:AD$40,$H38))</f>
        <v/>
      </c>
      <c r="AL38" s="26" t="str">
        <f>IF($C38="","",'Profile &amp; Baseline'!AL38/INDEX('Global Constants'!AE$38:AE$40,$H38))</f>
        <v/>
      </c>
      <c r="AM38" s="26" t="str">
        <f>IF($C38="","",'Profile &amp; Baseline'!AM38/INDEX('Global Constants'!AF$38:AF$40,$H38))</f>
        <v/>
      </c>
      <c r="AN38" s="26" t="str">
        <f>IF($C38="","",'Profile &amp; Baseline'!AN38/INDEX('Global Constants'!AG$38:AG$40,$H38))</f>
        <v/>
      </c>
      <c r="AO38" s="26" t="str">
        <f>IF($C38="","",'Profile &amp; Baseline'!AO38/INDEX('Global Constants'!AH$38:AH$40,$H38))</f>
        <v/>
      </c>
      <c r="AP38" s="26" t="str">
        <f>IF($C38="","",'Profile &amp; Baseline'!AP38/INDEX('Global Constants'!AI$38:AI$40,$H38))</f>
        <v/>
      </c>
      <c r="AQ38" s="26" t="str">
        <f>IF($C38="","",'Profile &amp; Baseline'!AQ38/INDEX('Global Constants'!AJ$38:AJ$40,$H38))</f>
        <v/>
      </c>
      <c r="AR38" s="26" t="str">
        <f>IF($C38="","",'Profile &amp; Baseline'!AR38/INDEX('Global Constants'!AK$38:AK$40,$H38))</f>
        <v/>
      </c>
      <c r="AS38" s="26" t="str">
        <f>IF($C38="","",'Profile &amp; Baseline'!AS38/INDEX('Global Constants'!AL$38:AL$40,$H38))</f>
        <v/>
      </c>
      <c r="AT38" s="26" t="str">
        <f>IF($C38="","",'Profile &amp; Baseline'!AT38/INDEX('Global Constants'!AM$38:AM$40,$H38))</f>
        <v/>
      </c>
      <c r="AU38" s="26" t="str">
        <f>IF($C38="","",'Profile &amp; Baseline'!AU38/INDEX('Global Constants'!AN$38:AN$40,$H38))</f>
        <v/>
      </c>
      <c r="AV38" s="26" t="str">
        <f>IF($C38="","",'Profile &amp; Baseline'!AV38/INDEX('Global Constants'!AO$38:AO$40,$H38))</f>
        <v/>
      </c>
      <c r="AW38" s="26" t="str">
        <f>IF($C38="","",'Profile &amp; Baseline'!AW38/INDEX('Global Constants'!AP$38:AP$40,$H38))</f>
        <v/>
      </c>
      <c r="AX38" s="26" t="str">
        <f>IF($C38="","",'Profile &amp; Baseline'!AX38/INDEX('Global Constants'!AQ$38:AQ$40,$H38))</f>
        <v/>
      </c>
      <c r="AY38" s="26" t="str">
        <f>IF($C38="","",'Profile &amp; Baseline'!AY38/INDEX('Global Constants'!AR$38:AR$40,$H38))</f>
        <v/>
      </c>
      <c r="AZ38" s="26" t="str">
        <f>IF($C38="","",'Profile &amp; Baseline'!AZ38/INDEX('Global Constants'!AS$38:AS$40,$H38))</f>
        <v/>
      </c>
      <c r="BA38" s="26" t="str">
        <f>IF($C38="","",'Profile &amp; Baseline'!BA38/INDEX('Global Constants'!AT$38:AT$40,$H38))</f>
        <v/>
      </c>
      <c r="BB38" s="26" t="str">
        <f>IF($C38="","",'Profile &amp; Baseline'!BB38/INDEX('Global Constants'!AU$38:AU$40,$H38))</f>
        <v/>
      </c>
      <c r="BC38" s="26" t="str">
        <f>IF($C38="","",'Profile &amp; Baseline'!BC38/INDEX('Global Constants'!AV$38:AV$40,$H38))</f>
        <v/>
      </c>
      <c r="BD38" s="26" t="str">
        <f>IF($C38="","",'Profile &amp; Baseline'!BD38/INDEX('Global Constants'!AW$38:AW$40,$H38))</f>
        <v/>
      </c>
      <c r="BE38" s="26" t="str">
        <f>IF($C38="","",'Profile &amp; Baseline'!BE38/INDEX('Global Constants'!AX$38:AX$40,$H38))</f>
        <v/>
      </c>
      <c r="BF38" s="26" t="str">
        <f>IF($C38="","",'Profile &amp; Baseline'!BF38/INDEX('Global Constants'!AY$38:AY$40,$H38))</f>
        <v/>
      </c>
      <c r="BG38" s="26" t="str">
        <f>IF($C38="","",'Profile &amp; Baseline'!BG38/INDEX('Global Constants'!AZ$38:AZ$40,$H38))</f>
        <v/>
      </c>
      <c r="BH38" s="26" t="str">
        <f>IF($C38="","",'Profile &amp; Baseline'!BH38/INDEX('Global Constants'!BA$38:BA$40,$H38))</f>
        <v/>
      </c>
      <c r="BI38" s="26" t="str">
        <f>IF($C38="","",'Profile &amp; Baseline'!BI38/INDEX('Global Constants'!BB$38:BB$40,$H38))</f>
        <v/>
      </c>
      <c r="BJ38" s="26" t="str">
        <f>IF($C38="","",'Profile &amp; Baseline'!BJ38/INDEX('Global Constants'!BC$38:BC$40,$H38))</f>
        <v/>
      </c>
      <c r="BK38" s="26" t="str">
        <f>IF($C38="","",'Profile &amp; Baseline'!BK38/INDEX('Global Constants'!BD$38:BD$40,$H38))</f>
        <v/>
      </c>
      <c r="BL38" s="26" t="str">
        <f>IF($C38="","",'Profile &amp; Baseline'!BL38/INDEX('Global Constants'!BE$38:BE$40,$H38))</f>
        <v/>
      </c>
      <c r="BM38" s="26" t="str">
        <f>IF($C38="","",'Profile &amp; Baseline'!BM38/INDEX('Global Constants'!BF$38:BF$40,$H38))</f>
        <v/>
      </c>
      <c r="BN38" s="26" t="str">
        <f>IF($C38="","",'Profile &amp; Baseline'!BN38/INDEX('Global Constants'!BG$38:BG$40,$H38))</f>
        <v/>
      </c>
      <c r="BO38" s="26" t="str">
        <f>IF($C38="","",'Profile &amp; Baseline'!BO38/INDEX('Global Constants'!BH$38:BH$40,$H38))</f>
        <v/>
      </c>
      <c r="BP38" s="26" t="str">
        <f>IF($C38="","",'Profile &amp; Baseline'!BP38/INDEX('Global Constants'!BI$38:BI$40,$H38))</f>
        <v/>
      </c>
      <c r="BQ38" s="26" t="str">
        <f>IF($C38="","",'Profile &amp; Baseline'!BQ38/INDEX('Global Constants'!BJ$38:BJ$40,$H38))</f>
        <v/>
      </c>
      <c r="BR38" s="26" t="str">
        <f>IF($C38="","",'Profile &amp; Baseline'!BR38/INDEX('Global Constants'!BK$38:BK$40,$H38))</f>
        <v/>
      </c>
      <c r="BS38" s="26" t="str">
        <f>IF($C38="","",'Profile &amp; Baseline'!BS38/INDEX('Global Constants'!BL$38:BL$40,$H38))</f>
        <v/>
      </c>
      <c r="BT38" s="26" t="str">
        <f>IF($C38="","",'Profile &amp; Baseline'!BT38/INDEX('Global Constants'!BM$38:BM$40,$H38))</f>
        <v/>
      </c>
      <c r="BU38" s="26" t="str">
        <f>IF($C38="","",'Profile &amp; Baseline'!BU38/INDEX('Global Constants'!BN$38:BN$40,$H38))</f>
        <v/>
      </c>
      <c r="BV38" s="26" t="str">
        <f>IF($C38="","",'Profile &amp; Baseline'!BV38/INDEX('Global Constants'!BO$38:BO$40,$H38))</f>
        <v/>
      </c>
      <c r="BW38" s="26" t="str">
        <f>IF($C38="","",'Profile &amp; Baseline'!BW38/INDEX('Global Constants'!BP$38:BP$40,$H38))</f>
        <v/>
      </c>
      <c r="BX38" s="26" t="str">
        <f>IF($C38="","",'Profile &amp; Baseline'!BX38/INDEX('Global Constants'!BQ$38:BQ$40,$H38))</f>
        <v/>
      </c>
      <c r="BY38" s="26" t="str">
        <f>IF($C38="","",'Profile &amp; Baseline'!BY38/INDEX('Global Constants'!BR$38:BR$40,$H38))</f>
        <v/>
      </c>
      <c r="BZ38" s="26" t="str">
        <f>IF($C38="","",'Profile &amp; Baseline'!BZ38/INDEX('Global Constants'!BS$38:BS$40,$H38))</f>
        <v/>
      </c>
      <c r="CA38" s="26" t="str">
        <f>IF($C38="","",'Profile &amp; Baseline'!CA38/INDEX('Global Constants'!BT$38:BT$40,$H38))</f>
        <v/>
      </c>
      <c r="CB38" s="26" t="str">
        <f>IF($C38="","",'Profile &amp; Baseline'!CB38/INDEX('Global Constants'!BU$38:BU$40,$H38))</f>
        <v/>
      </c>
      <c r="CC38" s="26" t="str">
        <f>IF($C38="","",'Profile &amp; Baseline'!CC38/INDEX('Global Constants'!BV$38:BV$40,$H38))</f>
        <v/>
      </c>
      <c r="CD38" s="26" t="str">
        <f>IF($C38="","",'Profile &amp; Baseline'!CD38/INDEX('Global Constants'!BW$38:BW$40,$H38))</f>
        <v/>
      </c>
      <c r="CE38" s="26" t="str">
        <f>IF($C38="","",'Profile &amp; Baseline'!CE38/INDEX('Global Constants'!BX$38:BX$40,$H38))</f>
        <v/>
      </c>
      <c r="CF38" s="26" t="str">
        <f>IF($C38="","",'Profile &amp; Baseline'!CF38/INDEX('Global Constants'!BY$38:BY$40,$H38))</f>
        <v/>
      </c>
      <c r="CG38" s="26" t="str">
        <f>IF($C38="","",'Profile &amp; Baseline'!CG38/INDEX('Global Constants'!BZ$38:BZ$40,$H38))</f>
        <v/>
      </c>
      <c r="CH38" s="26" t="str">
        <f>IF($C38="","",'Profile &amp; Baseline'!CH38/INDEX('Global Constants'!CA$38:CA$40,$H38))</f>
        <v/>
      </c>
      <c r="CI38" s="26" t="str">
        <f>IF($C38="","",'Profile &amp; Baseline'!CI38/INDEX('Global Constants'!CB$38:CB$40,$H38))</f>
        <v/>
      </c>
      <c r="CJ38" s="26" t="str">
        <f>IF($C38="","",'Profile &amp; Baseline'!CJ38/INDEX('Global Constants'!CC$38:CC$40,$H38))</f>
        <v/>
      </c>
      <c r="CK38" s="26" t="str">
        <f>IF($C38="","",'Profile &amp; Baseline'!CK38/INDEX('Global Constants'!CD$38:CD$40,$H38))</f>
        <v/>
      </c>
      <c r="CL38" s="26" t="str">
        <f>IF($C38="","",'Profile &amp; Baseline'!CL38/INDEX('Global Constants'!CE$38:CE$40,$H38))</f>
        <v/>
      </c>
      <c r="CM38" s="26" t="str">
        <f>IF($C38="","",'Profile &amp; Baseline'!CM38/INDEX('Global Constants'!CF$38:CF$40,$H38))</f>
        <v/>
      </c>
      <c r="CN38" s="26" t="str">
        <f>IF($C38="","",'Profile &amp; Baseline'!CN38/INDEX('Global Constants'!CG$38:CG$40,$H38))</f>
        <v/>
      </c>
      <c r="CO38" s="26" t="str">
        <f>IF($C38="","",'Profile &amp; Baseline'!CO38/INDEX('Global Constants'!CH$38:CH$40,$H38))</f>
        <v/>
      </c>
      <c r="CP38" s="26" t="str">
        <f>IF($C38="","",'Profile &amp; Baseline'!CP38/INDEX('Global Constants'!CI$38:CI$40,$H38))</f>
        <v/>
      </c>
      <c r="CQ38" s="26" t="str">
        <f>IF($C38="","",'Profile &amp; Baseline'!CQ38/INDEX('Global Constants'!CJ$38:CJ$40,$H38))</f>
        <v/>
      </c>
      <c r="CR38" s="26" t="str">
        <f>IF($C38="","",'Profile &amp; Baseline'!CR38/INDEX('Global Constants'!CK$38:CK$40,$H38))</f>
        <v/>
      </c>
      <c r="CS38" s="26" t="str">
        <f>IF($C38="","",'Profile &amp; Baseline'!CS38/INDEX('Global Constants'!CL$38:CL$40,$H38))</f>
        <v/>
      </c>
      <c r="CT38" s="26" t="str">
        <f>IF($C38="","",'Profile &amp; Baseline'!CT38/INDEX('Global Constants'!CM$38:CM$40,$H38))</f>
        <v/>
      </c>
      <c r="CU38" s="26" t="str">
        <f>IF($C38="","",'Profile &amp; Baseline'!CU38/INDEX('Global Constants'!CN$38:CN$40,$H38))</f>
        <v/>
      </c>
      <c r="CV38" s="26" t="str">
        <f>IF($C38="","",'Profile &amp; Baseline'!CV38/INDEX('Global Constants'!CO$38:CO$40,$H38))</f>
        <v/>
      </c>
      <c r="CW38" s="26" t="str">
        <f>IF($C38="","",'Profile &amp; Baseline'!CW38/INDEX('Global Constants'!CP$38:CP$40,$H38))</f>
        <v/>
      </c>
      <c r="CX38" s="26" t="str">
        <f>IF($C38="","",'Profile &amp; Baseline'!CX38/INDEX('Global Constants'!CQ$38:CQ$40,$H38))</f>
        <v/>
      </c>
      <c r="CZ38" s="26">
        <f t="shared" ca="1" si="1"/>
        <v>0</v>
      </c>
      <c r="DA38" s="26">
        <f t="shared" si="2"/>
        <v>0</v>
      </c>
    </row>
  </sheetData>
  <conditionalFormatting sqref="A1">
    <cfRule type="cellIs" dxfId="15" priority="2" operator="equal">
      <formula>1</formula>
    </cfRule>
  </conditionalFormatting>
  <conditionalFormatting sqref="D1">
    <cfRule type="cellIs" dxfId="14" priority="1" operator="equal">
      <formula>"Error"</formula>
    </cfRule>
  </conditionalFormatting>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79998168889431442"/>
  </sheetPr>
  <dimension ref="A1:DA38"/>
  <sheetViews>
    <sheetView showGridLines="0" workbookViewId="0">
      <pane xSplit="3" ySplit="8" topLeftCell="D9" activePane="bottomRight" state="frozenSplit"/>
      <selection pane="topRight" activeCell="D1" sqref="D1"/>
      <selection pane="bottomLeft" activeCell="A9" sqref="A9"/>
      <selection pane="bottomRight"/>
    </sheetView>
  </sheetViews>
  <sheetFormatPr defaultRowHeight="14.4" x14ac:dyDescent="0.3"/>
  <cols>
    <col min="1" max="2" width="2.77734375" customWidth="1"/>
    <col min="3" max="3" width="10" bestFit="1" customWidth="1"/>
    <col min="4" max="4" width="10.21875" bestFit="1" customWidth="1"/>
    <col min="5" max="5" width="2.77734375" customWidth="1"/>
    <col min="6" max="6" width="14" bestFit="1" customWidth="1"/>
    <col min="7" max="7" width="10.5546875" hidden="1" customWidth="1"/>
    <col min="8" max="8" width="18.33203125" hidden="1" customWidth="1"/>
    <col min="9" max="9" width="13.6640625" hidden="1" customWidth="1"/>
    <col min="10" max="10" width="14" hidden="1" customWidth="1"/>
    <col min="11" max="11" width="2.77734375" hidden="1" customWidth="1"/>
    <col min="12" max="12" width="2.77734375" customWidth="1"/>
    <col min="13" max="14" width="10.5546875" customWidth="1"/>
    <col min="15" max="16" width="10.5546875" bestFit="1" customWidth="1"/>
    <col min="17" max="17" width="10.5546875" customWidth="1"/>
    <col min="18" max="29" width="10.5546875" bestFit="1" customWidth="1"/>
    <col min="30" max="34" width="10.5546875" customWidth="1"/>
    <col min="35" max="102" width="10.5546875" bestFit="1" customWidth="1"/>
    <col min="104" max="104" width="11.88671875" bestFit="1" customWidth="1"/>
    <col min="105" max="105" width="9.33203125" bestFit="1" customWidth="1"/>
  </cols>
  <sheetData>
    <row r="1" spans="1:105" x14ac:dyDescent="0.3">
      <c r="A1" s="33">
        <f ca="1">IF(ISERROR(SUM(C6:DA38)),1,0)</f>
        <v>0</v>
      </c>
      <c r="C1" t="s">
        <v>79</v>
      </c>
      <c r="D1" s="33" t="str">
        <f ca="1">Model_Health</f>
        <v>OK</v>
      </c>
    </row>
    <row r="3" spans="1:105" ht="21.6" customHeight="1" x14ac:dyDescent="0.4">
      <c r="C3" s="3" t="s">
        <v>207</v>
      </c>
    </row>
    <row r="4" spans="1:105" x14ac:dyDescent="0.3">
      <c r="C4" s="65" t="s">
        <v>151</v>
      </c>
    </row>
    <row r="6" spans="1:105" x14ac:dyDescent="0.3">
      <c r="C6" t="s">
        <v>98</v>
      </c>
      <c r="M6" s="22" t="str">
        <f>Timeline!F14</f>
        <v>19/20</v>
      </c>
      <c r="N6" s="22" t="str">
        <f>Timeline!G14</f>
        <v>20/21</v>
      </c>
      <c r="O6" s="22" t="str">
        <f>Timeline!H14</f>
        <v>21/22</v>
      </c>
      <c r="P6" s="22" t="str">
        <f>Timeline!I14</f>
        <v>22/23</v>
      </c>
      <c r="Q6" s="22" t="str">
        <f>Timeline!J14</f>
        <v>23/24</v>
      </c>
      <c r="R6" s="22" t="str">
        <f>Timeline!K14</f>
        <v>24/25</v>
      </c>
      <c r="S6" s="22" t="str">
        <f>Timeline!L14</f>
        <v>25/26</v>
      </c>
      <c r="T6" s="22" t="str">
        <f>Timeline!M14</f>
        <v>26/27</v>
      </c>
      <c r="U6" s="22" t="str">
        <f>Timeline!N14</f>
        <v>27/28</v>
      </c>
      <c r="V6" s="22" t="str">
        <f>Timeline!O14</f>
        <v>28/29</v>
      </c>
      <c r="W6" s="22" t="str">
        <f>Timeline!P14</f>
        <v>29/30</v>
      </c>
      <c r="X6" s="22" t="str">
        <f>Timeline!Q14</f>
        <v>30/31</v>
      </c>
      <c r="Y6" s="22" t="str">
        <f>Timeline!R14</f>
        <v>31/32</v>
      </c>
      <c r="Z6" s="22" t="str">
        <f>Timeline!S14</f>
        <v>32/33</v>
      </c>
      <c r="AA6" s="22" t="str">
        <f>Timeline!T14</f>
        <v>33/34</v>
      </c>
      <c r="AB6" s="22" t="str">
        <f>Timeline!U14</f>
        <v>34/35</v>
      </c>
      <c r="AC6" s="22" t="str">
        <f>Timeline!V14</f>
        <v>35/36</v>
      </c>
      <c r="AD6" s="22" t="str">
        <f>Timeline!W14</f>
        <v>36/37</v>
      </c>
      <c r="AE6" s="22" t="str">
        <f>Timeline!X14</f>
        <v>37/38</v>
      </c>
      <c r="AF6" s="22" t="str">
        <f>Timeline!Y14</f>
        <v>38/39</v>
      </c>
      <c r="AG6" s="22" t="str">
        <f>Timeline!Z14</f>
        <v>39/40</v>
      </c>
      <c r="AH6" s="22" t="str">
        <f>Timeline!AA14</f>
        <v>40/41</v>
      </c>
      <c r="AI6" s="22" t="str">
        <f>Timeline!AB14</f>
        <v>41/42</v>
      </c>
      <c r="AJ6" s="22" t="str">
        <f>Timeline!AC14</f>
        <v>42/43</v>
      </c>
      <c r="AK6" s="22" t="str">
        <f>Timeline!AD14</f>
        <v>43/44</v>
      </c>
      <c r="AL6" s="22" t="str">
        <f>Timeline!AE14</f>
        <v>44/45</v>
      </c>
      <c r="AM6" s="22" t="str">
        <f>Timeline!AF14</f>
        <v>45/46</v>
      </c>
      <c r="AN6" s="22" t="str">
        <f>Timeline!AG14</f>
        <v>46/47</v>
      </c>
      <c r="AO6" s="22" t="str">
        <f>Timeline!AH14</f>
        <v>47/48</v>
      </c>
      <c r="AP6" s="22" t="str">
        <f>Timeline!AI14</f>
        <v>48/49</v>
      </c>
      <c r="AQ6" s="22" t="str">
        <f>Timeline!AJ14</f>
        <v>49/50</v>
      </c>
      <c r="AR6" s="22" t="str">
        <f>Timeline!AK14</f>
        <v>50/51</v>
      </c>
      <c r="AS6" s="22" t="str">
        <f>Timeline!AL14</f>
        <v>51/52</v>
      </c>
      <c r="AT6" s="22" t="str">
        <f>Timeline!AM14</f>
        <v>52/53</v>
      </c>
      <c r="AU6" s="22" t="str">
        <f>Timeline!AN14</f>
        <v>53/54</v>
      </c>
      <c r="AV6" s="22" t="str">
        <f>Timeline!AO14</f>
        <v>54/55</v>
      </c>
      <c r="AW6" s="22" t="str">
        <f>Timeline!AP14</f>
        <v>55/56</v>
      </c>
      <c r="AX6" s="22" t="str">
        <f>Timeline!AQ14</f>
        <v>56/57</v>
      </c>
      <c r="AY6" s="22" t="str">
        <f>Timeline!AR14</f>
        <v>57/58</v>
      </c>
      <c r="AZ6" s="22" t="str">
        <f>Timeline!AS14</f>
        <v>58/59</v>
      </c>
      <c r="BA6" s="22" t="str">
        <f>Timeline!AT14</f>
        <v>59/60</v>
      </c>
      <c r="BB6" s="22" t="str">
        <f>Timeline!AU14</f>
        <v>60/61</v>
      </c>
      <c r="BC6" s="22" t="str">
        <f>Timeline!AV14</f>
        <v>61/62</v>
      </c>
      <c r="BD6" s="22" t="str">
        <f>Timeline!AW14</f>
        <v>62/63</v>
      </c>
      <c r="BE6" s="22" t="str">
        <f>Timeline!AX14</f>
        <v>63/64</v>
      </c>
      <c r="BF6" s="22" t="str">
        <f>Timeline!AY14</f>
        <v>64/65</v>
      </c>
      <c r="BG6" s="22" t="str">
        <f>Timeline!AZ14</f>
        <v>65/66</v>
      </c>
      <c r="BH6" s="22" t="str">
        <f>Timeline!BA14</f>
        <v>66/67</v>
      </c>
      <c r="BI6" s="22" t="str">
        <f>Timeline!BB14</f>
        <v>67/68</v>
      </c>
      <c r="BJ6" s="22" t="str">
        <f>Timeline!BC14</f>
        <v>68/69</v>
      </c>
      <c r="BK6" s="22" t="str">
        <f>Timeline!BD14</f>
        <v>69/70</v>
      </c>
      <c r="BL6" s="22" t="str">
        <f>Timeline!BE14</f>
        <v>70/71</v>
      </c>
      <c r="BM6" s="22" t="str">
        <f>Timeline!BF14</f>
        <v>71/72</v>
      </c>
      <c r="BN6" s="22" t="str">
        <f>Timeline!BG14</f>
        <v>72/73</v>
      </c>
      <c r="BO6" s="22" t="str">
        <f>Timeline!BH14</f>
        <v>73/74</v>
      </c>
      <c r="BP6" s="22" t="str">
        <f>Timeline!BI14</f>
        <v>74/75</v>
      </c>
      <c r="BQ6" s="22" t="str">
        <f>Timeline!BJ14</f>
        <v>75/76</v>
      </c>
      <c r="BR6" s="22" t="str">
        <f>Timeline!BK14</f>
        <v>76/77</v>
      </c>
      <c r="BS6" s="22" t="str">
        <f>Timeline!BL14</f>
        <v>77/78</v>
      </c>
      <c r="BT6" s="22" t="str">
        <f>Timeline!BM14</f>
        <v>78/79</v>
      </c>
      <c r="BU6" s="22" t="str">
        <f>Timeline!BN14</f>
        <v>79/80</v>
      </c>
      <c r="BV6" s="22" t="str">
        <f>Timeline!BO14</f>
        <v>80/81</v>
      </c>
      <c r="BW6" s="22" t="str">
        <f>Timeline!BP14</f>
        <v>81/82</v>
      </c>
      <c r="BX6" s="22" t="str">
        <f>Timeline!BQ14</f>
        <v>82/83</v>
      </c>
      <c r="BY6" s="22" t="str">
        <f>Timeline!BR14</f>
        <v>83/84</v>
      </c>
      <c r="BZ6" s="22" t="str">
        <f>Timeline!BS14</f>
        <v>84/85</v>
      </c>
      <c r="CA6" s="22" t="str">
        <f>Timeline!BT14</f>
        <v>85/86</v>
      </c>
      <c r="CB6" s="22" t="str">
        <f>Timeline!BU14</f>
        <v>86/87</v>
      </c>
      <c r="CC6" s="22" t="str">
        <f>Timeline!BV14</f>
        <v>87/88</v>
      </c>
      <c r="CD6" s="22" t="str">
        <f>Timeline!BW14</f>
        <v>88/89</v>
      </c>
      <c r="CE6" s="22" t="str">
        <f>Timeline!BX14</f>
        <v>89/90</v>
      </c>
      <c r="CF6" s="22" t="str">
        <f>Timeline!BY14</f>
        <v>90/91</v>
      </c>
      <c r="CG6" s="22" t="str">
        <f>Timeline!BZ14</f>
        <v>91/92</v>
      </c>
      <c r="CH6" s="22" t="str">
        <f>Timeline!CA14</f>
        <v>92/93</v>
      </c>
      <c r="CI6" s="22" t="str">
        <f>Timeline!CB14</f>
        <v>93/94</v>
      </c>
      <c r="CJ6" s="22" t="str">
        <f>Timeline!CC14</f>
        <v>94/95</v>
      </c>
      <c r="CK6" s="22" t="str">
        <f>Timeline!CD14</f>
        <v>95/96</v>
      </c>
      <c r="CL6" s="22" t="str">
        <f>Timeline!CE14</f>
        <v>96/97</v>
      </c>
      <c r="CM6" s="22" t="str">
        <f>Timeline!CF14</f>
        <v>97/98</v>
      </c>
      <c r="CN6" s="22" t="str">
        <f>Timeline!CG14</f>
        <v>98/99</v>
      </c>
      <c r="CO6" s="22" t="str">
        <f>Timeline!CH14</f>
        <v>99/00</v>
      </c>
      <c r="CP6" s="22" t="str">
        <f>Timeline!CI14</f>
        <v>00/01</v>
      </c>
      <c r="CQ6" s="22" t="str">
        <f>Timeline!CJ14</f>
        <v>01/02</v>
      </c>
      <c r="CR6" s="22" t="str">
        <f>Timeline!CK14</f>
        <v>02/03</v>
      </c>
      <c r="CS6" s="22" t="str">
        <f>Timeline!CL14</f>
        <v>03/04</v>
      </c>
      <c r="CT6" s="22" t="str">
        <f>Timeline!CM14</f>
        <v>04/05</v>
      </c>
      <c r="CU6" s="22" t="str">
        <f>Timeline!CN14</f>
        <v>05/06</v>
      </c>
      <c r="CV6" s="22" t="str">
        <f>Timeline!CO14</f>
        <v>06/07</v>
      </c>
      <c r="CW6" s="22" t="str">
        <f>Timeline!CP14</f>
        <v>07/08</v>
      </c>
      <c r="CX6" s="22" t="str">
        <f>Timeline!CQ14</f>
        <v>08/09</v>
      </c>
    </row>
    <row r="7" spans="1:105" x14ac:dyDescent="0.3">
      <c r="M7" s="21">
        <f>Timeline!F15</f>
        <v>43556</v>
      </c>
      <c r="N7" s="21">
        <f>Timeline!G15</f>
        <v>43922</v>
      </c>
      <c r="O7" s="21">
        <f>Timeline!H15</f>
        <v>44287</v>
      </c>
      <c r="P7" s="21">
        <f>Timeline!I15</f>
        <v>44652</v>
      </c>
      <c r="Q7" s="21">
        <f>Timeline!J15</f>
        <v>45017</v>
      </c>
      <c r="R7" s="21">
        <f>Timeline!K15</f>
        <v>45383</v>
      </c>
      <c r="S7" s="21">
        <f>Timeline!L15</f>
        <v>45748</v>
      </c>
      <c r="T7" s="21">
        <f>Timeline!M15</f>
        <v>46113</v>
      </c>
      <c r="U7" s="21">
        <f>Timeline!N15</f>
        <v>46478</v>
      </c>
      <c r="V7" s="21">
        <f>Timeline!O15</f>
        <v>46844</v>
      </c>
      <c r="W7" s="21">
        <f>Timeline!P15</f>
        <v>47209</v>
      </c>
      <c r="X7" s="21">
        <f>Timeline!Q15</f>
        <v>47574</v>
      </c>
      <c r="Y7" s="21">
        <f>Timeline!R15</f>
        <v>47939</v>
      </c>
      <c r="Z7" s="21">
        <f>Timeline!S15</f>
        <v>48305</v>
      </c>
      <c r="AA7" s="21">
        <f>Timeline!T15</f>
        <v>48670</v>
      </c>
      <c r="AB7" s="21">
        <f>Timeline!U15</f>
        <v>49035</v>
      </c>
      <c r="AC7" s="21">
        <f>Timeline!V15</f>
        <v>49400</v>
      </c>
      <c r="AD7" s="21">
        <f>Timeline!W15</f>
        <v>49766</v>
      </c>
      <c r="AE7" s="21">
        <f>Timeline!X15</f>
        <v>50131</v>
      </c>
      <c r="AF7" s="21">
        <f>Timeline!Y15</f>
        <v>50496</v>
      </c>
      <c r="AG7" s="21">
        <f>Timeline!Z15</f>
        <v>50861</v>
      </c>
      <c r="AH7" s="21">
        <f>Timeline!AA15</f>
        <v>51227</v>
      </c>
      <c r="AI7" s="21">
        <f>Timeline!AB15</f>
        <v>51592</v>
      </c>
      <c r="AJ7" s="21">
        <f>Timeline!AC15</f>
        <v>51957</v>
      </c>
      <c r="AK7" s="21">
        <f>Timeline!AD15</f>
        <v>52322</v>
      </c>
      <c r="AL7" s="21">
        <f>Timeline!AE15</f>
        <v>52688</v>
      </c>
      <c r="AM7" s="21">
        <f>Timeline!AF15</f>
        <v>53053</v>
      </c>
      <c r="AN7" s="21">
        <f>Timeline!AG15</f>
        <v>53418</v>
      </c>
      <c r="AO7" s="21">
        <f>Timeline!AH15</f>
        <v>53783</v>
      </c>
      <c r="AP7" s="21">
        <f>Timeline!AI15</f>
        <v>54149</v>
      </c>
      <c r="AQ7" s="21">
        <f>Timeline!AJ15</f>
        <v>54514</v>
      </c>
      <c r="AR7" s="21">
        <f>Timeline!AK15</f>
        <v>54879</v>
      </c>
      <c r="AS7" s="21">
        <f>Timeline!AL15</f>
        <v>55244</v>
      </c>
      <c r="AT7" s="21">
        <f>Timeline!AM15</f>
        <v>55610</v>
      </c>
      <c r="AU7" s="21">
        <f>Timeline!AN15</f>
        <v>55975</v>
      </c>
      <c r="AV7" s="21">
        <f>Timeline!AO15</f>
        <v>56340</v>
      </c>
      <c r="AW7" s="21">
        <f>Timeline!AP15</f>
        <v>56705</v>
      </c>
      <c r="AX7" s="21">
        <f>Timeline!AQ15</f>
        <v>57071</v>
      </c>
      <c r="AY7" s="21">
        <f>Timeline!AR15</f>
        <v>57436</v>
      </c>
      <c r="AZ7" s="21">
        <f>Timeline!AS15</f>
        <v>57801</v>
      </c>
      <c r="BA7" s="21">
        <f>Timeline!AT15</f>
        <v>58166</v>
      </c>
      <c r="BB7" s="21">
        <f>Timeline!AU15</f>
        <v>58532</v>
      </c>
      <c r="BC7" s="21">
        <f>Timeline!AV15</f>
        <v>58897</v>
      </c>
      <c r="BD7" s="21">
        <f>Timeline!AW15</f>
        <v>59262</v>
      </c>
      <c r="BE7" s="21">
        <f>Timeline!AX15</f>
        <v>59627</v>
      </c>
      <c r="BF7" s="21">
        <f>Timeline!AY15</f>
        <v>59993</v>
      </c>
      <c r="BG7" s="21">
        <f>Timeline!AZ15</f>
        <v>60358</v>
      </c>
      <c r="BH7" s="21">
        <f>Timeline!BA15</f>
        <v>60723</v>
      </c>
      <c r="BI7" s="21">
        <f>Timeline!BB15</f>
        <v>61088</v>
      </c>
      <c r="BJ7" s="21">
        <f>Timeline!BC15</f>
        <v>61454</v>
      </c>
      <c r="BK7" s="21">
        <f>Timeline!BD15</f>
        <v>61819</v>
      </c>
      <c r="BL7" s="21">
        <f>Timeline!BE15</f>
        <v>62184</v>
      </c>
      <c r="BM7" s="21">
        <f>Timeline!BF15</f>
        <v>62549</v>
      </c>
      <c r="BN7" s="21">
        <f>Timeline!BG15</f>
        <v>62915</v>
      </c>
      <c r="BO7" s="21">
        <f>Timeline!BH15</f>
        <v>63280</v>
      </c>
      <c r="BP7" s="21">
        <f>Timeline!BI15</f>
        <v>63645</v>
      </c>
      <c r="BQ7" s="21">
        <f>Timeline!BJ15</f>
        <v>64010</v>
      </c>
      <c r="BR7" s="21">
        <f>Timeline!BK15</f>
        <v>64376</v>
      </c>
      <c r="BS7" s="21">
        <f>Timeline!BL15</f>
        <v>64741</v>
      </c>
      <c r="BT7" s="21">
        <f>Timeline!BM15</f>
        <v>65106</v>
      </c>
      <c r="BU7" s="21">
        <f>Timeline!BN15</f>
        <v>65471</v>
      </c>
      <c r="BV7" s="21">
        <f>Timeline!BO15</f>
        <v>65837</v>
      </c>
      <c r="BW7" s="21">
        <f>Timeline!BP15</f>
        <v>66202</v>
      </c>
      <c r="BX7" s="21">
        <f>Timeline!BQ15</f>
        <v>66567</v>
      </c>
      <c r="BY7" s="21">
        <f>Timeline!BR15</f>
        <v>66932</v>
      </c>
      <c r="BZ7" s="21">
        <f>Timeline!BS15</f>
        <v>67298</v>
      </c>
      <c r="CA7" s="21">
        <f>Timeline!BT15</f>
        <v>67663</v>
      </c>
      <c r="CB7" s="21">
        <f>Timeline!BU15</f>
        <v>68028</v>
      </c>
      <c r="CC7" s="21">
        <f>Timeline!BV15</f>
        <v>68393</v>
      </c>
      <c r="CD7" s="21">
        <f>Timeline!BW15</f>
        <v>68759</v>
      </c>
      <c r="CE7" s="21">
        <f>Timeline!BX15</f>
        <v>69124</v>
      </c>
      <c r="CF7" s="21">
        <f>Timeline!BY15</f>
        <v>69489</v>
      </c>
      <c r="CG7" s="21">
        <f>Timeline!BZ15</f>
        <v>69854</v>
      </c>
      <c r="CH7" s="21">
        <f>Timeline!CA15</f>
        <v>70220</v>
      </c>
      <c r="CI7" s="21">
        <f>Timeline!CB15</f>
        <v>70585</v>
      </c>
      <c r="CJ7" s="21">
        <f>Timeline!CC15</f>
        <v>70950</v>
      </c>
      <c r="CK7" s="21">
        <f>Timeline!CD15</f>
        <v>71315</v>
      </c>
      <c r="CL7" s="21">
        <f>Timeline!CE15</f>
        <v>71681</v>
      </c>
      <c r="CM7" s="21">
        <f>Timeline!CF15</f>
        <v>72046</v>
      </c>
      <c r="CN7" s="21">
        <f>Timeline!CG15</f>
        <v>72411</v>
      </c>
      <c r="CO7" s="21">
        <f>Timeline!CH15</f>
        <v>72776</v>
      </c>
      <c r="CP7" s="21">
        <f>Timeline!CI15</f>
        <v>73141</v>
      </c>
      <c r="CQ7" s="21">
        <f>Timeline!CJ15</f>
        <v>73506</v>
      </c>
      <c r="CR7" s="21">
        <f>Timeline!CK15</f>
        <v>73871</v>
      </c>
      <c r="CS7" s="21">
        <f>Timeline!CL15</f>
        <v>74236</v>
      </c>
      <c r="CT7" s="21">
        <f>Timeline!CM15</f>
        <v>74602</v>
      </c>
      <c r="CU7" s="21">
        <f>Timeline!CN15</f>
        <v>74967</v>
      </c>
      <c r="CV7" s="21">
        <f>Timeline!CO15</f>
        <v>75332</v>
      </c>
      <c r="CW7" s="21">
        <f>Timeline!CP15</f>
        <v>75697</v>
      </c>
      <c r="CX7" s="21">
        <f>Timeline!CQ15</f>
        <v>76063</v>
      </c>
    </row>
    <row r="8" spans="1:105" x14ac:dyDescent="0.3">
      <c r="C8" s="11" t="s">
        <v>22</v>
      </c>
      <c r="D8" s="11" t="s">
        <v>13</v>
      </c>
      <c r="F8" s="12" t="s">
        <v>99</v>
      </c>
      <c r="M8" s="21">
        <f>Timeline!F16</f>
        <v>43921</v>
      </c>
      <c r="N8" s="21">
        <f>Timeline!G16</f>
        <v>44286</v>
      </c>
      <c r="O8" s="21">
        <f>Timeline!H16</f>
        <v>44651</v>
      </c>
      <c r="P8" s="21">
        <f>Timeline!I16</f>
        <v>45016</v>
      </c>
      <c r="Q8" s="21">
        <f>Timeline!J16</f>
        <v>45382</v>
      </c>
      <c r="R8" s="21">
        <f>Timeline!K16</f>
        <v>45747</v>
      </c>
      <c r="S8" s="21">
        <f>Timeline!L16</f>
        <v>46112</v>
      </c>
      <c r="T8" s="21">
        <f>Timeline!M16</f>
        <v>46477</v>
      </c>
      <c r="U8" s="21">
        <f>Timeline!N16</f>
        <v>46843</v>
      </c>
      <c r="V8" s="21">
        <f>Timeline!O16</f>
        <v>47208</v>
      </c>
      <c r="W8" s="21">
        <f>Timeline!P16</f>
        <v>47573</v>
      </c>
      <c r="X8" s="21">
        <f>Timeline!Q16</f>
        <v>47938</v>
      </c>
      <c r="Y8" s="21">
        <f>Timeline!R16</f>
        <v>48304</v>
      </c>
      <c r="Z8" s="21">
        <f>Timeline!S16</f>
        <v>48669</v>
      </c>
      <c r="AA8" s="21">
        <f>Timeline!T16</f>
        <v>49034</v>
      </c>
      <c r="AB8" s="21">
        <f>Timeline!U16</f>
        <v>49399</v>
      </c>
      <c r="AC8" s="21">
        <f>Timeline!V16</f>
        <v>49765</v>
      </c>
      <c r="AD8" s="21">
        <f>Timeline!W16</f>
        <v>50130</v>
      </c>
      <c r="AE8" s="21">
        <f>Timeline!X16</f>
        <v>50495</v>
      </c>
      <c r="AF8" s="21">
        <f>Timeline!Y16</f>
        <v>50860</v>
      </c>
      <c r="AG8" s="21">
        <f>Timeline!Z16</f>
        <v>51226</v>
      </c>
      <c r="AH8" s="21">
        <f>Timeline!AA16</f>
        <v>51591</v>
      </c>
      <c r="AI8" s="21">
        <f>Timeline!AB16</f>
        <v>51956</v>
      </c>
      <c r="AJ8" s="21">
        <f>Timeline!AC16</f>
        <v>52321</v>
      </c>
      <c r="AK8" s="21">
        <f>Timeline!AD16</f>
        <v>52687</v>
      </c>
      <c r="AL8" s="21">
        <f>Timeline!AE16</f>
        <v>53052</v>
      </c>
      <c r="AM8" s="21">
        <f>Timeline!AF16</f>
        <v>53417</v>
      </c>
      <c r="AN8" s="21">
        <f>Timeline!AG16</f>
        <v>53782</v>
      </c>
      <c r="AO8" s="21">
        <f>Timeline!AH16</f>
        <v>54148</v>
      </c>
      <c r="AP8" s="21">
        <f>Timeline!AI16</f>
        <v>54513</v>
      </c>
      <c r="AQ8" s="21">
        <f>Timeline!AJ16</f>
        <v>54878</v>
      </c>
      <c r="AR8" s="21">
        <f>Timeline!AK16</f>
        <v>55243</v>
      </c>
      <c r="AS8" s="21">
        <f>Timeline!AL16</f>
        <v>55609</v>
      </c>
      <c r="AT8" s="21">
        <f>Timeline!AM16</f>
        <v>55974</v>
      </c>
      <c r="AU8" s="21">
        <f>Timeline!AN16</f>
        <v>56339</v>
      </c>
      <c r="AV8" s="21">
        <f>Timeline!AO16</f>
        <v>56704</v>
      </c>
      <c r="AW8" s="21">
        <f>Timeline!AP16</f>
        <v>57070</v>
      </c>
      <c r="AX8" s="21">
        <f>Timeline!AQ16</f>
        <v>57435</v>
      </c>
      <c r="AY8" s="21">
        <f>Timeline!AR16</f>
        <v>57800</v>
      </c>
      <c r="AZ8" s="21">
        <f>Timeline!AS16</f>
        <v>58165</v>
      </c>
      <c r="BA8" s="21">
        <f>Timeline!AT16</f>
        <v>58531</v>
      </c>
      <c r="BB8" s="21">
        <f>Timeline!AU16</f>
        <v>58896</v>
      </c>
      <c r="BC8" s="21">
        <f>Timeline!AV16</f>
        <v>59261</v>
      </c>
      <c r="BD8" s="21">
        <f>Timeline!AW16</f>
        <v>59626</v>
      </c>
      <c r="BE8" s="21">
        <f>Timeline!AX16</f>
        <v>59992</v>
      </c>
      <c r="BF8" s="21">
        <f>Timeline!AY16</f>
        <v>60357</v>
      </c>
      <c r="BG8" s="21">
        <f>Timeline!AZ16</f>
        <v>60722</v>
      </c>
      <c r="BH8" s="21">
        <f>Timeline!BA16</f>
        <v>61087</v>
      </c>
      <c r="BI8" s="21">
        <f>Timeline!BB16</f>
        <v>61453</v>
      </c>
      <c r="BJ8" s="21">
        <f>Timeline!BC16</f>
        <v>61818</v>
      </c>
      <c r="BK8" s="21">
        <f>Timeline!BD16</f>
        <v>62183</v>
      </c>
      <c r="BL8" s="21">
        <f>Timeline!BE16</f>
        <v>62548</v>
      </c>
      <c r="BM8" s="21">
        <f>Timeline!BF16</f>
        <v>62914</v>
      </c>
      <c r="BN8" s="21">
        <f>Timeline!BG16</f>
        <v>63279</v>
      </c>
      <c r="BO8" s="21">
        <f>Timeline!BH16</f>
        <v>63644</v>
      </c>
      <c r="BP8" s="21">
        <f>Timeline!BI16</f>
        <v>64009</v>
      </c>
      <c r="BQ8" s="21">
        <f>Timeline!BJ16</f>
        <v>64375</v>
      </c>
      <c r="BR8" s="21">
        <f>Timeline!BK16</f>
        <v>64740</v>
      </c>
      <c r="BS8" s="21">
        <f>Timeline!BL16</f>
        <v>65105</v>
      </c>
      <c r="BT8" s="21">
        <f>Timeline!BM16</f>
        <v>65470</v>
      </c>
      <c r="BU8" s="21">
        <f>Timeline!BN16</f>
        <v>65836</v>
      </c>
      <c r="BV8" s="21">
        <f>Timeline!BO16</f>
        <v>66201</v>
      </c>
      <c r="BW8" s="21">
        <f>Timeline!BP16</f>
        <v>66566</v>
      </c>
      <c r="BX8" s="21">
        <f>Timeline!BQ16</f>
        <v>66931</v>
      </c>
      <c r="BY8" s="21">
        <f>Timeline!BR16</f>
        <v>67297</v>
      </c>
      <c r="BZ8" s="21">
        <f>Timeline!BS16</f>
        <v>67662</v>
      </c>
      <c r="CA8" s="21">
        <f>Timeline!BT16</f>
        <v>68027</v>
      </c>
      <c r="CB8" s="21">
        <f>Timeline!BU16</f>
        <v>68392</v>
      </c>
      <c r="CC8" s="21">
        <f>Timeline!BV16</f>
        <v>68758</v>
      </c>
      <c r="CD8" s="21">
        <f>Timeline!BW16</f>
        <v>69123</v>
      </c>
      <c r="CE8" s="21">
        <f>Timeline!BX16</f>
        <v>69488</v>
      </c>
      <c r="CF8" s="21">
        <f>Timeline!BY16</f>
        <v>69853</v>
      </c>
      <c r="CG8" s="21">
        <f>Timeline!BZ16</f>
        <v>70219</v>
      </c>
      <c r="CH8" s="21">
        <f>Timeline!CA16</f>
        <v>70584</v>
      </c>
      <c r="CI8" s="21">
        <f>Timeline!CB16</f>
        <v>70949</v>
      </c>
      <c r="CJ8" s="21">
        <f>Timeline!CC16</f>
        <v>71314</v>
      </c>
      <c r="CK8" s="21">
        <f>Timeline!CD16</f>
        <v>71680</v>
      </c>
      <c r="CL8" s="21">
        <f>Timeline!CE16</f>
        <v>72045</v>
      </c>
      <c r="CM8" s="21">
        <f>Timeline!CF16</f>
        <v>72410</v>
      </c>
      <c r="CN8" s="21">
        <f>Timeline!CG16</f>
        <v>72775</v>
      </c>
      <c r="CO8" s="21">
        <f>Timeline!CH16</f>
        <v>73140</v>
      </c>
      <c r="CP8" s="21">
        <f>Timeline!CI16</f>
        <v>73505</v>
      </c>
      <c r="CQ8" s="21">
        <f>Timeline!CJ16</f>
        <v>73870</v>
      </c>
      <c r="CR8" s="21">
        <f>Timeline!CK16</f>
        <v>74235</v>
      </c>
      <c r="CS8" s="21">
        <f>Timeline!CL16</f>
        <v>74601</v>
      </c>
      <c r="CT8" s="21">
        <f>Timeline!CM16</f>
        <v>74966</v>
      </c>
      <c r="CU8" s="21">
        <f>Timeline!CN16</f>
        <v>75331</v>
      </c>
      <c r="CV8" s="21">
        <f>Timeline!CO16</f>
        <v>75696</v>
      </c>
      <c r="CW8" s="21">
        <f>Timeline!CP16</f>
        <v>76062</v>
      </c>
      <c r="CX8" s="21">
        <f>Timeline!CQ16</f>
        <v>76427</v>
      </c>
      <c r="CZ8" s="6" t="s">
        <v>64</v>
      </c>
      <c r="DA8" s="6" t="s">
        <v>65</v>
      </c>
    </row>
    <row r="9" spans="1:105" x14ac:dyDescent="0.3">
      <c r="C9" s="4" t="str">
        <f>IF('Cost &amp; Risk Inputs'!C10="","",'Cost &amp; Risk Inputs'!C10)</f>
        <v>Test 1</v>
      </c>
      <c r="D9" s="4" t="str">
        <f>IF(C9="","",'Cost &amp; Risk Inputs'!F10)</f>
        <v>No Inflation</v>
      </c>
      <c r="F9" s="18">
        <f t="shared" ref="F9:F38" si="0">IF(C9="","",MATCH(D9,Inflation_List,0))</f>
        <v>3</v>
      </c>
      <c r="M9" s="26">
        <f ca="1">IF($C9="","",'Constant Ecs GBP'!M9*INDEX('Global Constants'!F$24:F$33,$F9))</f>
        <v>0</v>
      </c>
      <c r="N9" s="26">
        <f ca="1">IF($C9="","",'Constant Ecs GBP'!N9*INDEX('Global Constants'!G$24:G$33,$F9))</f>
        <v>0</v>
      </c>
      <c r="O9" s="26">
        <f ca="1">IF($C9="","",'Constant Ecs GBP'!O9*INDEX('Global Constants'!H$24:H$33,$F9))</f>
        <v>0</v>
      </c>
      <c r="P9" s="26">
        <f ca="1">IF($C9="","",'Constant Ecs GBP'!P9*INDEX('Global Constants'!I$24:I$33,$F9))</f>
        <v>0</v>
      </c>
      <c r="Q9" s="26">
        <f ca="1">IF($C9="","",'Constant Ecs GBP'!Q9*INDEX('Global Constants'!J$24:J$33,$F9))</f>
        <v>0</v>
      </c>
      <c r="R9" s="26">
        <f ca="1">IF($C9="","",'Constant Ecs GBP'!R9*INDEX('Global Constants'!K$24:K$33,$F9))</f>
        <v>0</v>
      </c>
      <c r="S9" s="26">
        <f ca="1">IF($C9="","",'Constant Ecs GBP'!S9*INDEX('Global Constants'!L$24:L$33,$F9))</f>
        <v>0</v>
      </c>
      <c r="T9" s="26">
        <f ca="1">IF($C9="","",'Constant Ecs GBP'!T9*INDEX('Global Constants'!M$24:M$33,$F9))</f>
        <v>0</v>
      </c>
      <c r="U9" s="26">
        <f ca="1">IF($C9="","",'Constant Ecs GBP'!U9*INDEX('Global Constants'!N$24:N$33,$F9))</f>
        <v>0</v>
      </c>
      <c r="V9" s="26">
        <f ca="1">IF($C9="","",'Constant Ecs GBP'!V9*INDEX('Global Constants'!O$24:O$33,$F9))</f>
        <v>0</v>
      </c>
      <c r="W9" s="26">
        <f ca="1">IF($C9="","",'Constant Ecs GBP'!W9*INDEX('Global Constants'!P$24:P$33,$F9))</f>
        <v>0</v>
      </c>
      <c r="X9" s="26">
        <f ca="1">IF($C9="","",'Constant Ecs GBP'!X9*INDEX('Global Constants'!Q$24:Q$33,$F9))</f>
        <v>0</v>
      </c>
      <c r="Y9" s="26">
        <f ca="1">IF($C9="","",'Constant Ecs GBP'!Y9*INDEX('Global Constants'!R$24:R$33,$F9))</f>
        <v>0</v>
      </c>
      <c r="Z9" s="26">
        <f ca="1">IF($C9="","",'Constant Ecs GBP'!Z9*INDEX('Global Constants'!S$24:S$33,$F9))</f>
        <v>0</v>
      </c>
      <c r="AA9" s="26">
        <f ca="1">IF($C9="","",'Constant Ecs GBP'!AA9*INDEX('Global Constants'!T$24:T$33,$F9))</f>
        <v>0</v>
      </c>
      <c r="AB9" s="26">
        <f ca="1">IF($C9="","",'Constant Ecs GBP'!AB9*INDEX('Global Constants'!U$24:U$33,$F9))</f>
        <v>0</v>
      </c>
      <c r="AC9" s="26">
        <f ca="1">IF($C9="","",'Constant Ecs GBP'!AC9*INDEX('Global Constants'!V$24:V$33,$F9))</f>
        <v>0</v>
      </c>
      <c r="AD9" s="26">
        <f ca="1">IF($C9="","",'Constant Ecs GBP'!AD9*INDEX('Global Constants'!W$24:W$33,$F9))</f>
        <v>1568.5671687911602</v>
      </c>
      <c r="AE9" s="26">
        <f ca="1">IF($C9="","",'Constant Ecs GBP'!AE9*INDEX('Global Constants'!X$24:X$33,$F9))</f>
        <v>0</v>
      </c>
      <c r="AF9" s="26">
        <f ca="1">IF($C9="","",'Constant Ecs GBP'!AF9*INDEX('Global Constants'!Y$24:Y$33,$F9))</f>
        <v>0</v>
      </c>
      <c r="AG9" s="26">
        <f ca="1">IF($C9="","",'Constant Ecs GBP'!AG9*INDEX('Global Constants'!Z$24:Z$33,$F9))</f>
        <v>0</v>
      </c>
      <c r="AH9" s="26">
        <f ca="1">IF($C9="","",'Constant Ecs GBP'!AH9*INDEX('Global Constants'!AA$24:AA$33,$F9))</f>
        <v>0</v>
      </c>
      <c r="AI9" s="26">
        <f ca="1">IF($C9="","",'Constant Ecs GBP'!AI9*INDEX('Global Constants'!AB$24:AB$33,$F9))</f>
        <v>0</v>
      </c>
      <c r="AJ9" s="26">
        <f ca="1">IF($C9="","",'Constant Ecs GBP'!AJ9*INDEX('Global Constants'!AC$24:AC$33,$F9))</f>
        <v>0</v>
      </c>
      <c r="AK9" s="26">
        <f ca="1">IF($C9="","",'Constant Ecs GBP'!AK9*INDEX('Global Constants'!AD$24:AD$33,$F9))</f>
        <v>0</v>
      </c>
      <c r="AL9" s="26">
        <f ca="1">IF($C9="","",'Constant Ecs GBP'!AL9*INDEX('Global Constants'!AE$24:AE$33,$F9))</f>
        <v>0</v>
      </c>
      <c r="AM9" s="26">
        <f ca="1">IF($C9="","",'Constant Ecs GBP'!AM9*INDEX('Global Constants'!AF$24:AF$33,$F9))</f>
        <v>0</v>
      </c>
      <c r="AN9" s="26">
        <f ca="1">IF($C9="","",'Constant Ecs GBP'!AN9*INDEX('Global Constants'!AG$24:AG$33,$F9))</f>
        <v>0</v>
      </c>
      <c r="AO9" s="26">
        <f ca="1">IF($C9="","",'Constant Ecs GBP'!AO9*INDEX('Global Constants'!AH$24:AH$33,$F9))</f>
        <v>0</v>
      </c>
      <c r="AP9" s="26">
        <f ca="1">IF($C9="","",'Constant Ecs GBP'!AP9*INDEX('Global Constants'!AI$24:AI$33,$F9))</f>
        <v>0</v>
      </c>
      <c r="AQ9" s="26">
        <f ca="1">IF($C9="","",'Constant Ecs GBP'!AQ9*INDEX('Global Constants'!AJ$24:AJ$33,$F9))</f>
        <v>0</v>
      </c>
      <c r="AR9" s="26">
        <f ca="1">IF($C9="","",'Constant Ecs GBP'!AR9*INDEX('Global Constants'!AK$24:AK$33,$F9))</f>
        <v>0</v>
      </c>
      <c r="AS9" s="26">
        <f ca="1">IF($C9="","",'Constant Ecs GBP'!AS9*INDEX('Global Constants'!AL$24:AL$33,$F9))</f>
        <v>0</v>
      </c>
      <c r="AT9" s="26">
        <f ca="1">IF($C9="","",'Constant Ecs GBP'!AT9*INDEX('Global Constants'!AM$24:AM$33,$F9))</f>
        <v>0</v>
      </c>
      <c r="AU9" s="26">
        <f ca="1">IF($C9="","",'Constant Ecs GBP'!AU9*INDEX('Global Constants'!AN$24:AN$33,$F9))</f>
        <v>0</v>
      </c>
      <c r="AV9" s="26">
        <f ca="1">IF($C9="","",'Constant Ecs GBP'!AV9*INDEX('Global Constants'!AO$24:AO$33,$F9))</f>
        <v>0</v>
      </c>
      <c r="AW9" s="26">
        <f ca="1">IF($C9="","",'Constant Ecs GBP'!AW9*INDEX('Global Constants'!AP$24:AP$33,$F9))</f>
        <v>0</v>
      </c>
      <c r="AX9" s="26">
        <f ca="1">IF($C9="","",'Constant Ecs GBP'!AX9*INDEX('Global Constants'!AQ$24:AQ$33,$F9))</f>
        <v>0</v>
      </c>
      <c r="AY9" s="26">
        <f ca="1">IF($C9="","",'Constant Ecs GBP'!AY9*INDEX('Global Constants'!AR$24:AR$33,$F9))</f>
        <v>0</v>
      </c>
      <c r="AZ9" s="26">
        <f ca="1">IF($C9="","",'Constant Ecs GBP'!AZ9*INDEX('Global Constants'!AS$24:AS$33,$F9))</f>
        <v>0</v>
      </c>
      <c r="BA9" s="26">
        <f ca="1">IF($C9="","",'Constant Ecs GBP'!BA9*INDEX('Global Constants'!AT$24:AT$33,$F9))</f>
        <v>0</v>
      </c>
      <c r="BB9" s="26">
        <f ca="1">IF($C9="","",'Constant Ecs GBP'!BB9*INDEX('Global Constants'!AU$24:AU$33,$F9))</f>
        <v>0</v>
      </c>
      <c r="BC9" s="26">
        <f ca="1">IF($C9="","",'Constant Ecs GBP'!BC9*INDEX('Global Constants'!AV$24:AV$33,$F9))</f>
        <v>0</v>
      </c>
      <c r="BD9" s="26">
        <f ca="1">IF($C9="","",'Constant Ecs GBP'!BD9*INDEX('Global Constants'!AW$24:AW$33,$F9))</f>
        <v>0</v>
      </c>
      <c r="BE9" s="26">
        <f ca="1">IF($C9="","",'Constant Ecs GBP'!BE9*INDEX('Global Constants'!AX$24:AX$33,$F9))</f>
        <v>0</v>
      </c>
      <c r="BF9" s="26">
        <f ca="1">IF($C9="","",'Constant Ecs GBP'!BF9*INDEX('Global Constants'!AY$24:AY$33,$F9))</f>
        <v>0</v>
      </c>
      <c r="BG9" s="26">
        <f ca="1">IF($C9="","",'Constant Ecs GBP'!BG9*INDEX('Global Constants'!AZ$24:AZ$33,$F9))</f>
        <v>0</v>
      </c>
      <c r="BH9" s="26">
        <f ca="1">IF($C9="","",'Constant Ecs GBP'!BH9*INDEX('Global Constants'!BA$24:BA$33,$F9))</f>
        <v>0</v>
      </c>
      <c r="BI9" s="26">
        <f ca="1">IF($C9="","",'Constant Ecs GBP'!BI9*INDEX('Global Constants'!BB$24:BB$33,$F9))</f>
        <v>0</v>
      </c>
      <c r="BJ9" s="26">
        <f ca="1">IF($C9="","",'Constant Ecs GBP'!BJ9*INDEX('Global Constants'!BC$24:BC$33,$F9))</f>
        <v>0</v>
      </c>
      <c r="BK9" s="26">
        <f ca="1">IF($C9="","",'Constant Ecs GBP'!BK9*INDEX('Global Constants'!BD$24:BD$33,$F9))</f>
        <v>0</v>
      </c>
      <c r="BL9" s="26">
        <f ca="1">IF($C9="","",'Constant Ecs GBP'!BL9*INDEX('Global Constants'!BE$24:BE$33,$F9))</f>
        <v>0</v>
      </c>
      <c r="BM9" s="26">
        <f ca="1">IF($C9="","",'Constant Ecs GBP'!BM9*INDEX('Global Constants'!BF$24:BF$33,$F9))</f>
        <v>0</v>
      </c>
      <c r="BN9" s="26">
        <f ca="1">IF($C9="","",'Constant Ecs GBP'!BN9*INDEX('Global Constants'!BG$24:BG$33,$F9))</f>
        <v>0</v>
      </c>
      <c r="BO9" s="26">
        <f ca="1">IF($C9="","",'Constant Ecs GBP'!BO9*INDEX('Global Constants'!BH$24:BH$33,$F9))</f>
        <v>0</v>
      </c>
      <c r="BP9" s="26">
        <f ca="1">IF($C9="","",'Constant Ecs GBP'!BP9*INDEX('Global Constants'!BI$24:BI$33,$F9))</f>
        <v>0</v>
      </c>
      <c r="BQ9" s="26">
        <f ca="1">IF($C9="","",'Constant Ecs GBP'!BQ9*INDEX('Global Constants'!BJ$24:BJ$33,$F9))</f>
        <v>0</v>
      </c>
      <c r="BR9" s="26">
        <f ca="1">IF($C9="","",'Constant Ecs GBP'!BR9*INDEX('Global Constants'!BK$24:BK$33,$F9))</f>
        <v>0</v>
      </c>
      <c r="BS9" s="26">
        <f ca="1">IF($C9="","",'Constant Ecs GBP'!BS9*INDEX('Global Constants'!BL$24:BL$33,$F9))</f>
        <v>0</v>
      </c>
      <c r="BT9" s="26">
        <f ca="1">IF($C9="","",'Constant Ecs GBP'!BT9*INDEX('Global Constants'!BM$24:BM$33,$F9))</f>
        <v>0</v>
      </c>
      <c r="BU9" s="26">
        <f ca="1">IF($C9="","",'Constant Ecs GBP'!BU9*INDEX('Global Constants'!BN$24:BN$33,$F9))</f>
        <v>0</v>
      </c>
      <c r="BV9" s="26">
        <f ca="1">IF($C9="","",'Constant Ecs GBP'!BV9*INDEX('Global Constants'!BO$24:BO$33,$F9))</f>
        <v>0</v>
      </c>
      <c r="BW9" s="26">
        <f ca="1">IF($C9="","",'Constant Ecs GBP'!BW9*INDEX('Global Constants'!BP$24:BP$33,$F9))</f>
        <v>0</v>
      </c>
      <c r="BX9" s="26">
        <f ca="1">IF($C9="","",'Constant Ecs GBP'!BX9*INDEX('Global Constants'!BQ$24:BQ$33,$F9))</f>
        <v>0</v>
      </c>
      <c r="BY9" s="26">
        <f ca="1">IF($C9="","",'Constant Ecs GBP'!BY9*INDEX('Global Constants'!BR$24:BR$33,$F9))</f>
        <v>0</v>
      </c>
      <c r="BZ9" s="26">
        <f ca="1">IF($C9="","",'Constant Ecs GBP'!BZ9*INDEX('Global Constants'!BS$24:BS$33,$F9))</f>
        <v>0</v>
      </c>
      <c r="CA9" s="26">
        <f ca="1">IF($C9="","",'Constant Ecs GBP'!CA9*INDEX('Global Constants'!BT$24:BT$33,$F9))</f>
        <v>0</v>
      </c>
      <c r="CB9" s="26">
        <f ca="1">IF($C9="","",'Constant Ecs GBP'!CB9*INDEX('Global Constants'!BU$24:BU$33,$F9))</f>
        <v>0</v>
      </c>
      <c r="CC9" s="26">
        <f ca="1">IF($C9="","",'Constant Ecs GBP'!CC9*INDEX('Global Constants'!BV$24:BV$33,$F9))</f>
        <v>0</v>
      </c>
      <c r="CD9" s="26">
        <f ca="1">IF($C9="","",'Constant Ecs GBP'!CD9*INDEX('Global Constants'!BW$24:BW$33,$F9))</f>
        <v>0</v>
      </c>
      <c r="CE9" s="26">
        <f ca="1">IF($C9="","",'Constant Ecs GBP'!CE9*INDEX('Global Constants'!BX$24:BX$33,$F9))</f>
        <v>0</v>
      </c>
      <c r="CF9" s="26">
        <f ca="1">IF($C9="","",'Constant Ecs GBP'!CF9*INDEX('Global Constants'!BY$24:BY$33,$F9))</f>
        <v>0</v>
      </c>
      <c r="CG9" s="26">
        <f ca="1">IF($C9="","",'Constant Ecs GBP'!CG9*INDEX('Global Constants'!BZ$24:BZ$33,$F9))</f>
        <v>0</v>
      </c>
      <c r="CH9" s="26">
        <f ca="1">IF($C9="","",'Constant Ecs GBP'!CH9*INDEX('Global Constants'!CA$24:CA$33,$F9))</f>
        <v>0</v>
      </c>
      <c r="CI9" s="26">
        <f ca="1">IF($C9="","",'Constant Ecs GBP'!CI9*INDEX('Global Constants'!CB$24:CB$33,$F9))</f>
        <v>0</v>
      </c>
      <c r="CJ9" s="26">
        <f ca="1">IF($C9="","",'Constant Ecs GBP'!CJ9*INDEX('Global Constants'!CC$24:CC$33,$F9))</f>
        <v>0</v>
      </c>
      <c r="CK9" s="26">
        <f ca="1">IF($C9="","",'Constant Ecs GBP'!CK9*INDEX('Global Constants'!CD$24:CD$33,$F9))</f>
        <v>0</v>
      </c>
      <c r="CL9" s="26">
        <f ca="1">IF($C9="","",'Constant Ecs GBP'!CL9*INDEX('Global Constants'!CE$24:CE$33,$F9))</f>
        <v>0</v>
      </c>
      <c r="CM9" s="26">
        <f ca="1">IF($C9="","",'Constant Ecs GBP'!CM9*INDEX('Global Constants'!CF$24:CF$33,$F9))</f>
        <v>0</v>
      </c>
      <c r="CN9" s="26">
        <f ca="1">IF($C9="","",'Constant Ecs GBP'!CN9*INDEX('Global Constants'!CG$24:CG$33,$F9))</f>
        <v>0</v>
      </c>
      <c r="CO9" s="26">
        <f ca="1">IF($C9="","",'Constant Ecs GBP'!CO9*INDEX('Global Constants'!CH$24:CH$33,$F9))</f>
        <v>0</v>
      </c>
      <c r="CP9" s="26">
        <f ca="1">IF($C9="","",'Constant Ecs GBP'!CP9*INDEX('Global Constants'!CI$24:CI$33,$F9))</f>
        <v>0</v>
      </c>
      <c r="CQ9" s="26">
        <f ca="1">IF($C9="","",'Constant Ecs GBP'!CQ9*INDEX('Global Constants'!CJ$24:CJ$33,$F9))</f>
        <v>0</v>
      </c>
      <c r="CR9" s="26">
        <f ca="1">IF($C9="","",'Constant Ecs GBP'!CR9*INDEX('Global Constants'!CK$24:CK$33,$F9))</f>
        <v>0</v>
      </c>
      <c r="CS9" s="26">
        <f ca="1">IF($C9="","",'Constant Ecs GBP'!CS9*INDEX('Global Constants'!CL$24:CL$33,$F9))</f>
        <v>0</v>
      </c>
      <c r="CT9" s="26">
        <f ca="1">IF($C9="","",'Constant Ecs GBP'!CT9*INDEX('Global Constants'!CM$24:CM$33,$F9))</f>
        <v>0</v>
      </c>
      <c r="CU9" s="26">
        <f ca="1">IF($C9="","",'Constant Ecs GBP'!CU9*INDEX('Global Constants'!CN$24:CN$33,$F9))</f>
        <v>0</v>
      </c>
      <c r="CV9" s="26">
        <f ca="1">IF($C9="","",'Constant Ecs GBP'!CV9*INDEX('Global Constants'!CO$24:CO$33,$F9))</f>
        <v>0</v>
      </c>
      <c r="CW9" s="26">
        <f ca="1">IF($C9="","",'Constant Ecs GBP'!CW9*INDEX('Global Constants'!CP$24:CP$33,$F9))</f>
        <v>0</v>
      </c>
      <c r="CX9" s="26">
        <f ca="1">IF($C9="","",'Constant Ecs GBP'!CX9*INDEX('Global Constants'!CQ$24:CQ$33,$F9))</f>
        <v>0</v>
      </c>
      <c r="CZ9" s="26">
        <f t="shared" ref="CZ9:CZ38" ca="1" si="1">SUM(OFFSET(M9,0,MATCH(Model_Base,$M$6:$CX$6,0),1,10))</f>
        <v>0</v>
      </c>
      <c r="DA9" s="26">
        <f ca="1">SUM(M9:CX9)</f>
        <v>1568.5671687911602</v>
      </c>
    </row>
    <row r="10" spans="1:105" x14ac:dyDescent="0.3">
      <c r="C10" s="4" t="str">
        <f>IF('Cost &amp; Risk Inputs'!C11="","",'Cost &amp; Risk Inputs'!C11)</f>
        <v>Test 2</v>
      </c>
      <c r="D10" s="4" t="str">
        <f>IF(C10="","",'Cost &amp; Risk Inputs'!F11)</f>
        <v>No Inflation</v>
      </c>
      <c r="F10" s="18">
        <f t="shared" si="0"/>
        <v>3</v>
      </c>
      <c r="M10" s="26">
        <f ca="1">IF($C10="","",'Constant Ecs GBP'!M10*INDEX('Global Constants'!F$24:F$33,$F10))</f>
        <v>0</v>
      </c>
      <c r="N10" s="26">
        <f ca="1">IF($C10="","",'Constant Ecs GBP'!N10*INDEX('Global Constants'!G$24:G$33,$F10))</f>
        <v>0</v>
      </c>
      <c r="O10" s="26">
        <f ca="1">IF($C10="","",'Constant Ecs GBP'!O10*INDEX('Global Constants'!H$24:H$33,$F10))</f>
        <v>0</v>
      </c>
      <c r="P10" s="26">
        <f ca="1">IF($C10="","",'Constant Ecs GBP'!P10*INDEX('Global Constants'!I$24:I$33,$F10))</f>
        <v>0</v>
      </c>
      <c r="Q10" s="26">
        <f ca="1">IF($C10="","",'Constant Ecs GBP'!Q10*INDEX('Global Constants'!J$24:J$33,$F10))</f>
        <v>0</v>
      </c>
      <c r="R10" s="26">
        <f ca="1">IF($C10="","",'Constant Ecs GBP'!R10*INDEX('Global Constants'!K$24:K$33,$F10))</f>
        <v>0</v>
      </c>
      <c r="S10" s="26">
        <f ca="1">IF($C10="","",'Constant Ecs GBP'!S10*INDEX('Global Constants'!L$24:L$33,$F10))</f>
        <v>0</v>
      </c>
      <c r="T10" s="26">
        <f ca="1">IF($C10="","",'Constant Ecs GBP'!T10*INDEX('Global Constants'!M$24:M$33,$F10))</f>
        <v>0</v>
      </c>
      <c r="U10" s="26">
        <f ca="1">IF($C10="","",'Constant Ecs GBP'!U10*INDEX('Global Constants'!N$24:N$33,$F10))</f>
        <v>0</v>
      </c>
      <c r="V10" s="26">
        <f ca="1">IF($C10="","",'Constant Ecs GBP'!V10*INDEX('Global Constants'!O$24:O$33,$F10))</f>
        <v>0</v>
      </c>
      <c r="W10" s="26">
        <f ca="1">IF($C10="","",'Constant Ecs GBP'!W10*INDEX('Global Constants'!P$24:P$33,$F10))</f>
        <v>0</v>
      </c>
      <c r="X10" s="26">
        <f ca="1">IF($C10="","",'Constant Ecs GBP'!X10*INDEX('Global Constants'!Q$24:Q$33,$F10))</f>
        <v>0</v>
      </c>
      <c r="Y10" s="26">
        <f ca="1">IF($C10="","",'Constant Ecs GBP'!Y10*INDEX('Global Constants'!R$24:R$33,$F10))</f>
        <v>0</v>
      </c>
      <c r="Z10" s="26">
        <f ca="1">IF($C10="","",'Constant Ecs GBP'!Z10*INDEX('Global Constants'!S$24:S$33,$F10))</f>
        <v>0</v>
      </c>
      <c r="AA10" s="26">
        <f ca="1">IF($C10="","",'Constant Ecs GBP'!AA10*INDEX('Global Constants'!T$24:T$33,$F10))</f>
        <v>0</v>
      </c>
      <c r="AB10" s="26">
        <f ca="1">IF($C10="","",'Constant Ecs GBP'!AB10*INDEX('Global Constants'!U$24:U$33,$F10))</f>
        <v>0</v>
      </c>
      <c r="AC10" s="26">
        <f ca="1">IF($C10="","",'Constant Ecs GBP'!AC10*INDEX('Global Constants'!V$24:V$33,$F10))</f>
        <v>0</v>
      </c>
      <c r="AD10" s="26">
        <f ca="1">IF($C10="","",'Constant Ecs GBP'!AD10*INDEX('Global Constants'!W$24:W$33,$F10))</f>
        <v>0</v>
      </c>
      <c r="AE10" s="26">
        <f ca="1">IF($C10="","",'Constant Ecs GBP'!AE10*INDEX('Global Constants'!X$24:X$33,$F10))</f>
        <v>2000</v>
      </c>
      <c r="AF10" s="26">
        <f ca="1">IF($C10="","",'Constant Ecs GBP'!AF10*INDEX('Global Constants'!Y$24:Y$33,$F10))</f>
        <v>0</v>
      </c>
      <c r="AG10" s="26">
        <f ca="1">IF($C10="","",'Constant Ecs GBP'!AG10*INDEX('Global Constants'!Z$24:Z$33,$F10))</f>
        <v>0</v>
      </c>
      <c r="AH10" s="26">
        <f ca="1">IF($C10="","",'Constant Ecs GBP'!AH10*INDEX('Global Constants'!AA$24:AA$33,$F10))</f>
        <v>0</v>
      </c>
      <c r="AI10" s="26">
        <f ca="1">IF($C10="","",'Constant Ecs GBP'!AI10*INDEX('Global Constants'!AB$24:AB$33,$F10))</f>
        <v>0</v>
      </c>
      <c r="AJ10" s="26">
        <f ca="1">IF($C10="","",'Constant Ecs GBP'!AJ10*INDEX('Global Constants'!AC$24:AC$33,$F10))</f>
        <v>0</v>
      </c>
      <c r="AK10" s="26">
        <f ca="1">IF($C10="","",'Constant Ecs GBP'!AK10*INDEX('Global Constants'!AD$24:AD$33,$F10))</f>
        <v>0</v>
      </c>
      <c r="AL10" s="26">
        <f ca="1">IF($C10="","",'Constant Ecs GBP'!AL10*INDEX('Global Constants'!AE$24:AE$33,$F10))</f>
        <v>0</v>
      </c>
      <c r="AM10" s="26">
        <f ca="1">IF($C10="","",'Constant Ecs GBP'!AM10*INDEX('Global Constants'!AF$24:AF$33,$F10))</f>
        <v>0</v>
      </c>
      <c r="AN10" s="26">
        <f ca="1">IF($C10="","",'Constant Ecs GBP'!AN10*INDEX('Global Constants'!AG$24:AG$33,$F10))</f>
        <v>0</v>
      </c>
      <c r="AO10" s="26">
        <f ca="1">IF($C10="","",'Constant Ecs GBP'!AO10*INDEX('Global Constants'!AH$24:AH$33,$F10))</f>
        <v>0</v>
      </c>
      <c r="AP10" s="26">
        <f ca="1">IF($C10="","",'Constant Ecs GBP'!AP10*INDEX('Global Constants'!AI$24:AI$33,$F10))</f>
        <v>0</v>
      </c>
      <c r="AQ10" s="26">
        <f ca="1">IF($C10="","",'Constant Ecs GBP'!AQ10*INDEX('Global Constants'!AJ$24:AJ$33,$F10))</f>
        <v>0</v>
      </c>
      <c r="AR10" s="26">
        <f ca="1">IF($C10="","",'Constant Ecs GBP'!AR10*INDEX('Global Constants'!AK$24:AK$33,$F10))</f>
        <v>0</v>
      </c>
      <c r="AS10" s="26">
        <f ca="1">IF($C10="","",'Constant Ecs GBP'!AS10*INDEX('Global Constants'!AL$24:AL$33,$F10))</f>
        <v>0</v>
      </c>
      <c r="AT10" s="26">
        <f ca="1">IF($C10="","",'Constant Ecs GBP'!AT10*INDEX('Global Constants'!AM$24:AM$33,$F10))</f>
        <v>0</v>
      </c>
      <c r="AU10" s="26">
        <f ca="1">IF($C10="","",'Constant Ecs GBP'!AU10*INDEX('Global Constants'!AN$24:AN$33,$F10))</f>
        <v>0</v>
      </c>
      <c r="AV10" s="26">
        <f ca="1">IF($C10="","",'Constant Ecs GBP'!AV10*INDEX('Global Constants'!AO$24:AO$33,$F10))</f>
        <v>0</v>
      </c>
      <c r="AW10" s="26">
        <f ca="1">IF($C10="","",'Constant Ecs GBP'!AW10*INDEX('Global Constants'!AP$24:AP$33,$F10))</f>
        <v>0</v>
      </c>
      <c r="AX10" s="26">
        <f ca="1">IF($C10="","",'Constant Ecs GBP'!AX10*INDEX('Global Constants'!AQ$24:AQ$33,$F10))</f>
        <v>0</v>
      </c>
      <c r="AY10" s="26">
        <f ca="1">IF($C10="","",'Constant Ecs GBP'!AY10*INDEX('Global Constants'!AR$24:AR$33,$F10))</f>
        <v>0</v>
      </c>
      <c r="AZ10" s="26">
        <f ca="1">IF($C10="","",'Constant Ecs GBP'!AZ10*INDEX('Global Constants'!AS$24:AS$33,$F10))</f>
        <v>0</v>
      </c>
      <c r="BA10" s="26">
        <f ca="1">IF($C10="","",'Constant Ecs GBP'!BA10*INDEX('Global Constants'!AT$24:AT$33,$F10))</f>
        <v>0</v>
      </c>
      <c r="BB10" s="26">
        <f ca="1">IF($C10="","",'Constant Ecs GBP'!BB10*INDEX('Global Constants'!AU$24:AU$33,$F10))</f>
        <v>0</v>
      </c>
      <c r="BC10" s="26">
        <f ca="1">IF($C10="","",'Constant Ecs GBP'!BC10*INDEX('Global Constants'!AV$24:AV$33,$F10))</f>
        <v>0</v>
      </c>
      <c r="BD10" s="26">
        <f ca="1">IF($C10="","",'Constant Ecs GBP'!BD10*INDEX('Global Constants'!AW$24:AW$33,$F10))</f>
        <v>0</v>
      </c>
      <c r="BE10" s="26">
        <f ca="1">IF($C10="","",'Constant Ecs GBP'!BE10*INDEX('Global Constants'!AX$24:AX$33,$F10))</f>
        <v>0</v>
      </c>
      <c r="BF10" s="26">
        <f ca="1">IF($C10="","",'Constant Ecs GBP'!BF10*INDEX('Global Constants'!AY$24:AY$33,$F10))</f>
        <v>0</v>
      </c>
      <c r="BG10" s="26">
        <f ca="1">IF($C10="","",'Constant Ecs GBP'!BG10*INDEX('Global Constants'!AZ$24:AZ$33,$F10))</f>
        <v>0</v>
      </c>
      <c r="BH10" s="26">
        <f ca="1">IF($C10="","",'Constant Ecs GBP'!BH10*INDEX('Global Constants'!BA$24:BA$33,$F10))</f>
        <v>0</v>
      </c>
      <c r="BI10" s="26">
        <f ca="1">IF($C10="","",'Constant Ecs GBP'!BI10*INDEX('Global Constants'!BB$24:BB$33,$F10))</f>
        <v>0</v>
      </c>
      <c r="BJ10" s="26">
        <f ca="1">IF($C10="","",'Constant Ecs GBP'!BJ10*INDEX('Global Constants'!BC$24:BC$33,$F10))</f>
        <v>0</v>
      </c>
      <c r="BK10" s="26">
        <f ca="1">IF($C10="","",'Constant Ecs GBP'!BK10*INDEX('Global Constants'!BD$24:BD$33,$F10))</f>
        <v>0</v>
      </c>
      <c r="BL10" s="26">
        <f ca="1">IF($C10="","",'Constant Ecs GBP'!BL10*INDEX('Global Constants'!BE$24:BE$33,$F10))</f>
        <v>0</v>
      </c>
      <c r="BM10" s="26">
        <f ca="1">IF($C10="","",'Constant Ecs GBP'!BM10*INDEX('Global Constants'!BF$24:BF$33,$F10))</f>
        <v>0</v>
      </c>
      <c r="BN10" s="26">
        <f ca="1">IF($C10="","",'Constant Ecs GBP'!BN10*INDEX('Global Constants'!BG$24:BG$33,$F10))</f>
        <v>0</v>
      </c>
      <c r="BO10" s="26">
        <f ca="1">IF($C10="","",'Constant Ecs GBP'!BO10*INDEX('Global Constants'!BH$24:BH$33,$F10))</f>
        <v>0</v>
      </c>
      <c r="BP10" s="26">
        <f ca="1">IF($C10="","",'Constant Ecs GBP'!BP10*INDEX('Global Constants'!BI$24:BI$33,$F10))</f>
        <v>0</v>
      </c>
      <c r="BQ10" s="26">
        <f ca="1">IF($C10="","",'Constant Ecs GBP'!BQ10*INDEX('Global Constants'!BJ$24:BJ$33,$F10))</f>
        <v>0</v>
      </c>
      <c r="BR10" s="26">
        <f ca="1">IF($C10="","",'Constant Ecs GBP'!BR10*INDEX('Global Constants'!BK$24:BK$33,$F10))</f>
        <v>0</v>
      </c>
      <c r="BS10" s="26">
        <f ca="1">IF($C10="","",'Constant Ecs GBP'!BS10*INDEX('Global Constants'!BL$24:BL$33,$F10))</f>
        <v>0</v>
      </c>
      <c r="BT10" s="26">
        <f ca="1">IF($C10="","",'Constant Ecs GBP'!BT10*INDEX('Global Constants'!BM$24:BM$33,$F10))</f>
        <v>0</v>
      </c>
      <c r="BU10" s="26">
        <f ca="1">IF($C10="","",'Constant Ecs GBP'!BU10*INDEX('Global Constants'!BN$24:BN$33,$F10))</f>
        <v>0</v>
      </c>
      <c r="BV10" s="26">
        <f ca="1">IF($C10="","",'Constant Ecs GBP'!BV10*INDEX('Global Constants'!BO$24:BO$33,$F10))</f>
        <v>0</v>
      </c>
      <c r="BW10" s="26">
        <f ca="1">IF($C10="","",'Constant Ecs GBP'!BW10*INDEX('Global Constants'!BP$24:BP$33,$F10))</f>
        <v>0</v>
      </c>
      <c r="BX10" s="26">
        <f ca="1">IF($C10="","",'Constant Ecs GBP'!BX10*INDEX('Global Constants'!BQ$24:BQ$33,$F10))</f>
        <v>0</v>
      </c>
      <c r="BY10" s="26">
        <f ca="1">IF($C10="","",'Constant Ecs GBP'!BY10*INDEX('Global Constants'!BR$24:BR$33,$F10))</f>
        <v>0</v>
      </c>
      <c r="BZ10" s="26">
        <f ca="1">IF($C10="","",'Constant Ecs GBP'!BZ10*INDEX('Global Constants'!BS$24:BS$33,$F10))</f>
        <v>0</v>
      </c>
      <c r="CA10" s="26">
        <f ca="1">IF($C10="","",'Constant Ecs GBP'!CA10*INDEX('Global Constants'!BT$24:BT$33,$F10))</f>
        <v>0</v>
      </c>
      <c r="CB10" s="26">
        <f ca="1">IF($C10="","",'Constant Ecs GBP'!CB10*INDEX('Global Constants'!BU$24:BU$33,$F10))</f>
        <v>0</v>
      </c>
      <c r="CC10" s="26">
        <f ca="1">IF($C10="","",'Constant Ecs GBP'!CC10*INDEX('Global Constants'!BV$24:BV$33,$F10))</f>
        <v>0</v>
      </c>
      <c r="CD10" s="26">
        <f ca="1">IF($C10="","",'Constant Ecs GBP'!CD10*INDEX('Global Constants'!BW$24:BW$33,$F10))</f>
        <v>0</v>
      </c>
      <c r="CE10" s="26">
        <f ca="1">IF($C10="","",'Constant Ecs GBP'!CE10*INDEX('Global Constants'!BX$24:BX$33,$F10))</f>
        <v>0</v>
      </c>
      <c r="CF10" s="26">
        <f ca="1">IF($C10="","",'Constant Ecs GBP'!CF10*INDEX('Global Constants'!BY$24:BY$33,$F10))</f>
        <v>0</v>
      </c>
      <c r="CG10" s="26">
        <f ca="1">IF($C10="","",'Constant Ecs GBP'!CG10*INDEX('Global Constants'!BZ$24:BZ$33,$F10))</f>
        <v>0</v>
      </c>
      <c r="CH10" s="26">
        <f ca="1">IF($C10="","",'Constant Ecs GBP'!CH10*INDEX('Global Constants'!CA$24:CA$33,$F10))</f>
        <v>0</v>
      </c>
      <c r="CI10" s="26">
        <f ca="1">IF($C10="","",'Constant Ecs GBP'!CI10*INDEX('Global Constants'!CB$24:CB$33,$F10))</f>
        <v>0</v>
      </c>
      <c r="CJ10" s="26">
        <f ca="1">IF($C10="","",'Constant Ecs GBP'!CJ10*INDEX('Global Constants'!CC$24:CC$33,$F10))</f>
        <v>0</v>
      </c>
      <c r="CK10" s="26">
        <f ca="1">IF($C10="","",'Constant Ecs GBP'!CK10*INDEX('Global Constants'!CD$24:CD$33,$F10))</f>
        <v>0</v>
      </c>
      <c r="CL10" s="26">
        <f ca="1">IF($C10="","",'Constant Ecs GBP'!CL10*INDEX('Global Constants'!CE$24:CE$33,$F10))</f>
        <v>0</v>
      </c>
      <c r="CM10" s="26">
        <f ca="1">IF($C10="","",'Constant Ecs GBP'!CM10*INDEX('Global Constants'!CF$24:CF$33,$F10))</f>
        <v>0</v>
      </c>
      <c r="CN10" s="26">
        <f ca="1">IF($C10="","",'Constant Ecs GBP'!CN10*INDEX('Global Constants'!CG$24:CG$33,$F10))</f>
        <v>0</v>
      </c>
      <c r="CO10" s="26">
        <f ca="1">IF($C10="","",'Constant Ecs GBP'!CO10*INDEX('Global Constants'!CH$24:CH$33,$F10))</f>
        <v>0</v>
      </c>
      <c r="CP10" s="26">
        <f ca="1">IF($C10="","",'Constant Ecs GBP'!CP10*INDEX('Global Constants'!CI$24:CI$33,$F10))</f>
        <v>0</v>
      </c>
      <c r="CQ10" s="26">
        <f ca="1">IF($C10="","",'Constant Ecs GBP'!CQ10*INDEX('Global Constants'!CJ$24:CJ$33,$F10))</f>
        <v>0</v>
      </c>
      <c r="CR10" s="26">
        <f ca="1">IF($C10="","",'Constant Ecs GBP'!CR10*INDEX('Global Constants'!CK$24:CK$33,$F10))</f>
        <v>0</v>
      </c>
      <c r="CS10" s="26">
        <f ca="1">IF($C10="","",'Constant Ecs GBP'!CS10*INDEX('Global Constants'!CL$24:CL$33,$F10))</f>
        <v>0</v>
      </c>
      <c r="CT10" s="26">
        <f ca="1">IF($C10="","",'Constant Ecs GBP'!CT10*INDEX('Global Constants'!CM$24:CM$33,$F10))</f>
        <v>0</v>
      </c>
      <c r="CU10" s="26">
        <f ca="1">IF($C10="","",'Constant Ecs GBP'!CU10*INDEX('Global Constants'!CN$24:CN$33,$F10))</f>
        <v>0</v>
      </c>
      <c r="CV10" s="26">
        <f ca="1">IF($C10="","",'Constant Ecs GBP'!CV10*INDEX('Global Constants'!CO$24:CO$33,$F10))</f>
        <v>0</v>
      </c>
      <c r="CW10" s="26">
        <f ca="1">IF($C10="","",'Constant Ecs GBP'!CW10*INDEX('Global Constants'!CP$24:CP$33,$F10))</f>
        <v>0</v>
      </c>
      <c r="CX10" s="26">
        <f ca="1">IF($C10="","",'Constant Ecs GBP'!CX10*INDEX('Global Constants'!CQ$24:CQ$33,$F10))</f>
        <v>0</v>
      </c>
      <c r="CZ10" s="26">
        <f t="shared" ca="1" si="1"/>
        <v>0</v>
      </c>
      <c r="DA10" s="26">
        <f t="shared" ref="DA10:DA38" ca="1" si="2">SUM(M10:CX10)</f>
        <v>2000</v>
      </c>
    </row>
    <row r="11" spans="1:105" x14ac:dyDescent="0.3">
      <c r="C11" s="4" t="str">
        <f>IF('Cost &amp; Risk Inputs'!C12="","",'Cost &amp; Risk Inputs'!C12)</f>
        <v>Test 3</v>
      </c>
      <c r="D11" s="4" t="str">
        <f>IF(C11="","",'Cost &amp; Risk Inputs'!F12)</f>
        <v>No Inflation</v>
      </c>
      <c r="F11" s="18">
        <f t="shared" si="0"/>
        <v>3</v>
      </c>
      <c r="M11" s="26">
        <f ca="1">IF($C11="","",'Constant Ecs GBP'!M11*INDEX('Global Constants'!F$24:F$33,$F11))</f>
        <v>0</v>
      </c>
      <c r="N11" s="26">
        <f ca="1">IF($C11="","",'Constant Ecs GBP'!N11*INDEX('Global Constants'!G$24:G$33,$F11))</f>
        <v>0</v>
      </c>
      <c r="O11" s="26">
        <f ca="1">IF($C11="","",'Constant Ecs GBP'!O11*INDEX('Global Constants'!H$24:H$33,$F11))</f>
        <v>0</v>
      </c>
      <c r="P11" s="26">
        <f ca="1">IF($C11="","",'Constant Ecs GBP'!P11*INDEX('Global Constants'!I$24:I$33,$F11))</f>
        <v>0</v>
      </c>
      <c r="Q11" s="26">
        <f ca="1">IF($C11="","",'Constant Ecs GBP'!Q11*INDEX('Global Constants'!J$24:J$33,$F11))</f>
        <v>0</v>
      </c>
      <c r="R11" s="26">
        <f ca="1">IF($C11="","",'Constant Ecs GBP'!R11*INDEX('Global Constants'!K$24:K$33,$F11))</f>
        <v>0</v>
      </c>
      <c r="S11" s="26">
        <f ca="1">IF($C11="","",'Constant Ecs GBP'!S11*INDEX('Global Constants'!L$24:L$33,$F11))</f>
        <v>0</v>
      </c>
      <c r="T11" s="26">
        <f ca="1">IF($C11="","",'Constant Ecs GBP'!T11*INDEX('Global Constants'!M$24:M$33,$F11))</f>
        <v>0</v>
      </c>
      <c r="U11" s="26">
        <f ca="1">IF($C11="","",'Constant Ecs GBP'!U11*INDEX('Global Constants'!N$24:N$33,$F11))</f>
        <v>0</v>
      </c>
      <c r="V11" s="26">
        <f ca="1">IF($C11="","",'Constant Ecs GBP'!V11*INDEX('Global Constants'!O$24:O$33,$F11))</f>
        <v>0</v>
      </c>
      <c r="W11" s="26">
        <f ca="1">IF($C11="","",'Constant Ecs GBP'!W11*INDEX('Global Constants'!P$24:P$33,$F11))</f>
        <v>0</v>
      </c>
      <c r="X11" s="26">
        <f ca="1">IF($C11="","",'Constant Ecs GBP'!X11*INDEX('Global Constants'!Q$24:Q$33,$F11))</f>
        <v>0</v>
      </c>
      <c r="Y11" s="26">
        <f ca="1">IF($C11="","",'Constant Ecs GBP'!Y11*INDEX('Global Constants'!R$24:R$33,$F11))</f>
        <v>0</v>
      </c>
      <c r="Z11" s="26">
        <f ca="1">IF($C11="","",'Constant Ecs GBP'!Z11*INDEX('Global Constants'!S$24:S$33,$F11))</f>
        <v>0</v>
      </c>
      <c r="AA11" s="26">
        <f ca="1">IF($C11="","",'Constant Ecs GBP'!AA11*INDEX('Global Constants'!T$24:T$33,$F11))</f>
        <v>0</v>
      </c>
      <c r="AB11" s="26">
        <f ca="1">IF($C11="","",'Constant Ecs GBP'!AB11*INDEX('Global Constants'!U$24:U$33,$F11))</f>
        <v>0</v>
      </c>
      <c r="AC11" s="26">
        <f ca="1">IF($C11="","",'Constant Ecs GBP'!AC11*INDEX('Global Constants'!V$24:V$33,$F11))</f>
        <v>0</v>
      </c>
      <c r="AD11" s="26">
        <f ca="1">IF($C11="","",'Constant Ecs GBP'!AD11*INDEX('Global Constants'!W$24:W$33,$F11))</f>
        <v>0</v>
      </c>
      <c r="AE11" s="26">
        <f ca="1">IF($C11="","",'Constant Ecs GBP'!AE11*INDEX('Global Constants'!X$24:X$33,$F11))</f>
        <v>0</v>
      </c>
      <c r="AF11" s="26">
        <f ca="1">IF($C11="","",'Constant Ecs GBP'!AF11*INDEX('Global Constants'!Y$24:Y$33,$F11))</f>
        <v>2000</v>
      </c>
      <c r="AG11" s="26">
        <f ca="1">IF($C11="","",'Constant Ecs GBP'!AG11*INDEX('Global Constants'!Z$24:Z$33,$F11))</f>
        <v>0</v>
      </c>
      <c r="AH11" s="26">
        <f ca="1">IF($C11="","",'Constant Ecs GBP'!AH11*INDEX('Global Constants'!AA$24:AA$33,$F11))</f>
        <v>0</v>
      </c>
      <c r="AI11" s="26">
        <f ca="1">IF($C11="","",'Constant Ecs GBP'!AI11*INDEX('Global Constants'!AB$24:AB$33,$F11))</f>
        <v>0</v>
      </c>
      <c r="AJ11" s="26">
        <f ca="1">IF($C11="","",'Constant Ecs GBP'!AJ11*INDEX('Global Constants'!AC$24:AC$33,$F11))</f>
        <v>0</v>
      </c>
      <c r="AK11" s="26">
        <f ca="1">IF($C11="","",'Constant Ecs GBP'!AK11*INDEX('Global Constants'!AD$24:AD$33,$F11))</f>
        <v>0</v>
      </c>
      <c r="AL11" s="26">
        <f ca="1">IF($C11="","",'Constant Ecs GBP'!AL11*INDEX('Global Constants'!AE$24:AE$33,$F11))</f>
        <v>0</v>
      </c>
      <c r="AM11" s="26">
        <f ca="1">IF($C11="","",'Constant Ecs GBP'!AM11*INDEX('Global Constants'!AF$24:AF$33,$F11))</f>
        <v>0</v>
      </c>
      <c r="AN11" s="26">
        <f ca="1">IF($C11="","",'Constant Ecs GBP'!AN11*INDEX('Global Constants'!AG$24:AG$33,$F11))</f>
        <v>0</v>
      </c>
      <c r="AO11" s="26">
        <f ca="1">IF($C11="","",'Constant Ecs GBP'!AO11*INDEX('Global Constants'!AH$24:AH$33,$F11))</f>
        <v>0</v>
      </c>
      <c r="AP11" s="26">
        <f ca="1">IF($C11="","",'Constant Ecs GBP'!AP11*INDEX('Global Constants'!AI$24:AI$33,$F11))</f>
        <v>0</v>
      </c>
      <c r="AQ11" s="26">
        <f ca="1">IF($C11="","",'Constant Ecs GBP'!AQ11*INDEX('Global Constants'!AJ$24:AJ$33,$F11))</f>
        <v>0</v>
      </c>
      <c r="AR11" s="26">
        <f ca="1">IF($C11="","",'Constant Ecs GBP'!AR11*INDEX('Global Constants'!AK$24:AK$33,$F11))</f>
        <v>0</v>
      </c>
      <c r="AS11" s="26">
        <f ca="1">IF($C11="","",'Constant Ecs GBP'!AS11*INDEX('Global Constants'!AL$24:AL$33,$F11))</f>
        <v>0</v>
      </c>
      <c r="AT11" s="26">
        <f ca="1">IF($C11="","",'Constant Ecs GBP'!AT11*INDEX('Global Constants'!AM$24:AM$33,$F11))</f>
        <v>0</v>
      </c>
      <c r="AU11" s="26">
        <f ca="1">IF($C11="","",'Constant Ecs GBP'!AU11*INDEX('Global Constants'!AN$24:AN$33,$F11))</f>
        <v>0</v>
      </c>
      <c r="AV11" s="26">
        <f ca="1">IF($C11="","",'Constant Ecs GBP'!AV11*INDEX('Global Constants'!AO$24:AO$33,$F11))</f>
        <v>0</v>
      </c>
      <c r="AW11" s="26">
        <f ca="1">IF($C11="","",'Constant Ecs GBP'!AW11*INDEX('Global Constants'!AP$24:AP$33,$F11))</f>
        <v>0</v>
      </c>
      <c r="AX11" s="26">
        <f ca="1">IF($C11="","",'Constant Ecs GBP'!AX11*INDEX('Global Constants'!AQ$24:AQ$33,$F11))</f>
        <v>0</v>
      </c>
      <c r="AY11" s="26">
        <f ca="1">IF($C11="","",'Constant Ecs GBP'!AY11*INDEX('Global Constants'!AR$24:AR$33,$F11))</f>
        <v>0</v>
      </c>
      <c r="AZ11" s="26">
        <f ca="1">IF($C11="","",'Constant Ecs GBP'!AZ11*INDEX('Global Constants'!AS$24:AS$33,$F11))</f>
        <v>0</v>
      </c>
      <c r="BA11" s="26">
        <f ca="1">IF($C11="","",'Constant Ecs GBP'!BA11*INDEX('Global Constants'!AT$24:AT$33,$F11))</f>
        <v>0</v>
      </c>
      <c r="BB11" s="26">
        <f ca="1">IF($C11="","",'Constant Ecs GBP'!BB11*INDEX('Global Constants'!AU$24:AU$33,$F11))</f>
        <v>0</v>
      </c>
      <c r="BC11" s="26">
        <f ca="1">IF($C11="","",'Constant Ecs GBP'!BC11*INDEX('Global Constants'!AV$24:AV$33,$F11))</f>
        <v>0</v>
      </c>
      <c r="BD11" s="26">
        <f ca="1">IF($C11="","",'Constant Ecs GBP'!BD11*INDEX('Global Constants'!AW$24:AW$33,$F11))</f>
        <v>0</v>
      </c>
      <c r="BE11" s="26">
        <f ca="1">IF($C11="","",'Constant Ecs GBP'!BE11*INDEX('Global Constants'!AX$24:AX$33,$F11))</f>
        <v>0</v>
      </c>
      <c r="BF11" s="26">
        <f ca="1">IF($C11="","",'Constant Ecs GBP'!BF11*INDEX('Global Constants'!AY$24:AY$33,$F11))</f>
        <v>0</v>
      </c>
      <c r="BG11" s="26">
        <f ca="1">IF($C11="","",'Constant Ecs GBP'!BG11*INDEX('Global Constants'!AZ$24:AZ$33,$F11))</f>
        <v>0</v>
      </c>
      <c r="BH11" s="26">
        <f ca="1">IF($C11="","",'Constant Ecs GBP'!BH11*INDEX('Global Constants'!BA$24:BA$33,$F11))</f>
        <v>0</v>
      </c>
      <c r="BI11" s="26">
        <f ca="1">IF($C11="","",'Constant Ecs GBP'!BI11*INDEX('Global Constants'!BB$24:BB$33,$F11))</f>
        <v>0</v>
      </c>
      <c r="BJ11" s="26">
        <f ca="1">IF($C11="","",'Constant Ecs GBP'!BJ11*INDEX('Global Constants'!BC$24:BC$33,$F11))</f>
        <v>0</v>
      </c>
      <c r="BK11" s="26">
        <f ca="1">IF($C11="","",'Constant Ecs GBP'!BK11*INDEX('Global Constants'!BD$24:BD$33,$F11))</f>
        <v>0</v>
      </c>
      <c r="BL11" s="26">
        <f ca="1">IF($C11="","",'Constant Ecs GBP'!BL11*INDEX('Global Constants'!BE$24:BE$33,$F11))</f>
        <v>0</v>
      </c>
      <c r="BM11" s="26">
        <f ca="1">IF($C11="","",'Constant Ecs GBP'!BM11*INDEX('Global Constants'!BF$24:BF$33,$F11))</f>
        <v>0</v>
      </c>
      <c r="BN11" s="26">
        <f ca="1">IF($C11="","",'Constant Ecs GBP'!BN11*INDEX('Global Constants'!BG$24:BG$33,$F11))</f>
        <v>0</v>
      </c>
      <c r="BO11" s="26">
        <f ca="1">IF($C11="","",'Constant Ecs GBP'!BO11*INDEX('Global Constants'!BH$24:BH$33,$F11))</f>
        <v>0</v>
      </c>
      <c r="BP11" s="26">
        <f ca="1">IF($C11="","",'Constant Ecs GBP'!BP11*INDEX('Global Constants'!BI$24:BI$33,$F11))</f>
        <v>0</v>
      </c>
      <c r="BQ11" s="26">
        <f ca="1">IF($C11="","",'Constant Ecs GBP'!BQ11*INDEX('Global Constants'!BJ$24:BJ$33,$F11))</f>
        <v>0</v>
      </c>
      <c r="BR11" s="26">
        <f ca="1">IF($C11="","",'Constant Ecs GBP'!BR11*INDEX('Global Constants'!BK$24:BK$33,$F11))</f>
        <v>0</v>
      </c>
      <c r="BS11" s="26">
        <f ca="1">IF($C11="","",'Constant Ecs GBP'!BS11*INDEX('Global Constants'!BL$24:BL$33,$F11))</f>
        <v>0</v>
      </c>
      <c r="BT11" s="26">
        <f ca="1">IF($C11="","",'Constant Ecs GBP'!BT11*INDEX('Global Constants'!BM$24:BM$33,$F11))</f>
        <v>0</v>
      </c>
      <c r="BU11" s="26">
        <f ca="1">IF($C11="","",'Constant Ecs GBP'!BU11*INDEX('Global Constants'!BN$24:BN$33,$F11))</f>
        <v>0</v>
      </c>
      <c r="BV11" s="26">
        <f ca="1">IF($C11="","",'Constant Ecs GBP'!BV11*INDEX('Global Constants'!BO$24:BO$33,$F11))</f>
        <v>0</v>
      </c>
      <c r="BW11" s="26">
        <f ca="1">IF($C11="","",'Constant Ecs GBP'!BW11*INDEX('Global Constants'!BP$24:BP$33,$F11))</f>
        <v>0</v>
      </c>
      <c r="BX11" s="26">
        <f ca="1">IF($C11="","",'Constant Ecs GBP'!BX11*INDEX('Global Constants'!BQ$24:BQ$33,$F11))</f>
        <v>0</v>
      </c>
      <c r="BY11" s="26">
        <f ca="1">IF($C11="","",'Constant Ecs GBP'!BY11*INDEX('Global Constants'!BR$24:BR$33,$F11))</f>
        <v>0</v>
      </c>
      <c r="BZ11" s="26">
        <f ca="1">IF($C11="","",'Constant Ecs GBP'!BZ11*INDEX('Global Constants'!BS$24:BS$33,$F11))</f>
        <v>0</v>
      </c>
      <c r="CA11" s="26">
        <f ca="1">IF($C11="","",'Constant Ecs GBP'!CA11*INDEX('Global Constants'!BT$24:BT$33,$F11))</f>
        <v>0</v>
      </c>
      <c r="CB11" s="26">
        <f ca="1">IF($C11="","",'Constant Ecs GBP'!CB11*INDEX('Global Constants'!BU$24:BU$33,$F11))</f>
        <v>0</v>
      </c>
      <c r="CC11" s="26">
        <f ca="1">IF($C11="","",'Constant Ecs GBP'!CC11*INDEX('Global Constants'!BV$24:BV$33,$F11))</f>
        <v>0</v>
      </c>
      <c r="CD11" s="26">
        <f ca="1">IF($C11="","",'Constant Ecs GBP'!CD11*INDEX('Global Constants'!BW$24:BW$33,$F11))</f>
        <v>0</v>
      </c>
      <c r="CE11" s="26">
        <f ca="1">IF($C11="","",'Constant Ecs GBP'!CE11*INDEX('Global Constants'!BX$24:BX$33,$F11))</f>
        <v>0</v>
      </c>
      <c r="CF11" s="26">
        <f ca="1">IF($C11="","",'Constant Ecs GBP'!CF11*INDEX('Global Constants'!BY$24:BY$33,$F11))</f>
        <v>0</v>
      </c>
      <c r="CG11" s="26">
        <f ca="1">IF($C11="","",'Constant Ecs GBP'!CG11*INDEX('Global Constants'!BZ$24:BZ$33,$F11))</f>
        <v>0</v>
      </c>
      <c r="CH11" s="26">
        <f ca="1">IF($C11="","",'Constant Ecs GBP'!CH11*INDEX('Global Constants'!CA$24:CA$33,$F11))</f>
        <v>0</v>
      </c>
      <c r="CI11" s="26">
        <f ca="1">IF($C11="","",'Constant Ecs GBP'!CI11*INDEX('Global Constants'!CB$24:CB$33,$F11))</f>
        <v>0</v>
      </c>
      <c r="CJ11" s="26">
        <f ca="1">IF($C11="","",'Constant Ecs GBP'!CJ11*INDEX('Global Constants'!CC$24:CC$33,$F11))</f>
        <v>0</v>
      </c>
      <c r="CK11" s="26">
        <f ca="1">IF($C11="","",'Constant Ecs GBP'!CK11*INDEX('Global Constants'!CD$24:CD$33,$F11))</f>
        <v>0</v>
      </c>
      <c r="CL11" s="26">
        <f ca="1">IF($C11="","",'Constant Ecs GBP'!CL11*INDEX('Global Constants'!CE$24:CE$33,$F11))</f>
        <v>0</v>
      </c>
      <c r="CM11" s="26">
        <f ca="1">IF($C11="","",'Constant Ecs GBP'!CM11*INDEX('Global Constants'!CF$24:CF$33,$F11))</f>
        <v>0</v>
      </c>
      <c r="CN11" s="26">
        <f ca="1">IF($C11="","",'Constant Ecs GBP'!CN11*INDEX('Global Constants'!CG$24:CG$33,$F11))</f>
        <v>0</v>
      </c>
      <c r="CO11" s="26">
        <f ca="1">IF($C11="","",'Constant Ecs GBP'!CO11*INDEX('Global Constants'!CH$24:CH$33,$F11))</f>
        <v>0</v>
      </c>
      <c r="CP11" s="26">
        <f ca="1">IF($C11="","",'Constant Ecs GBP'!CP11*INDEX('Global Constants'!CI$24:CI$33,$F11))</f>
        <v>0</v>
      </c>
      <c r="CQ11" s="26">
        <f ca="1">IF($C11="","",'Constant Ecs GBP'!CQ11*INDEX('Global Constants'!CJ$24:CJ$33,$F11))</f>
        <v>0</v>
      </c>
      <c r="CR11" s="26">
        <f ca="1">IF($C11="","",'Constant Ecs GBP'!CR11*INDEX('Global Constants'!CK$24:CK$33,$F11))</f>
        <v>0</v>
      </c>
      <c r="CS11" s="26">
        <f ca="1">IF($C11="","",'Constant Ecs GBP'!CS11*INDEX('Global Constants'!CL$24:CL$33,$F11))</f>
        <v>0</v>
      </c>
      <c r="CT11" s="26">
        <f ca="1">IF($C11="","",'Constant Ecs GBP'!CT11*INDEX('Global Constants'!CM$24:CM$33,$F11))</f>
        <v>0</v>
      </c>
      <c r="CU11" s="26">
        <f ca="1">IF($C11="","",'Constant Ecs GBP'!CU11*INDEX('Global Constants'!CN$24:CN$33,$F11))</f>
        <v>0</v>
      </c>
      <c r="CV11" s="26">
        <f ca="1">IF($C11="","",'Constant Ecs GBP'!CV11*INDEX('Global Constants'!CO$24:CO$33,$F11))</f>
        <v>0</v>
      </c>
      <c r="CW11" s="26">
        <f ca="1">IF($C11="","",'Constant Ecs GBP'!CW11*INDEX('Global Constants'!CP$24:CP$33,$F11))</f>
        <v>0</v>
      </c>
      <c r="CX11" s="26">
        <f ca="1">IF($C11="","",'Constant Ecs GBP'!CX11*INDEX('Global Constants'!CQ$24:CQ$33,$F11))</f>
        <v>0</v>
      </c>
      <c r="CZ11" s="26">
        <f t="shared" ca="1" si="1"/>
        <v>0</v>
      </c>
      <c r="DA11" s="26">
        <f t="shared" ca="1" si="2"/>
        <v>2000</v>
      </c>
    </row>
    <row r="12" spans="1:105" x14ac:dyDescent="0.3">
      <c r="C12" s="4" t="str">
        <f>IF('Cost &amp; Risk Inputs'!C13="","",'Cost &amp; Risk Inputs'!C13)</f>
        <v>Test 4</v>
      </c>
      <c r="D12" s="4" t="str">
        <f>IF(C12="","",'Cost &amp; Risk Inputs'!F13)</f>
        <v>No Inflation</v>
      </c>
      <c r="F12" s="18">
        <f t="shared" si="0"/>
        <v>3</v>
      </c>
      <c r="M12" s="26">
        <f ca="1">IF($C12="","",'Constant Ecs GBP'!M12*INDEX('Global Constants'!F$24:F$33,$F12))</f>
        <v>0</v>
      </c>
      <c r="N12" s="26">
        <f ca="1">IF($C12="","",'Constant Ecs GBP'!N12*INDEX('Global Constants'!G$24:G$33,$F12))</f>
        <v>0</v>
      </c>
      <c r="O12" s="26">
        <f ca="1">IF($C12="","",'Constant Ecs GBP'!O12*INDEX('Global Constants'!H$24:H$33,$F12))</f>
        <v>0</v>
      </c>
      <c r="P12" s="26">
        <f ca="1">IF($C12="","",'Constant Ecs GBP'!P12*INDEX('Global Constants'!I$24:I$33,$F12))</f>
        <v>0</v>
      </c>
      <c r="Q12" s="26">
        <f ca="1">IF($C12="","",'Constant Ecs GBP'!Q12*INDEX('Global Constants'!J$24:J$33,$F12))</f>
        <v>0</v>
      </c>
      <c r="R12" s="26">
        <f ca="1">IF($C12="","",'Constant Ecs GBP'!R12*INDEX('Global Constants'!K$24:K$33,$F12))</f>
        <v>0</v>
      </c>
      <c r="S12" s="26">
        <f ca="1">IF($C12="","",'Constant Ecs GBP'!S12*INDEX('Global Constants'!L$24:L$33,$F12))</f>
        <v>0</v>
      </c>
      <c r="T12" s="26">
        <f ca="1">IF($C12="","",'Constant Ecs GBP'!T12*INDEX('Global Constants'!M$24:M$33,$F12))</f>
        <v>0</v>
      </c>
      <c r="U12" s="26">
        <f ca="1">IF($C12="","",'Constant Ecs GBP'!U12*INDEX('Global Constants'!N$24:N$33,$F12))</f>
        <v>0</v>
      </c>
      <c r="V12" s="26">
        <f ca="1">IF($C12="","",'Constant Ecs GBP'!V12*INDEX('Global Constants'!O$24:O$33,$F12))</f>
        <v>0</v>
      </c>
      <c r="W12" s="26">
        <f ca="1">IF($C12="","",'Constant Ecs GBP'!W12*INDEX('Global Constants'!P$24:P$33,$F12))</f>
        <v>0</v>
      </c>
      <c r="X12" s="26">
        <f ca="1">IF($C12="","",'Constant Ecs GBP'!X12*INDEX('Global Constants'!Q$24:Q$33,$F12))</f>
        <v>0</v>
      </c>
      <c r="Y12" s="26">
        <f ca="1">IF($C12="","",'Constant Ecs GBP'!Y12*INDEX('Global Constants'!R$24:R$33,$F12))</f>
        <v>0</v>
      </c>
      <c r="Z12" s="26">
        <f ca="1">IF($C12="","",'Constant Ecs GBP'!Z12*INDEX('Global Constants'!S$24:S$33,$F12))</f>
        <v>0</v>
      </c>
      <c r="AA12" s="26">
        <f ca="1">IF($C12="","",'Constant Ecs GBP'!AA12*INDEX('Global Constants'!T$24:T$33,$F12))</f>
        <v>0</v>
      </c>
      <c r="AB12" s="26">
        <f ca="1">IF($C12="","",'Constant Ecs GBP'!AB12*INDEX('Global Constants'!U$24:U$33,$F12))</f>
        <v>0</v>
      </c>
      <c r="AC12" s="26">
        <f ca="1">IF($C12="","",'Constant Ecs GBP'!AC12*INDEX('Global Constants'!V$24:V$33,$F12))</f>
        <v>0</v>
      </c>
      <c r="AD12" s="26">
        <f ca="1">IF($C12="","",'Constant Ecs GBP'!AD12*INDEX('Global Constants'!W$24:W$33,$F12))</f>
        <v>0</v>
      </c>
      <c r="AE12" s="26">
        <f ca="1">IF($C12="","",'Constant Ecs GBP'!AE12*INDEX('Global Constants'!X$24:X$33,$F12))</f>
        <v>0</v>
      </c>
      <c r="AF12" s="26">
        <f ca="1">IF($C12="","",'Constant Ecs GBP'!AF12*INDEX('Global Constants'!Y$24:Y$33,$F12))</f>
        <v>0</v>
      </c>
      <c r="AG12" s="26">
        <f ca="1">IF($C12="","",'Constant Ecs GBP'!AG12*INDEX('Global Constants'!Z$24:Z$33,$F12))</f>
        <v>2000</v>
      </c>
      <c r="AH12" s="26">
        <f ca="1">IF($C12="","",'Constant Ecs GBP'!AH12*INDEX('Global Constants'!AA$24:AA$33,$F12))</f>
        <v>0</v>
      </c>
      <c r="AI12" s="26">
        <f ca="1">IF($C12="","",'Constant Ecs GBP'!AI12*INDEX('Global Constants'!AB$24:AB$33,$F12))</f>
        <v>0</v>
      </c>
      <c r="AJ12" s="26">
        <f ca="1">IF($C12="","",'Constant Ecs GBP'!AJ12*INDEX('Global Constants'!AC$24:AC$33,$F12))</f>
        <v>0</v>
      </c>
      <c r="AK12" s="26">
        <f ca="1">IF($C12="","",'Constant Ecs GBP'!AK12*INDEX('Global Constants'!AD$24:AD$33,$F12))</f>
        <v>0</v>
      </c>
      <c r="AL12" s="26">
        <f ca="1">IF($C12="","",'Constant Ecs GBP'!AL12*INDEX('Global Constants'!AE$24:AE$33,$F12))</f>
        <v>0</v>
      </c>
      <c r="AM12" s="26">
        <f ca="1">IF($C12="","",'Constant Ecs GBP'!AM12*INDEX('Global Constants'!AF$24:AF$33,$F12))</f>
        <v>0</v>
      </c>
      <c r="AN12" s="26">
        <f ca="1">IF($C12="","",'Constant Ecs GBP'!AN12*INDEX('Global Constants'!AG$24:AG$33,$F12))</f>
        <v>0</v>
      </c>
      <c r="AO12" s="26">
        <f ca="1">IF($C12="","",'Constant Ecs GBP'!AO12*INDEX('Global Constants'!AH$24:AH$33,$F12))</f>
        <v>0</v>
      </c>
      <c r="AP12" s="26">
        <f ca="1">IF($C12="","",'Constant Ecs GBP'!AP12*INDEX('Global Constants'!AI$24:AI$33,$F12))</f>
        <v>0</v>
      </c>
      <c r="AQ12" s="26">
        <f ca="1">IF($C12="","",'Constant Ecs GBP'!AQ12*INDEX('Global Constants'!AJ$24:AJ$33,$F12))</f>
        <v>0</v>
      </c>
      <c r="AR12" s="26">
        <f ca="1">IF($C12="","",'Constant Ecs GBP'!AR12*INDEX('Global Constants'!AK$24:AK$33,$F12))</f>
        <v>0</v>
      </c>
      <c r="AS12" s="26">
        <f ca="1">IF($C12="","",'Constant Ecs GBP'!AS12*INDEX('Global Constants'!AL$24:AL$33,$F12))</f>
        <v>0</v>
      </c>
      <c r="AT12" s="26">
        <f ca="1">IF($C12="","",'Constant Ecs GBP'!AT12*INDEX('Global Constants'!AM$24:AM$33,$F12))</f>
        <v>0</v>
      </c>
      <c r="AU12" s="26">
        <f ca="1">IF($C12="","",'Constant Ecs GBP'!AU12*INDEX('Global Constants'!AN$24:AN$33,$F12))</f>
        <v>0</v>
      </c>
      <c r="AV12" s="26">
        <f ca="1">IF($C12="","",'Constant Ecs GBP'!AV12*INDEX('Global Constants'!AO$24:AO$33,$F12))</f>
        <v>0</v>
      </c>
      <c r="AW12" s="26">
        <f ca="1">IF($C12="","",'Constant Ecs GBP'!AW12*INDEX('Global Constants'!AP$24:AP$33,$F12))</f>
        <v>0</v>
      </c>
      <c r="AX12" s="26">
        <f ca="1">IF($C12="","",'Constant Ecs GBP'!AX12*INDEX('Global Constants'!AQ$24:AQ$33,$F12))</f>
        <v>0</v>
      </c>
      <c r="AY12" s="26">
        <f ca="1">IF($C12="","",'Constant Ecs GBP'!AY12*INDEX('Global Constants'!AR$24:AR$33,$F12))</f>
        <v>0</v>
      </c>
      <c r="AZ12" s="26">
        <f ca="1">IF($C12="","",'Constant Ecs GBP'!AZ12*INDEX('Global Constants'!AS$24:AS$33,$F12))</f>
        <v>0</v>
      </c>
      <c r="BA12" s="26">
        <f ca="1">IF($C12="","",'Constant Ecs GBP'!BA12*INDEX('Global Constants'!AT$24:AT$33,$F12))</f>
        <v>0</v>
      </c>
      <c r="BB12" s="26">
        <f ca="1">IF($C12="","",'Constant Ecs GBP'!BB12*INDEX('Global Constants'!AU$24:AU$33,$F12))</f>
        <v>0</v>
      </c>
      <c r="BC12" s="26">
        <f ca="1">IF($C12="","",'Constant Ecs GBP'!BC12*INDEX('Global Constants'!AV$24:AV$33,$F12))</f>
        <v>0</v>
      </c>
      <c r="BD12" s="26">
        <f ca="1">IF($C12="","",'Constant Ecs GBP'!BD12*INDEX('Global Constants'!AW$24:AW$33,$F12))</f>
        <v>0</v>
      </c>
      <c r="BE12" s="26">
        <f ca="1">IF($C12="","",'Constant Ecs GBP'!BE12*INDEX('Global Constants'!AX$24:AX$33,$F12))</f>
        <v>0</v>
      </c>
      <c r="BF12" s="26">
        <f ca="1">IF($C12="","",'Constant Ecs GBP'!BF12*INDEX('Global Constants'!AY$24:AY$33,$F12))</f>
        <v>0</v>
      </c>
      <c r="BG12" s="26">
        <f ca="1">IF($C12="","",'Constant Ecs GBP'!BG12*INDEX('Global Constants'!AZ$24:AZ$33,$F12))</f>
        <v>0</v>
      </c>
      <c r="BH12" s="26">
        <f ca="1">IF($C12="","",'Constant Ecs GBP'!BH12*INDEX('Global Constants'!BA$24:BA$33,$F12))</f>
        <v>0</v>
      </c>
      <c r="BI12" s="26">
        <f ca="1">IF($C12="","",'Constant Ecs GBP'!BI12*INDEX('Global Constants'!BB$24:BB$33,$F12))</f>
        <v>0</v>
      </c>
      <c r="BJ12" s="26">
        <f ca="1">IF($C12="","",'Constant Ecs GBP'!BJ12*INDEX('Global Constants'!BC$24:BC$33,$F12))</f>
        <v>0</v>
      </c>
      <c r="BK12" s="26">
        <f ca="1">IF($C12="","",'Constant Ecs GBP'!BK12*INDEX('Global Constants'!BD$24:BD$33,$F12))</f>
        <v>0</v>
      </c>
      <c r="BL12" s="26">
        <f ca="1">IF($C12="","",'Constant Ecs GBP'!BL12*INDEX('Global Constants'!BE$24:BE$33,$F12))</f>
        <v>0</v>
      </c>
      <c r="BM12" s="26">
        <f ca="1">IF($C12="","",'Constant Ecs GBP'!BM12*INDEX('Global Constants'!BF$24:BF$33,$F12))</f>
        <v>0</v>
      </c>
      <c r="BN12" s="26">
        <f ca="1">IF($C12="","",'Constant Ecs GBP'!BN12*INDEX('Global Constants'!BG$24:BG$33,$F12))</f>
        <v>0</v>
      </c>
      <c r="BO12" s="26">
        <f ca="1">IF($C12="","",'Constant Ecs GBP'!BO12*INDEX('Global Constants'!BH$24:BH$33,$F12))</f>
        <v>0</v>
      </c>
      <c r="BP12" s="26">
        <f ca="1">IF($C12="","",'Constant Ecs GBP'!BP12*INDEX('Global Constants'!BI$24:BI$33,$F12))</f>
        <v>0</v>
      </c>
      <c r="BQ12" s="26">
        <f ca="1">IF($C12="","",'Constant Ecs GBP'!BQ12*INDEX('Global Constants'!BJ$24:BJ$33,$F12))</f>
        <v>0</v>
      </c>
      <c r="BR12" s="26">
        <f ca="1">IF($C12="","",'Constant Ecs GBP'!BR12*INDEX('Global Constants'!BK$24:BK$33,$F12))</f>
        <v>0</v>
      </c>
      <c r="BS12" s="26">
        <f ca="1">IF($C12="","",'Constant Ecs GBP'!BS12*INDEX('Global Constants'!BL$24:BL$33,$F12))</f>
        <v>0</v>
      </c>
      <c r="BT12" s="26">
        <f ca="1">IF($C12="","",'Constant Ecs GBP'!BT12*INDEX('Global Constants'!BM$24:BM$33,$F12))</f>
        <v>0</v>
      </c>
      <c r="BU12" s="26">
        <f ca="1">IF($C12="","",'Constant Ecs GBP'!BU12*INDEX('Global Constants'!BN$24:BN$33,$F12))</f>
        <v>0</v>
      </c>
      <c r="BV12" s="26">
        <f ca="1">IF($C12="","",'Constant Ecs GBP'!BV12*INDEX('Global Constants'!BO$24:BO$33,$F12))</f>
        <v>0</v>
      </c>
      <c r="BW12" s="26">
        <f ca="1">IF($C12="","",'Constant Ecs GBP'!BW12*INDEX('Global Constants'!BP$24:BP$33,$F12))</f>
        <v>0</v>
      </c>
      <c r="BX12" s="26">
        <f ca="1">IF($C12="","",'Constant Ecs GBP'!BX12*INDEX('Global Constants'!BQ$24:BQ$33,$F12))</f>
        <v>0</v>
      </c>
      <c r="BY12" s="26">
        <f ca="1">IF($C12="","",'Constant Ecs GBP'!BY12*INDEX('Global Constants'!BR$24:BR$33,$F12))</f>
        <v>0</v>
      </c>
      <c r="BZ12" s="26">
        <f ca="1">IF($C12="","",'Constant Ecs GBP'!BZ12*INDEX('Global Constants'!BS$24:BS$33,$F12))</f>
        <v>0</v>
      </c>
      <c r="CA12" s="26">
        <f ca="1">IF($C12="","",'Constant Ecs GBP'!CA12*INDEX('Global Constants'!BT$24:BT$33,$F12))</f>
        <v>0</v>
      </c>
      <c r="CB12" s="26">
        <f ca="1">IF($C12="","",'Constant Ecs GBP'!CB12*INDEX('Global Constants'!BU$24:BU$33,$F12))</f>
        <v>0</v>
      </c>
      <c r="CC12" s="26">
        <f ca="1">IF($C12="","",'Constant Ecs GBP'!CC12*INDEX('Global Constants'!BV$24:BV$33,$F12))</f>
        <v>0</v>
      </c>
      <c r="CD12" s="26">
        <f ca="1">IF($C12="","",'Constant Ecs GBP'!CD12*INDEX('Global Constants'!BW$24:BW$33,$F12))</f>
        <v>0</v>
      </c>
      <c r="CE12" s="26">
        <f ca="1">IF($C12="","",'Constant Ecs GBP'!CE12*INDEX('Global Constants'!BX$24:BX$33,$F12))</f>
        <v>0</v>
      </c>
      <c r="CF12" s="26">
        <f ca="1">IF($C12="","",'Constant Ecs GBP'!CF12*INDEX('Global Constants'!BY$24:BY$33,$F12))</f>
        <v>0</v>
      </c>
      <c r="CG12" s="26">
        <f ca="1">IF($C12="","",'Constant Ecs GBP'!CG12*INDEX('Global Constants'!BZ$24:BZ$33,$F12))</f>
        <v>0</v>
      </c>
      <c r="CH12" s="26">
        <f ca="1">IF($C12="","",'Constant Ecs GBP'!CH12*INDEX('Global Constants'!CA$24:CA$33,$F12))</f>
        <v>0</v>
      </c>
      <c r="CI12" s="26">
        <f ca="1">IF($C12="","",'Constant Ecs GBP'!CI12*INDEX('Global Constants'!CB$24:CB$33,$F12))</f>
        <v>0</v>
      </c>
      <c r="CJ12" s="26">
        <f ca="1">IF($C12="","",'Constant Ecs GBP'!CJ12*INDEX('Global Constants'!CC$24:CC$33,$F12))</f>
        <v>0</v>
      </c>
      <c r="CK12" s="26">
        <f ca="1">IF($C12="","",'Constant Ecs GBP'!CK12*INDEX('Global Constants'!CD$24:CD$33,$F12))</f>
        <v>0</v>
      </c>
      <c r="CL12" s="26">
        <f ca="1">IF($C12="","",'Constant Ecs GBP'!CL12*INDEX('Global Constants'!CE$24:CE$33,$F12))</f>
        <v>0</v>
      </c>
      <c r="CM12" s="26">
        <f ca="1">IF($C12="","",'Constant Ecs GBP'!CM12*INDEX('Global Constants'!CF$24:CF$33,$F12))</f>
        <v>0</v>
      </c>
      <c r="CN12" s="26">
        <f ca="1">IF($C12="","",'Constant Ecs GBP'!CN12*INDEX('Global Constants'!CG$24:CG$33,$F12))</f>
        <v>0</v>
      </c>
      <c r="CO12" s="26">
        <f ca="1">IF($C12="","",'Constant Ecs GBP'!CO12*INDEX('Global Constants'!CH$24:CH$33,$F12))</f>
        <v>0</v>
      </c>
      <c r="CP12" s="26">
        <f ca="1">IF($C12="","",'Constant Ecs GBP'!CP12*INDEX('Global Constants'!CI$24:CI$33,$F12))</f>
        <v>0</v>
      </c>
      <c r="CQ12" s="26">
        <f ca="1">IF($C12="","",'Constant Ecs GBP'!CQ12*INDEX('Global Constants'!CJ$24:CJ$33,$F12))</f>
        <v>0</v>
      </c>
      <c r="CR12" s="26">
        <f ca="1">IF($C12="","",'Constant Ecs GBP'!CR12*INDEX('Global Constants'!CK$24:CK$33,$F12))</f>
        <v>0</v>
      </c>
      <c r="CS12" s="26">
        <f ca="1">IF($C12="","",'Constant Ecs GBP'!CS12*INDEX('Global Constants'!CL$24:CL$33,$F12))</f>
        <v>0</v>
      </c>
      <c r="CT12" s="26">
        <f ca="1">IF($C12="","",'Constant Ecs GBP'!CT12*INDEX('Global Constants'!CM$24:CM$33,$F12))</f>
        <v>0</v>
      </c>
      <c r="CU12" s="26">
        <f ca="1">IF($C12="","",'Constant Ecs GBP'!CU12*INDEX('Global Constants'!CN$24:CN$33,$F12))</f>
        <v>0</v>
      </c>
      <c r="CV12" s="26">
        <f ca="1">IF($C12="","",'Constant Ecs GBP'!CV12*INDEX('Global Constants'!CO$24:CO$33,$F12))</f>
        <v>0</v>
      </c>
      <c r="CW12" s="26">
        <f ca="1">IF($C12="","",'Constant Ecs GBP'!CW12*INDEX('Global Constants'!CP$24:CP$33,$F12))</f>
        <v>0</v>
      </c>
      <c r="CX12" s="26">
        <f ca="1">IF($C12="","",'Constant Ecs GBP'!CX12*INDEX('Global Constants'!CQ$24:CQ$33,$F12))</f>
        <v>0</v>
      </c>
      <c r="CZ12" s="26">
        <f t="shared" ca="1" si="1"/>
        <v>0</v>
      </c>
      <c r="DA12" s="26">
        <f t="shared" ca="1" si="2"/>
        <v>2000</v>
      </c>
    </row>
    <row r="13" spans="1:105" x14ac:dyDescent="0.3">
      <c r="C13" s="4" t="str">
        <f>IF('Cost &amp; Risk Inputs'!C14="","",'Cost &amp; Risk Inputs'!C14)</f>
        <v>Test 5</v>
      </c>
      <c r="D13" s="4" t="str">
        <f>IF(C13="","",'Cost &amp; Risk Inputs'!F14)</f>
        <v>No Inflation</v>
      </c>
      <c r="F13" s="18">
        <f t="shared" si="0"/>
        <v>3</v>
      </c>
      <c r="M13" s="26">
        <f ca="1">IF($C13="","",'Constant Ecs GBP'!M13*INDEX('Global Constants'!F$24:F$33,$F13))</f>
        <v>0</v>
      </c>
      <c r="N13" s="26">
        <f ca="1">IF($C13="","",'Constant Ecs GBP'!N13*INDEX('Global Constants'!G$24:G$33,$F13))</f>
        <v>0</v>
      </c>
      <c r="O13" s="26">
        <f ca="1">IF($C13="","",'Constant Ecs GBP'!O13*INDEX('Global Constants'!H$24:H$33,$F13))</f>
        <v>0</v>
      </c>
      <c r="P13" s="26">
        <f ca="1">IF($C13="","",'Constant Ecs GBP'!P13*INDEX('Global Constants'!I$24:I$33,$F13))</f>
        <v>0</v>
      </c>
      <c r="Q13" s="26">
        <f ca="1">IF($C13="","",'Constant Ecs GBP'!Q13*INDEX('Global Constants'!J$24:J$33,$F13))</f>
        <v>0</v>
      </c>
      <c r="R13" s="26">
        <f ca="1">IF($C13="","",'Constant Ecs GBP'!R13*INDEX('Global Constants'!K$24:K$33,$F13))</f>
        <v>0</v>
      </c>
      <c r="S13" s="26">
        <f ca="1">IF($C13="","",'Constant Ecs GBP'!S13*INDEX('Global Constants'!L$24:L$33,$F13))</f>
        <v>0</v>
      </c>
      <c r="T13" s="26">
        <f ca="1">IF($C13="","",'Constant Ecs GBP'!T13*INDEX('Global Constants'!M$24:M$33,$F13))</f>
        <v>0</v>
      </c>
      <c r="U13" s="26">
        <f ca="1">IF($C13="","",'Constant Ecs GBP'!U13*INDEX('Global Constants'!N$24:N$33,$F13))</f>
        <v>0</v>
      </c>
      <c r="V13" s="26">
        <f ca="1">IF($C13="","",'Constant Ecs GBP'!V13*INDEX('Global Constants'!O$24:O$33,$F13))</f>
        <v>0</v>
      </c>
      <c r="W13" s="26">
        <f ca="1">IF($C13="","",'Constant Ecs GBP'!W13*INDEX('Global Constants'!P$24:P$33,$F13))</f>
        <v>0</v>
      </c>
      <c r="X13" s="26">
        <f ca="1">IF($C13="","",'Constant Ecs GBP'!X13*INDEX('Global Constants'!Q$24:Q$33,$F13))</f>
        <v>0</v>
      </c>
      <c r="Y13" s="26">
        <f ca="1">IF($C13="","",'Constant Ecs GBP'!Y13*INDEX('Global Constants'!R$24:R$33,$F13))</f>
        <v>0</v>
      </c>
      <c r="Z13" s="26">
        <f ca="1">IF($C13="","",'Constant Ecs GBP'!Z13*INDEX('Global Constants'!S$24:S$33,$F13))</f>
        <v>0</v>
      </c>
      <c r="AA13" s="26">
        <f ca="1">IF($C13="","",'Constant Ecs GBP'!AA13*INDEX('Global Constants'!T$24:T$33,$F13))</f>
        <v>0</v>
      </c>
      <c r="AB13" s="26">
        <f ca="1">IF($C13="","",'Constant Ecs GBP'!AB13*INDEX('Global Constants'!U$24:U$33,$F13))</f>
        <v>0</v>
      </c>
      <c r="AC13" s="26">
        <f ca="1">IF($C13="","",'Constant Ecs GBP'!AC13*INDEX('Global Constants'!V$24:V$33,$F13))</f>
        <v>0</v>
      </c>
      <c r="AD13" s="26">
        <f ca="1">IF($C13="","",'Constant Ecs GBP'!AD13*INDEX('Global Constants'!W$24:W$33,$F13))</f>
        <v>0</v>
      </c>
      <c r="AE13" s="26">
        <f ca="1">IF($C13="","",'Constant Ecs GBP'!AE13*INDEX('Global Constants'!X$24:X$33,$F13))</f>
        <v>0</v>
      </c>
      <c r="AF13" s="26">
        <f ca="1">IF($C13="","",'Constant Ecs GBP'!AF13*INDEX('Global Constants'!Y$24:Y$33,$F13))</f>
        <v>0</v>
      </c>
      <c r="AG13" s="26">
        <f ca="1">IF($C13="","",'Constant Ecs GBP'!AG13*INDEX('Global Constants'!Z$24:Z$33,$F13))</f>
        <v>0</v>
      </c>
      <c r="AH13" s="26">
        <f ca="1">IF($C13="","",'Constant Ecs GBP'!AH13*INDEX('Global Constants'!AA$24:AA$33,$F13))</f>
        <v>1489.5801483092866</v>
      </c>
      <c r="AI13" s="26">
        <f ca="1">IF($C13="","",'Constant Ecs GBP'!AI13*INDEX('Global Constants'!AB$24:AB$33,$F13))</f>
        <v>0</v>
      </c>
      <c r="AJ13" s="26">
        <f ca="1">IF($C13="","",'Constant Ecs GBP'!AJ13*INDEX('Global Constants'!AC$24:AC$33,$F13))</f>
        <v>0</v>
      </c>
      <c r="AK13" s="26">
        <f ca="1">IF($C13="","",'Constant Ecs GBP'!AK13*INDEX('Global Constants'!AD$24:AD$33,$F13))</f>
        <v>0</v>
      </c>
      <c r="AL13" s="26">
        <f ca="1">IF($C13="","",'Constant Ecs GBP'!AL13*INDEX('Global Constants'!AE$24:AE$33,$F13))</f>
        <v>0</v>
      </c>
      <c r="AM13" s="26">
        <f ca="1">IF($C13="","",'Constant Ecs GBP'!AM13*INDEX('Global Constants'!AF$24:AF$33,$F13))</f>
        <v>0</v>
      </c>
      <c r="AN13" s="26">
        <f ca="1">IF($C13="","",'Constant Ecs GBP'!AN13*INDEX('Global Constants'!AG$24:AG$33,$F13))</f>
        <v>0</v>
      </c>
      <c r="AO13" s="26">
        <f ca="1">IF($C13="","",'Constant Ecs GBP'!AO13*INDEX('Global Constants'!AH$24:AH$33,$F13))</f>
        <v>0</v>
      </c>
      <c r="AP13" s="26">
        <f ca="1">IF($C13="","",'Constant Ecs GBP'!AP13*INDEX('Global Constants'!AI$24:AI$33,$F13))</f>
        <v>0</v>
      </c>
      <c r="AQ13" s="26">
        <f ca="1">IF($C13="","",'Constant Ecs GBP'!AQ13*INDEX('Global Constants'!AJ$24:AJ$33,$F13))</f>
        <v>0</v>
      </c>
      <c r="AR13" s="26">
        <f ca="1">IF($C13="","",'Constant Ecs GBP'!AR13*INDEX('Global Constants'!AK$24:AK$33,$F13))</f>
        <v>0</v>
      </c>
      <c r="AS13" s="26">
        <f ca="1">IF($C13="","",'Constant Ecs GBP'!AS13*INDEX('Global Constants'!AL$24:AL$33,$F13))</f>
        <v>0</v>
      </c>
      <c r="AT13" s="26">
        <f ca="1">IF($C13="","",'Constant Ecs GBP'!AT13*INDEX('Global Constants'!AM$24:AM$33,$F13))</f>
        <v>0</v>
      </c>
      <c r="AU13" s="26">
        <f ca="1">IF($C13="","",'Constant Ecs GBP'!AU13*INDEX('Global Constants'!AN$24:AN$33,$F13))</f>
        <v>0</v>
      </c>
      <c r="AV13" s="26">
        <f ca="1">IF($C13="","",'Constant Ecs GBP'!AV13*INDEX('Global Constants'!AO$24:AO$33,$F13))</f>
        <v>0</v>
      </c>
      <c r="AW13" s="26">
        <f ca="1">IF($C13="","",'Constant Ecs GBP'!AW13*INDEX('Global Constants'!AP$24:AP$33,$F13))</f>
        <v>0</v>
      </c>
      <c r="AX13" s="26">
        <f ca="1">IF($C13="","",'Constant Ecs GBP'!AX13*INDEX('Global Constants'!AQ$24:AQ$33,$F13))</f>
        <v>0</v>
      </c>
      <c r="AY13" s="26">
        <f ca="1">IF($C13="","",'Constant Ecs GBP'!AY13*INDEX('Global Constants'!AR$24:AR$33,$F13))</f>
        <v>0</v>
      </c>
      <c r="AZ13" s="26">
        <f ca="1">IF($C13="","",'Constant Ecs GBP'!AZ13*INDEX('Global Constants'!AS$24:AS$33,$F13))</f>
        <v>0</v>
      </c>
      <c r="BA13" s="26">
        <f ca="1">IF($C13="","",'Constant Ecs GBP'!BA13*INDEX('Global Constants'!AT$24:AT$33,$F13))</f>
        <v>0</v>
      </c>
      <c r="BB13" s="26">
        <f ca="1">IF($C13="","",'Constant Ecs GBP'!BB13*INDEX('Global Constants'!AU$24:AU$33,$F13))</f>
        <v>0</v>
      </c>
      <c r="BC13" s="26">
        <f ca="1">IF($C13="","",'Constant Ecs GBP'!BC13*INDEX('Global Constants'!AV$24:AV$33,$F13))</f>
        <v>0</v>
      </c>
      <c r="BD13" s="26">
        <f ca="1">IF($C13="","",'Constant Ecs GBP'!BD13*INDEX('Global Constants'!AW$24:AW$33,$F13))</f>
        <v>0</v>
      </c>
      <c r="BE13" s="26">
        <f ca="1">IF($C13="","",'Constant Ecs GBP'!BE13*INDEX('Global Constants'!AX$24:AX$33,$F13))</f>
        <v>0</v>
      </c>
      <c r="BF13" s="26">
        <f ca="1">IF($C13="","",'Constant Ecs GBP'!BF13*INDEX('Global Constants'!AY$24:AY$33,$F13))</f>
        <v>0</v>
      </c>
      <c r="BG13" s="26">
        <f ca="1">IF($C13="","",'Constant Ecs GBP'!BG13*INDEX('Global Constants'!AZ$24:AZ$33,$F13))</f>
        <v>0</v>
      </c>
      <c r="BH13" s="26">
        <f ca="1">IF($C13="","",'Constant Ecs GBP'!BH13*INDEX('Global Constants'!BA$24:BA$33,$F13))</f>
        <v>0</v>
      </c>
      <c r="BI13" s="26">
        <f ca="1">IF($C13="","",'Constant Ecs GBP'!BI13*INDEX('Global Constants'!BB$24:BB$33,$F13))</f>
        <v>0</v>
      </c>
      <c r="BJ13" s="26">
        <f ca="1">IF($C13="","",'Constant Ecs GBP'!BJ13*INDEX('Global Constants'!BC$24:BC$33,$F13))</f>
        <v>0</v>
      </c>
      <c r="BK13" s="26">
        <f ca="1">IF($C13="","",'Constant Ecs GBP'!BK13*INDEX('Global Constants'!BD$24:BD$33,$F13))</f>
        <v>0</v>
      </c>
      <c r="BL13" s="26">
        <f ca="1">IF($C13="","",'Constant Ecs GBP'!BL13*INDEX('Global Constants'!BE$24:BE$33,$F13))</f>
        <v>0</v>
      </c>
      <c r="BM13" s="26">
        <f ca="1">IF($C13="","",'Constant Ecs GBP'!BM13*INDEX('Global Constants'!BF$24:BF$33,$F13))</f>
        <v>0</v>
      </c>
      <c r="BN13" s="26">
        <f ca="1">IF($C13="","",'Constant Ecs GBP'!BN13*INDEX('Global Constants'!BG$24:BG$33,$F13))</f>
        <v>0</v>
      </c>
      <c r="BO13" s="26">
        <f ca="1">IF($C13="","",'Constant Ecs GBP'!BO13*INDEX('Global Constants'!BH$24:BH$33,$F13))</f>
        <v>0</v>
      </c>
      <c r="BP13" s="26">
        <f ca="1">IF($C13="","",'Constant Ecs GBP'!BP13*INDEX('Global Constants'!BI$24:BI$33,$F13))</f>
        <v>0</v>
      </c>
      <c r="BQ13" s="26">
        <f ca="1">IF($C13="","",'Constant Ecs GBP'!BQ13*INDEX('Global Constants'!BJ$24:BJ$33,$F13))</f>
        <v>0</v>
      </c>
      <c r="BR13" s="26">
        <f ca="1">IF($C13="","",'Constant Ecs GBP'!BR13*INDEX('Global Constants'!BK$24:BK$33,$F13))</f>
        <v>0</v>
      </c>
      <c r="BS13" s="26">
        <f ca="1">IF($C13="","",'Constant Ecs GBP'!BS13*INDEX('Global Constants'!BL$24:BL$33,$F13))</f>
        <v>0</v>
      </c>
      <c r="BT13" s="26">
        <f ca="1">IF($C13="","",'Constant Ecs GBP'!BT13*INDEX('Global Constants'!BM$24:BM$33,$F13))</f>
        <v>0</v>
      </c>
      <c r="BU13" s="26">
        <f ca="1">IF($C13="","",'Constant Ecs GBP'!BU13*INDEX('Global Constants'!BN$24:BN$33,$F13))</f>
        <v>0</v>
      </c>
      <c r="BV13" s="26">
        <f ca="1">IF($C13="","",'Constant Ecs GBP'!BV13*INDEX('Global Constants'!BO$24:BO$33,$F13))</f>
        <v>0</v>
      </c>
      <c r="BW13" s="26">
        <f ca="1">IF($C13="","",'Constant Ecs GBP'!BW13*INDEX('Global Constants'!BP$24:BP$33,$F13))</f>
        <v>0</v>
      </c>
      <c r="BX13" s="26">
        <f ca="1">IF($C13="","",'Constant Ecs GBP'!BX13*INDEX('Global Constants'!BQ$24:BQ$33,$F13))</f>
        <v>0</v>
      </c>
      <c r="BY13" s="26">
        <f ca="1">IF($C13="","",'Constant Ecs GBP'!BY13*INDEX('Global Constants'!BR$24:BR$33,$F13))</f>
        <v>0</v>
      </c>
      <c r="BZ13" s="26">
        <f ca="1">IF($C13="","",'Constant Ecs GBP'!BZ13*INDEX('Global Constants'!BS$24:BS$33,$F13))</f>
        <v>0</v>
      </c>
      <c r="CA13" s="26">
        <f ca="1">IF($C13="","",'Constant Ecs GBP'!CA13*INDEX('Global Constants'!BT$24:BT$33,$F13))</f>
        <v>0</v>
      </c>
      <c r="CB13" s="26">
        <f ca="1">IF($C13="","",'Constant Ecs GBP'!CB13*INDEX('Global Constants'!BU$24:BU$33,$F13))</f>
        <v>0</v>
      </c>
      <c r="CC13" s="26">
        <f ca="1">IF($C13="","",'Constant Ecs GBP'!CC13*INDEX('Global Constants'!BV$24:BV$33,$F13))</f>
        <v>0</v>
      </c>
      <c r="CD13" s="26">
        <f ca="1">IF($C13="","",'Constant Ecs GBP'!CD13*INDEX('Global Constants'!BW$24:BW$33,$F13))</f>
        <v>0</v>
      </c>
      <c r="CE13" s="26">
        <f ca="1">IF($C13="","",'Constant Ecs GBP'!CE13*INDEX('Global Constants'!BX$24:BX$33,$F13))</f>
        <v>0</v>
      </c>
      <c r="CF13" s="26">
        <f ca="1">IF($C13="","",'Constant Ecs GBP'!CF13*INDEX('Global Constants'!BY$24:BY$33,$F13))</f>
        <v>0</v>
      </c>
      <c r="CG13" s="26">
        <f ca="1">IF($C13="","",'Constant Ecs GBP'!CG13*INDEX('Global Constants'!BZ$24:BZ$33,$F13))</f>
        <v>0</v>
      </c>
      <c r="CH13" s="26">
        <f ca="1">IF($C13="","",'Constant Ecs GBP'!CH13*INDEX('Global Constants'!CA$24:CA$33,$F13))</f>
        <v>0</v>
      </c>
      <c r="CI13" s="26">
        <f ca="1">IF($C13="","",'Constant Ecs GBP'!CI13*INDEX('Global Constants'!CB$24:CB$33,$F13))</f>
        <v>0</v>
      </c>
      <c r="CJ13" s="26">
        <f ca="1">IF($C13="","",'Constant Ecs GBP'!CJ13*INDEX('Global Constants'!CC$24:CC$33,$F13))</f>
        <v>0</v>
      </c>
      <c r="CK13" s="26">
        <f ca="1">IF($C13="","",'Constant Ecs GBP'!CK13*INDEX('Global Constants'!CD$24:CD$33,$F13))</f>
        <v>0</v>
      </c>
      <c r="CL13" s="26">
        <f ca="1">IF($C13="","",'Constant Ecs GBP'!CL13*INDEX('Global Constants'!CE$24:CE$33,$F13))</f>
        <v>0</v>
      </c>
      <c r="CM13" s="26">
        <f ca="1">IF($C13="","",'Constant Ecs GBP'!CM13*INDEX('Global Constants'!CF$24:CF$33,$F13))</f>
        <v>0</v>
      </c>
      <c r="CN13" s="26">
        <f ca="1">IF($C13="","",'Constant Ecs GBP'!CN13*INDEX('Global Constants'!CG$24:CG$33,$F13))</f>
        <v>0</v>
      </c>
      <c r="CO13" s="26">
        <f ca="1">IF($C13="","",'Constant Ecs GBP'!CO13*INDEX('Global Constants'!CH$24:CH$33,$F13))</f>
        <v>0</v>
      </c>
      <c r="CP13" s="26">
        <f ca="1">IF($C13="","",'Constant Ecs GBP'!CP13*INDEX('Global Constants'!CI$24:CI$33,$F13))</f>
        <v>0</v>
      </c>
      <c r="CQ13" s="26">
        <f ca="1">IF($C13="","",'Constant Ecs GBP'!CQ13*INDEX('Global Constants'!CJ$24:CJ$33,$F13))</f>
        <v>0</v>
      </c>
      <c r="CR13" s="26">
        <f ca="1">IF($C13="","",'Constant Ecs GBP'!CR13*INDEX('Global Constants'!CK$24:CK$33,$F13))</f>
        <v>0</v>
      </c>
      <c r="CS13" s="26">
        <f ca="1">IF($C13="","",'Constant Ecs GBP'!CS13*INDEX('Global Constants'!CL$24:CL$33,$F13))</f>
        <v>0</v>
      </c>
      <c r="CT13" s="26">
        <f ca="1">IF($C13="","",'Constant Ecs GBP'!CT13*INDEX('Global Constants'!CM$24:CM$33,$F13))</f>
        <v>0</v>
      </c>
      <c r="CU13" s="26">
        <f ca="1">IF($C13="","",'Constant Ecs GBP'!CU13*INDEX('Global Constants'!CN$24:CN$33,$F13))</f>
        <v>0</v>
      </c>
      <c r="CV13" s="26">
        <f ca="1">IF($C13="","",'Constant Ecs GBP'!CV13*INDEX('Global Constants'!CO$24:CO$33,$F13))</f>
        <v>0</v>
      </c>
      <c r="CW13" s="26">
        <f ca="1">IF($C13="","",'Constant Ecs GBP'!CW13*INDEX('Global Constants'!CP$24:CP$33,$F13))</f>
        <v>0</v>
      </c>
      <c r="CX13" s="26">
        <f ca="1">IF($C13="","",'Constant Ecs GBP'!CX13*INDEX('Global Constants'!CQ$24:CQ$33,$F13))</f>
        <v>0</v>
      </c>
      <c r="CZ13" s="26">
        <f t="shared" ca="1" si="1"/>
        <v>0</v>
      </c>
      <c r="DA13" s="26">
        <f t="shared" ca="1" si="2"/>
        <v>1489.5801483092866</v>
      </c>
    </row>
    <row r="14" spans="1:105" x14ac:dyDescent="0.3">
      <c r="C14" s="4" t="str">
        <f>IF('Cost &amp; Risk Inputs'!C15="","",'Cost &amp; Risk Inputs'!C15)</f>
        <v>Test 5</v>
      </c>
      <c r="D14" s="4" t="str">
        <f>IF(C14="","",'Cost &amp; Risk Inputs'!F15)</f>
        <v>No Inflation</v>
      </c>
      <c r="F14" s="18">
        <f t="shared" si="0"/>
        <v>3</v>
      </c>
      <c r="M14" s="26">
        <f ca="1">IF($C14="","",'Constant Ecs GBP'!M14*INDEX('Global Constants'!F$24:F$33,$F14))</f>
        <v>0</v>
      </c>
      <c r="N14" s="26">
        <f ca="1">IF($C14="","",'Constant Ecs GBP'!N14*INDEX('Global Constants'!G$24:G$33,$F14))</f>
        <v>0</v>
      </c>
      <c r="O14" s="26">
        <f ca="1">IF($C14="","",'Constant Ecs GBP'!O14*INDEX('Global Constants'!H$24:H$33,$F14))</f>
        <v>0</v>
      </c>
      <c r="P14" s="26">
        <f ca="1">IF($C14="","",'Constant Ecs GBP'!P14*INDEX('Global Constants'!I$24:I$33,$F14))</f>
        <v>0</v>
      </c>
      <c r="Q14" s="26">
        <f ca="1">IF($C14="","",'Constant Ecs GBP'!Q14*INDEX('Global Constants'!J$24:J$33,$F14))</f>
        <v>0</v>
      </c>
      <c r="R14" s="26">
        <f ca="1">IF($C14="","",'Constant Ecs GBP'!R14*INDEX('Global Constants'!K$24:K$33,$F14))</f>
        <v>0</v>
      </c>
      <c r="S14" s="26">
        <f ca="1">IF($C14="","",'Constant Ecs GBP'!S14*INDEX('Global Constants'!L$24:L$33,$F14))</f>
        <v>0</v>
      </c>
      <c r="T14" s="26">
        <f ca="1">IF($C14="","",'Constant Ecs GBP'!T14*INDEX('Global Constants'!M$24:M$33,$F14))</f>
        <v>0</v>
      </c>
      <c r="U14" s="26">
        <f ca="1">IF($C14="","",'Constant Ecs GBP'!U14*INDEX('Global Constants'!N$24:N$33,$F14))</f>
        <v>0</v>
      </c>
      <c r="V14" s="26">
        <f ca="1">IF($C14="","",'Constant Ecs GBP'!V14*INDEX('Global Constants'!O$24:O$33,$F14))</f>
        <v>0</v>
      </c>
      <c r="W14" s="26">
        <f ca="1">IF($C14="","",'Constant Ecs GBP'!W14*INDEX('Global Constants'!P$24:P$33,$F14))</f>
        <v>0</v>
      </c>
      <c r="X14" s="26">
        <f ca="1">IF($C14="","",'Constant Ecs GBP'!X14*INDEX('Global Constants'!Q$24:Q$33,$F14))</f>
        <v>0</v>
      </c>
      <c r="Y14" s="26">
        <f ca="1">IF($C14="","",'Constant Ecs GBP'!Y14*INDEX('Global Constants'!R$24:R$33,$F14))</f>
        <v>0</v>
      </c>
      <c r="Z14" s="26">
        <f ca="1">IF($C14="","",'Constant Ecs GBP'!Z14*INDEX('Global Constants'!S$24:S$33,$F14))</f>
        <v>0</v>
      </c>
      <c r="AA14" s="26">
        <f ca="1">IF($C14="","",'Constant Ecs GBP'!AA14*INDEX('Global Constants'!T$24:T$33,$F14))</f>
        <v>0</v>
      </c>
      <c r="AB14" s="26">
        <f ca="1">IF($C14="","",'Constant Ecs GBP'!AB14*INDEX('Global Constants'!U$24:U$33,$F14))</f>
        <v>0</v>
      </c>
      <c r="AC14" s="26">
        <f ca="1">IF($C14="","",'Constant Ecs GBP'!AC14*INDEX('Global Constants'!V$24:V$33,$F14))</f>
        <v>0</v>
      </c>
      <c r="AD14" s="26">
        <f ca="1">IF($C14="","",'Constant Ecs GBP'!AD14*INDEX('Global Constants'!W$24:W$33,$F14))</f>
        <v>2230.0228408151615</v>
      </c>
      <c r="AE14" s="26">
        <f ca="1">IF($C14="","",'Constant Ecs GBP'!AE14*INDEX('Global Constants'!X$24:X$33,$F14))</f>
        <v>2230.0228408151615</v>
      </c>
      <c r="AF14" s="26">
        <f ca="1">IF($C14="","",'Constant Ecs GBP'!AF14*INDEX('Global Constants'!Y$24:Y$33,$F14))</f>
        <v>2230.0228408151615</v>
      </c>
      <c r="AG14" s="26">
        <f ca="1">IF($C14="","",'Constant Ecs GBP'!AG14*INDEX('Global Constants'!Z$24:Z$33,$F14))</f>
        <v>2230.0228408151615</v>
      </c>
      <c r="AH14" s="26">
        <f ca="1">IF($C14="","",'Constant Ecs GBP'!AH14*INDEX('Global Constants'!AA$24:AA$33,$F14))</f>
        <v>2230.0228408151615</v>
      </c>
      <c r="AI14" s="26">
        <f ca="1">IF($C14="","",'Constant Ecs GBP'!AI14*INDEX('Global Constants'!AB$24:AB$33,$F14))</f>
        <v>0</v>
      </c>
      <c r="AJ14" s="26">
        <f ca="1">IF($C14="","",'Constant Ecs GBP'!AJ14*INDEX('Global Constants'!AC$24:AC$33,$F14))</f>
        <v>0</v>
      </c>
      <c r="AK14" s="26">
        <f ca="1">IF($C14="","",'Constant Ecs GBP'!AK14*INDEX('Global Constants'!AD$24:AD$33,$F14))</f>
        <v>0</v>
      </c>
      <c r="AL14" s="26">
        <f ca="1">IF($C14="","",'Constant Ecs GBP'!AL14*INDEX('Global Constants'!AE$24:AE$33,$F14))</f>
        <v>0</v>
      </c>
      <c r="AM14" s="26">
        <f ca="1">IF($C14="","",'Constant Ecs GBP'!AM14*INDEX('Global Constants'!AF$24:AF$33,$F14))</f>
        <v>0</v>
      </c>
      <c r="AN14" s="26">
        <f ca="1">IF($C14="","",'Constant Ecs GBP'!AN14*INDEX('Global Constants'!AG$24:AG$33,$F14))</f>
        <v>0</v>
      </c>
      <c r="AO14" s="26">
        <f ca="1">IF($C14="","",'Constant Ecs GBP'!AO14*INDEX('Global Constants'!AH$24:AH$33,$F14))</f>
        <v>0</v>
      </c>
      <c r="AP14" s="26">
        <f ca="1">IF($C14="","",'Constant Ecs GBP'!AP14*INDEX('Global Constants'!AI$24:AI$33,$F14))</f>
        <v>0</v>
      </c>
      <c r="AQ14" s="26">
        <f ca="1">IF($C14="","",'Constant Ecs GBP'!AQ14*INDEX('Global Constants'!AJ$24:AJ$33,$F14))</f>
        <v>0</v>
      </c>
      <c r="AR14" s="26">
        <f ca="1">IF($C14="","",'Constant Ecs GBP'!AR14*INDEX('Global Constants'!AK$24:AK$33,$F14))</f>
        <v>0</v>
      </c>
      <c r="AS14" s="26">
        <f ca="1">IF($C14="","",'Constant Ecs GBP'!AS14*INDEX('Global Constants'!AL$24:AL$33,$F14))</f>
        <v>0</v>
      </c>
      <c r="AT14" s="26">
        <f ca="1">IF($C14="","",'Constant Ecs GBP'!AT14*INDEX('Global Constants'!AM$24:AM$33,$F14))</f>
        <v>0</v>
      </c>
      <c r="AU14" s="26">
        <f ca="1">IF($C14="","",'Constant Ecs GBP'!AU14*INDEX('Global Constants'!AN$24:AN$33,$F14))</f>
        <v>0</v>
      </c>
      <c r="AV14" s="26">
        <f ca="1">IF($C14="","",'Constant Ecs GBP'!AV14*INDEX('Global Constants'!AO$24:AO$33,$F14))</f>
        <v>0</v>
      </c>
      <c r="AW14" s="26">
        <f ca="1">IF($C14="","",'Constant Ecs GBP'!AW14*INDEX('Global Constants'!AP$24:AP$33,$F14))</f>
        <v>0</v>
      </c>
      <c r="AX14" s="26">
        <f ca="1">IF($C14="","",'Constant Ecs GBP'!AX14*INDEX('Global Constants'!AQ$24:AQ$33,$F14))</f>
        <v>0</v>
      </c>
      <c r="AY14" s="26">
        <f ca="1">IF($C14="","",'Constant Ecs GBP'!AY14*INDEX('Global Constants'!AR$24:AR$33,$F14))</f>
        <v>0</v>
      </c>
      <c r="AZ14" s="26">
        <f ca="1">IF($C14="","",'Constant Ecs GBP'!AZ14*INDEX('Global Constants'!AS$24:AS$33,$F14))</f>
        <v>0</v>
      </c>
      <c r="BA14" s="26">
        <f ca="1">IF($C14="","",'Constant Ecs GBP'!BA14*INDEX('Global Constants'!AT$24:AT$33,$F14))</f>
        <v>0</v>
      </c>
      <c r="BB14" s="26">
        <f ca="1">IF($C14="","",'Constant Ecs GBP'!BB14*INDEX('Global Constants'!AU$24:AU$33,$F14))</f>
        <v>0</v>
      </c>
      <c r="BC14" s="26">
        <f ca="1">IF($C14="","",'Constant Ecs GBP'!BC14*INDEX('Global Constants'!AV$24:AV$33,$F14))</f>
        <v>0</v>
      </c>
      <c r="BD14" s="26">
        <f ca="1">IF($C14="","",'Constant Ecs GBP'!BD14*INDEX('Global Constants'!AW$24:AW$33,$F14))</f>
        <v>0</v>
      </c>
      <c r="BE14" s="26">
        <f ca="1">IF($C14="","",'Constant Ecs GBP'!BE14*INDEX('Global Constants'!AX$24:AX$33,$F14))</f>
        <v>0</v>
      </c>
      <c r="BF14" s="26">
        <f ca="1">IF($C14="","",'Constant Ecs GBP'!BF14*INDEX('Global Constants'!AY$24:AY$33,$F14))</f>
        <v>0</v>
      </c>
      <c r="BG14" s="26">
        <f ca="1">IF($C14="","",'Constant Ecs GBP'!BG14*INDEX('Global Constants'!AZ$24:AZ$33,$F14))</f>
        <v>0</v>
      </c>
      <c r="BH14" s="26">
        <f ca="1">IF($C14="","",'Constant Ecs GBP'!BH14*INDEX('Global Constants'!BA$24:BA$33,$F14))</f>
        <v>0</v>
      </c>
      <c r="BI14" s="26">
        <f ca="1">IF($C14="","",'Constant Ecs GBP'!BI14*INDEX('Global Constants'!BB$24:BB$33,$F14))</f>
        <v>0</v>
      </c>
      <c r="BJ14" s="26">
        <f ca="1">IF($C14="","",'Constant Ecs GBP'!BJ14*INDEX('Global Constants'!BC$24:BC$33,$F14))</f>
        <v>0</v>
      </c>
      <c r="BK14" s="26">
        <f ca="1">IF($C14="","",'Constant Ecs GBP'!BK14*INDEX('Global Constants'!BD$24:BD$33,$F14))</f>
        <v>0</v>
      </c>
      <c r="BL14" s="26">
        <f ca="1">IF($C14="","",'Constant Ecs GBP'!BL14*INDEX('Global Constants'!BE$24:BE$33,$F14))</f>
        <v>0</v>
      </c>
      <c r="BM14" s="26">
        <f ca="1">IF($C14="","",'Constant Ecs GBP'!BM14*INDEX('Global Constants'!BF$24:BF$33,$F14))</f>
        <v>0</v>
      </c>
      <c r="BN14" s="26">
        <f ca="1">IF($C14="","",'Constant Ecs GBP'!BN14*INDEX('Global Constants'!BG$24:BG$33,$F14))</f>
        <v>0</v>
      </c>
      <c r="BO14" s="26">
        <f ca="1">IF($C14="","",'Constant Ecs GBP'!BO14*INDEX('Global Constants'!BH$24:BH$33,$F14))</f>
        <v>0</v>
      </c>
      <c r="BP14" s="26">
        <f ca="1">IF($C14="","",'Constant Ecs GBP'!BP14*INDEX('Global Constants'!BI$24:BI$33,$F14))</f>
        <v>0</v>
      </c>
      <c r="BQ14" s="26">
        <f ca="1">IF($C14="","",'Constant Ecs GBP'!BQ14*INDEX('Global Constants'!BJ$24:BJ$33,$F14))</f>
        <v>0</v>
      </c>
      <c r="BR14" s="26">
        <f ca="1">IF($C14="","",'Constant Ecs GBP'!BR14*INDEX('Global Constants'!BK$24:BK$33,$F14))</f>
        <v>0</v>
      </c>
      <c r="BS14" s="26">
        <f ca="1">IF($C14="","",'Constant Ecs GBP'!BS14*INDEX('Global Constants'!BL$24:BL$33,$F14))</f>
        <v>0</v>
      </c>
      <c r="BT14" s="26">
        <f ca="1">IF($C14="","",'Constant Ecs GBP'!BT14*INDEX('Global Constants'!BM$24:BM$33,$F14))</f>
        <v>0</v>
      </c>
      <c r="BU14" s="26">
        <f ca="1">IF($C14="","",'Constant Ecs GBP'!BU14*INDEX('Global Constants'!BN$24:BN$33,$F14))</f>
        <v>0</v>
      </c>
      <c r="BV14" s="26">
        <f ca="1">IF($C14="","",'Constant Ecs GBP'!BV14*INDEX('Global Constants'!BO$24:BO$33,$F14))</f>
        <v>0</v>
      </c>
      <c r="BW14" s="26">
        <f ca="1">IF($C14="","",'Constant Ecs GBP'!BW14*INDEX('Global Constants'!BP$24:BP$33,$F14))</f>
        <v>0</v>
      </c>
      <c r="BX14" s="26">
        <f ca="1">IF($C14="","",'Constant Ecs GBP'!BX14*INDEX('Global Constants'!BQ$24:BQ$33,$F14))</f>
        <v>0</v>
      </c>
      <c r="BY14" s="26">
        <f ca="1">IF($C14="","",'Constant Ecs GBP'!BY14*INDEX('Global Constants'!BR$24:BR$33,$F14))</f>
        <v>0</v>
      </c>
      <c r="BZ14" s="26">
        <f ca="1">IF($C14="","",'Constant Ecs GBP'!BZ14*INDEX('Global Constants'!BS$24:BS$33,$F14))</f>
        <v>0</v>
      </c>
      <c r="CA14" s="26">
        <f ca="1">IF($C14="","",'Constant Ecs GBP'!CA14*INDEX('Global Constants'!BT$24:BT$33,$F14))</f>
        <v>0</v>
      </c>
      <c r="CB14" s="26">
        <f ca="1">IF($C14="","",'Constant Ecs GBP'!CB14*INDEX('Global Constants'!BU$24:BU$33,$F14))</f>
        <v>0</v>
      </c>
      <c r="CC14" s="26">
        <f ca="1">IF($C14="","",'Constant Ecs GBP'!CC14*INDEX('Global Constants'!BV$24:BV$33,$F14))</f>
        <v>0</v>
      </c>
      <c r="CD14" s="26">
        <f ca="1">IF($C14="","",'Constant Ecs GBP'!CD14*INDEX('Global Constants'!BW$24:BW$33,$F14))</f>
        <v>0</v>
      </c>
      <c r="CE14" s="26">
        <f ca="1">IF($C14="","",'Constant Ecs GBP'!CE14*INDEX('Global Constants'!BX$24:BX$33,$F14))</f>
        <v>0</v>
      </c>
      <c r="CF14" s="26">
        <f ca="1">IF($C14="","",'Constant Ecs GBP'!CF14*INDEX('Global Constants'!BY$24:BY$33,$F14))</f>
        <v>0</v>
      </c>
      <c r="CG14" s="26">
        <f ca="1">IF($C14="","",'Constant Ecs GBP'!CG14*INDEX('Global Constants'!BZ$24:BZ$33,$F14))</f>
        <v>0</v>
      </c>
      <c r="CH14" s="26">
        <f ca="1">IF($C14="","",'Constant Ecs GBP'!CH14*INDEX('Global Constants'!CA$24:CA$33,$F14))</f>
        <v>0</v>
      </c>
      <c r="CI14" s="26">
        <f ca="1">IF($C14="","",'Constant Ecs GBP'!CI14*INDEX('Global Constants'!CB$24:CB$33,$F14))</f>
        <v>0</v>
      </c>
      <c r="CJ14" s="26">
        <f ca="1">IF($C14="","",'Constant Ecs GBP'!CJ14*INDEX('Global Constants'!CC$24:CC$33,$F14))</f>
        <v>0</v>
      </c>
      <c r="CK14" s="26">
        <f ca="1">IF($C14="","",'Constant Ecs GBP'!CK14*INDEX('Global Constants'!CD$24:CD$33,$F14))</f>
        <v>0</v>
      </c>
      <c r="CL14" s="26">
        <f ca="1">IF($C14="","",'Constant Ecs GBP'!CL14*INDEX('Global Constants'!CE$24:CE$33,$F14))</f>
        <v>0</v>
      </c>
      <c r="CM14" s="26">
        <f ca="1">IF($C14="","",'Constant Ecs GBP'!CM14*INDEX('Global Constants'!CF$24:CF$33,$F14))</f>
        <v>0</v>
      </c>
      <c r="CN14" s="26">
        <f ca="1">IF($C14="","",'Constant Ecs GBP'!CN14*INDEX('Global Constants'!CG$24:CG$33,$F14))</f>
        <v>0</v>
      </c>
      <c r="CO14" s="26">
        <f ca="1">IF($C14="","",'Constant Ecs GBP'!CO14*INDEX('Global Constants'!CH$24:CH$33,$F14))</f>
        <v>0</v>
      </c>
      <c r="CP14" s="26">
        <f ca="1">IF($C14="","",'Constant Ecs GBP'!CP14*INDEX('Global Constants'!CI$24:CI$33,$F14))</f>
        <v>0</v>
      </c>
      <c r="CQ14" s="26">
        <f ca="1">IF($C14="","",'Constant Ecs GBP'!CQ14*INDEX('Global Constants'!CJ$24:CJ$33,$F14))</f>
        <v>0</v>
      </c>
      <c r="CR14" s="26">
        <f ca="1">IF($C14="","",'Constant Ecs GBP'!CR14*INDEX('Global Constants'!CK$24:CK$33,$F14))</f>
        <v>0</v>
      </c>
      <c r="CS14" s="26">
        <f ca="1">IF($C14="","",'Constant Ecs GBP'!CS14*INDEX('Global Constants'!CL$24:CL$33,$F14))</f>
        <v>0</v>
      </c>
      <c r="CT14" s="26">
        <f ca="1">IF($C14="","",'Constant Ecs GBP'!CT14*INDEX('Global Constants'!CM$24:CM$33,$F14))</f>
        <v>0</v>
      </c>
      <c r="CU14" s="26">
        <f ca="1">IF($C14="","",'Constant Ecs GBP'!CU14*INDEX('Global Constants'!CN$24:CN$33,$F14))</f>
        <v>0</v>
      </c>
      <c r="CV14" s="26">
        <f ca="1">IF($C14="","",'Constant Ecs GBP'!CV14*INDEX('Global Constants'!CO$24:CO$33,$F14))</f>
        <v>0</v>
      </c>
      <c r="CW14" s="26">
        <f ca="1">IF($C14="","",'Constant Ecs GBP'!CW14*INDEX('Global Constants'!CP$24:CP$33,$F14))</f>
        <v>0</v>
      </c>
      <c r="CX14" s="26">
        <f ca="1">IF($C14="","",'Constant Ecs GBP'!CX14*INDEX('Global Constants'!CQ$24:CQ$33,$F14))</f>
        <v>0</v>
      </c>
      <c r="CZ14" s="26">
        <f t="shared" ca="1" si="1"/>
        <v>0</v>
      </c>
      <c r="DA14" s="26">
        <f t="shared" ca="1" si="2"/>
        <v>11150.114204075808</v>
      </c>
    </row>
    <row r="15" spans="1:105" x14ac:dyDescent="0.3">
      <c r="C15" s="4" t="str">
        <f>IF('Cost &amp; Risk Inputs'!C16="","",'Cost &amp; Risk Inputs'!C16)</f>
        <v>Test 6</v>
      </c>
      <c r="D15" s="4" t="str">
        <f>IF(C15="","",'Cost &amp; Risk Inputs'!F16)</f>
        <v>No Inflation</v>
      </c>
      <c r="F15" s="18">
        <f t="shared" si="0"/>
        <v>3</v>
      </c>
      <c r="M15" s="26">
        <f ca="1">IF($C15="","",'Constant Ecs GBP'!M15*INDEX('Global Constants'!F$24:F$33,$F15))</f>
        <v>0</v>
      </c>
      <c r="N15" s="26">
        <f ca="1">IF($C15="","",'Constant Ecs GBP'!N15*INDEX('Global Constants'!G$24:G$33,$F15))</f>
        <v>0</v>
      </c>
      <c r="O15" s="26">
        <f ca="1">IF($C15="","",'Constant Ecs GBP'!O15*INDEX('Global Constants'!H$24:H$33,$F15))</f>
        <v>0</v>
      </c>
      <c r="P15" s="26">
        <f ca="1">IF($C15="","",'Constant Ecs GBP'!P15*INDEX('Global Constants'!I$24:I$33,$F15))</f>
        <v>0</v>
      </c>
      <c r="Q15" s="26">
        <f ca="1">IF($C15="","",'Constant Ecs GBP'!Q15*INDEX('Global Constants'!J$24:J$33,$F15))</f>
        <v>0</v>
      </c>
      <c r="R15" s="26">
        <f ca="1">IF($C15="","",'Constant Ecs GBP'!R15*INDEX('Global Constants'!K$24:K$33,$F15))</f>
        <v>0</v>
      </c>
      <c r="S15" s="26">
        <f ca="1">IF($C15="","",'Constant Ecs GBP'!S15*INDEX('Global Constants'!L$24:L$33,$F15))</f>
        <v>0</v>
      </c>
      <c r="T15" s="26">
        <f ca="1">IF($C15="","",'Constant Ecs GBP'!T15*INDEX('Global Constants'!M$24:M$33,$F15))</f>
        <v>0</v>
      </c>
      <c r="U15" s="26">
        <f ca="1">IF($C15="","",'Constant Ecs GBP'!U15*INDEX('Global Constants'!N$24:N$33,$F15))</f>
        <v>0</v>
      </c>
      <c r="V15" s="26">
        <f ca="1">IF($C15="","",'Constant Ecs GBP'!V15*INDEX('Global Constants'!O$24:O$33,$F15))</f>
        <v>0</v>
      </c>
      <c r="W15" s="26">
        <f ca="1">IF($C15="","",'Constant Ecs GBP'!W15*INDEX('Global Constants'!P$24:P$33,$F15))</f>
        <v>0</v>
      </c>
      <c r="X15" s="26">
        <f ca="1">IF($C15="","",'Constant Ecs GBP'!X15*INDEX('Global Constants'!Q$24:Q$33,$F15))</f>
        <v>0</v>
      </c>
      <c r="Y15" s="26">
        <f ca="1">IF($C15="","",'Constant Ecs GBP'!Y15*INDEX('Global Constants'!R$24:R$33,$F15))</f>
        <v>0</v>
      </c>
      <c r="Z15" s="26">
        <f ca="1">IF($C15="","",'Constant Ecs GBP'!Z15*INDEX('Global Constants'!S$24:S$33,$F15))</f>
        <v>0</v>
      </c>
      <c r="AA15" s="26">
        <f ca="1">IF($C15="","",'Constant Ecs GBP'!AA15*INDEX('Global Constants'!T$24:T$33,$F15))</f>
        <v>0</v>
      </c>
      <c r="AB15" s="26">
        <f ca="1">IF($C15="","",'Constant Ecs GBP'!AB15*INDEX('Global Constants'!U$24:U$33,$F15))</f>
        <v>0</v>
      </c>
      <c r="AC15" s="26">
        <f ca="1">IF($C15="","",'Constant Ecs GBP'!AC15*INDEX('Global Constants'!V$24:V$33,$F15))</f>
        <v>0</v>
      </c>
      <c r="AD15" s="26">
        <f ca="1">IF($C15="","",'Constant Ecs GBP'!AD15*INDEX('Global Constants'!W$24:W$33,$F15))</f>
        <v>2009.2501722406996</v>
      </c>
      <c r="AE15" s="26">
        <f ca="1">IF($C15="","",'Constant Ecs GBP'!AE15*INDEX('Global Constants'!X$24:X$33,$F15))</f>
        <v>2009.2501722406996</v>
      </c>
      <c r="AF15" s="26">
        <f ca="1">IF($C15="","",'Constant Ecs GBP'!AF15*INDEX('Global Constants'!Y$24:Y$33,$F15))</f>
        <v>2009.2501722406996</v>
      </c>
      <c r="AG15" s="26">
        <f ca="1">IF($C15="","",'Constant Ecs GBP'!AG15*INDEX('Global Constants'!Z$24:Z$33,$F15))</f>
        <v>2009.2501722406996</v>
      </c>
      <c r="AH15" s="26">
        <f ca="1">IF($C15="","",'Constant Ecs GBP'!AH15*INDEX('Global Constants'!AA$24:AA$33,$F15))</f>
        <v>2009.2501722406996</v>
      </c>
      <c r="AI15" s="26">
        <f ca="1">IF($C15="","",'Constant Ecs GBP'!AI15*INDEX('Global Constants'!AB$24:AB$33,$F15))</f>
        <v>0</v>
      </c>
      <c r="AJ15" s="26">
        <f ca="1">IF($C15="","",'Constant Ecs GBP'!AJ15*INDEX('Global Constants'!AC$24:AC$33,$F15))</f>
        <v>0</v>
      </c>
      <c r="AK15" s="26">
        <f ca="1">IF($C15="","",'Constant Ecs GBP'!AK15*INDEX('Global Constants'!AD$24:AD$33,$F15))</f>
        <v>0</v>
      </c>
      <c r="AL15" s="26">
        <f ca="1">IF($C15="","",'Constant Ecs GBP'!AL15*INDEX('Global Constants'!AE$24:AE$33,$F15))</f>
        <v>0</v>
      </c>
      <c r="AM15" s="26">
        <f ca="1">IF($C15="","",'Constant Ecs GBP'!AM15*INDEX('Global Constants'!AF$24:AF$33,$F15))</f>
        <v>0</v>
      </c>
      <c r="AN15" s="26">
        <f ca="1">IF($C15="","",'Constant Ecs GBP'!AN15*INDEX('Global Constants'!AG$24:AG$33,$F15))</f>
        <v>0</v>
      </c>
      <c r="AO15" s="26">
        <f ca="1">IF($C15="","",'Constant Ecs GBP'!AO15*INDEX('Global Constants'!AH$24:AH$33,$F15))</f>
        <v>0</v>
      </c>
      <c r="AP15" s="26">
        <f ca="1">IF($C15="","",'Constant Ecs GBP'!AP15*INDEX('Global Constants'!AI$24:AI$33,$F15))</f>
        <v>0</v>
      </c>
      <c r="AQ15" s="26">
        <f ca="1">IF($C15="","",'Constant Ecs GBP'!AQ15*INDEX('Global Constants'!AJ$24:AJ$33,$F15))</f>
        <v>0</v>
      </c>
      <c r="AR15" s="26">
        <f ca="1">IF($C15="","",'Constant Ecs GBP'!AR15*INDEX('Global Constants'!AK$24:AK$33,$F15))</f>
        <v>0</v>
      </c>
      <c r="AS15" s="26">
        <f ca="1">IF($C15="","",'Constant Ecs GBP'!AS15*INDEX('Global Constants'!AL$24:AL$33,$F15))</f>
        <v>0</v>
      </c>
      <c r="AT15" s="26">
        <f ca="1">IF($C15="","",'Constant Ecs GBP'!AT15*INDEX('Global Constants'!AM$24:AM$33,$F15))</f>
        <v>0</v>
      </c>
      <c r="AU15" s="26">
        <f ca="1">IF($C15="","",'Constant Ecs GBP'!AU15*INDEX('Global Constants'!AN$24:AN$33,$F15))</f>
        <v>0</v>
      </c>
      <c r="AV15" s="26">
        <f ca="1">IF($C15="","",'Constant Ecs GBP'!AV15*INDEX('Global Constants'!AO$24:AO$33,$F15))</f>
        <v>0</v>
      </c>
      <c r="AW15" s="26">
        <f ca="1">IF($C15="","",'Constant Ecs GBP'!AW15*INDEX('Global Constants'!AP$24:AP$33,$F15))</f>
        <v>0</v>
      </c>
      <c r="AX15" s="26">
        <f ca="1">IF($C15="","",'Constant Ecs GBP'!AX15*INDEX('Global Constants'!AQ$24:AQ$33,$F15))</f>
        <v>0</v>
      </c>
      <c r="AY15" s="26">
        <f ca="1">IF($C15="","",'Constant Ecs GBP'!AY15*INDEX('Global Constants'!AR$24:AR$33,$F15))</f>
        <v>0</v>
      </c>
      <c r="AZ15" s="26">
        <f ca="1">IF($C15="","",'Constant Ecs GBP'!AZ15*INDEX('Global Constants'!AS$24:AS$33,$F15))</f>
        <v>0</v>
      </c>
      <c r="BA15" s="26">
        <f ca="1">IF($C15="","",'Constant Ecs GBP'!BA15*INDEX('Global Constants'!AT$24:AT$33,$F15))</f>
        <v>0</v>
      </c>
      <c r="BB15" s="26">
        <f ca="1">IF($C15="","",'Constant Ecs GBP'!BB15*INDEX('Global Constants'!AU$24:AU$33,$F15))</f>
        <v>0</v>
      </c>
      <c r="BC15" s="26">
        <f ca="1">IF($C15="","",'Constant Ecs GBP'!BC15*INDEX('Global Constants'!AV$24:AV$33,$F15))</f>
        <v>0</v>
      </c>
      <c r="BD15" s="26">
        <f ca="1">IF($C15="","",'Constant Ecs GBP'!BD15*INDEX('Global Constants'!AW$24:AW$33,$F15))</f>
        <v>0</v>
      </c>
      <c r="BE15" s="26">
        <f ca="1">IF($C15="","",'Constant Ecs GBP'!BE15*INDEX('Global Constants'!AX$24:AX$33,$F15))</f>
        <v>0</v>
      </c>
      <c r="BF15" s="26">
        <f ca="1">IF($C15="","",'Constant Ecs GBP'!BF15*INDEX('Global Constants'!AY$24:AY$33,$F15))</f>
        <v>0</v>
      </c>
      <c r="BG15" s="26">
        <f ca="1">IF($C15="","",'Constant Ecs GBP'!BG15*INDEX('Global Constants'!AZ$24:AZ$33,$F15))</f>
        <v>0</v>
      </c>
      <c r="BH15" s="26">
        <f ca="1">IF($C15="","",'Constant Ecs GBP'!BH15*INDEX('Global Constants'!BA$24:BA$33,$F15))</f>
        <v>0</v>
      </c>
      <c r="BI15" s="26">
        <f ca="1">IF($C15="","",'Constant Ecs GBP'!BI15*INDEX('Global Constants'!BB$24:BB$33,$F15))</f>
        <v>0</v>
      </c>
      <c r="BJ15" s="26">
        <f ca="1">IF($C15="","",'Constant Ecs GBP'!BJ15*INDEX('Global Constants'!BC$24:BC$33,$F15))</f>
        <v>0</v>
      </c>
      <c r="BK15" s="26">
        <f ca="1">IF($C15="","",'Constant Ecs GBP'!BK15*INDEX('Global Constants'!BD$24:BD$33,$F15))</f>
        <v>0</v>
      </c>
      <c r="BL15" s="26">
        <f ca="1">IF($C15="","",'Constant Ecs GBP'!BL15*INDEX('Global Constants'!BE$24:BE$33,$F15))</f>
        <v>0</v>
      </c>
      <c r="BM15" s="26">
        <f ca="1">IF($C15="","",'Constant Ecs GBP'!BM15*INDEX('Global Constants'!BF$24:BF$33,$F15))</f>
        <v>0</v>
      </c>
      <c r="BN15" s="26">
        <f ca="1">IF($C15="","",'Constant Ecs GBP'!BN15*INDEX('Global Constants'!BG$24:BG$33,$F15))</f>
        <v>0</v>
      </c>
      <c r="BO15" s="26">
        <f ca="1">IF($C15="","",'Constant Ecs GBP'!BO15*INDEX('Global Constants'!BH$24:BH$33,$F15))</f>
        <v>0</v>
      </c>
      <c r="BP15" s="26">
        <f ca="1">IF($C15="","",'Constant Ecs GBP'!BP15*INDEX('Global Constants'!BI$24:BI$33,$F15))</f>
        <v>0</v>
      </c>
      <c r="BQ15" s="26">
        <f ca="1">IF($C15="","",'Constant Ecs GBP'!BQ15*INDEX('Global Constants'!BJ$24:BJ$33,$F15))</f>
        <v>0</v>
      </c>
      <c r="BR15" s="26">
        <f ca="1">IF($C15="","",'Constant Ecs GBP'!BR15*INDEX('Global Constants'!BK$24:BK$33,$F15))</f>
        <v>0</v>
      </c>
      <c r="BS15" s="26">
        <f ca="1">IF($C15="","",'Constant Ecs GBP'!BS15*INDEX('Global Constants'!BL$24:BL$33,$F15))</f>
        <v>0</v>
      </c>
      <c r="BT15" s="26">
        <f ca="1">IF($C15="","",'Constant Ecs GBP'!BT15*INDEX('Global Constants'!BM$24:BM$33,$F15))</f>
        <v>0</v>
      </c>
      <c r="BU15" s="26">
        <f ca="1">IF($C15="","",'Constant Ecs GBP'!BU15*INDEX('Global Constants'!BN$24:BN$33,$F15))</f>
        <v>0</v>
      </c>
      <c r="BV15" s="26">
        <f ca="1">IF($C15="","",'Constant Ecs GBP'!BV15*INDEX('Global Constants'!BO$24:BO$33,$F15))</f>
        <v>0</v>
      </c>
      <c r="BW15" s="26">
        <f ca="1">IF($C15="","",'Constant Ecs GBP'!BW15*INDEX('Global Constants'!BP$24:BP$33,$F15))</f>
        <v>0</v>
      </c>
      <c r="BX15" s="26">
        <f ca="1">IF($C15="","",'Constant Ecs GBP'!BX15*INDEX('Global Constants'!BQ$24:BQ$33,$F15))</f>
        <v>0</v>
      </c>
      <c r="BY15" s="26">
        <f ca="1">IF($C15="","",'Constant Ecs GBP'!BY15*INDEX('Global Constants'!BR$24:BR$33,$F15))</f>
        <v>0</v>
      </c>
      <c r="BZ15" s="26">
        <f ca="1">IF($C15="","",'Constant Ecs GBP'!BZ15*INDEX('Global Constants'!BS$24:BS$33,$F15))</f>
        <v>0</v>
      </c>
      <c r="CA15" s="26">
        <f ca="1">IF($C15="","",'Constant Ecs GBP'!CA15*INDEX('Global Constants'!BT$24:BT$33,$F15))</f>
        <v>0</v>
      </c>
      <c r="CB15" s="26">
        <f ca="1">IF($C15="","",'Constant Ecs GBP'!CB15*INDEX('Global Constants'!BU$24:BU$33,$F15))</f>
        <v>0</v>
      </c>
      <c r="CC15" s="26">
        <f ca="1">IF($C15="","",'Constant Ecs GBP'!CC15*INDEX('Global Constants'!BV$24:BV$33,$F15))</f>
        <v>0</v>
      </c>
      <c r="CD15" s="26">
        <f ca="1">IF($C15="","",'Constant Ecs GBP'!CD15*INDEX('Global Constants'!BW$24:BW$33,$F15))</f>
        <v>0</v>
      </c>
      <c r="CE15" s="26">
        <f ca="1">IF($C15="","",'Constant Ecs GBP'!CE15*INDEX('Global Constants'!BX$24:BX$33,$F15))</f>
        <v>0</v>
      </c>
      <c r="CF15" s="26">
        <f ca="1">IF($C15="","",'Constant Ecs GBP'!CF15*INDEX('Global Constants'!BY$24:BY$33,$F15))</f>
        <v>0</v>
      </c>
      <c r="CG15" s="26">
        <f ca="1">IF($C15="","",'Constant Ecs GBP'!CG15*INDEX('Global Constants'!BZ$24:BZ$33,$F15))</f>
        <v>0</v>
      </c>
      <c r="CH15" s="26">
        <f ca="1">IF($C15="","",'Constant Ecs GBP'!CH15*INDEX('Global Constants'!CA$24:CA$33,$F15))</f>
        <v>0</v>
      </c>
      <c r="CI15" s="26">
        <f ca="1">IF($C15="","",'Constant Ecs GBP'!CI15*INDEX('Global Constants'!CB$24:CB$33,$F15))</f>
        <v>0</v>
      </c>
      <c r="CJ15" s="26">
        <f ca="1">IF($C15="","",'Constant Ecs GBP'!CJ15*INDEX('Global Constants'!CC$24:CC$33,$F15))</f>
        <v>0</v>
      </c>
      <c r="CK15" s="26">
        <f ca="1">IF($C15="","",'Constant Ecs GBP'!CK15*INDEX('Global Constants'!CD$24:CD$33,$F15))</f>
        <v>0</v>
      </c>
      <c r="CL15" s="26">
        <f ca="1">IF($C15="","",'Constant Ecs GBP'!CL15*INDEX('Global Constants'!CE$24:CE$33,$F15))</f>
        <v>0</v>
      </c>
      <c r="CM15" s="26">
        <f ca="1">IF($C15="","",'Constant Ecs GBP'!CM15*INDEX('Global Constants'!CF$24:CF$33,$F15))</f>
        <v>0</v>
      </c>
      <c r="CN15" s="26">
        <f ca="1">IF($C15="","",'Constant Ecs GBP'!CN15*INDEX('Global Constants'!CG$24:CG$33,$F15))</f>
        <v>0</v>
      </c>
      <c r="CO15" s="26">
        <f ca="1">IF($C15="","",'Constant Ecs GBP'!CO15*INDEX('Global Constants'!CH$24:CH$33,$F15))</f>
        <v>0</v>
      </c>
      <c r="CP15" s="26">
        <f ca="1">IF($C15="","",'Constant Ecs GBP'!CP15*INDEX('Global Constants'!CI$24:CI$33,$F15))</f>
        <v>0</v>
      </c>
      <c r="CQ15" s="26">
        <f ca="1">IF($C15="","",'Constant Ecs GBP'!CQ15*INDEX('Global Constants'!CJ$24:CJ$33,$F15))</f>
        <v>0</v>
      </c>
      <c r="CR15" s="26">
        <f ca="1">IF($C15="","",'Constant Ecs GBP'!CR15*INDEX('Global Constants'!CK$24:CK$33,$F15))</f>
        <v>0</v>
      </c>
      <c r="CS15" s="26">
        <f ca="1">IF($C15="","",'Constant Ecs GBP'!CS15*INDEX('Global Constants'!CL$24:CL$33,$F15))</f>
        <v>0</v>
      </c>
      <c r="CT15" s="26">
        <f ca="1">IF($C15="","",'Constant Ecs GBP'!CT15*INDEX('Global Constants'!CM$24:CM$33,$F15))</f>
        <v>0</v>
      </c>
      <c r="CU15" s="26">
        <f ca="1">IF($C15="","",'Constant Ecs GBP'!CU15*INDEX('Global Constants'!CN$24:CN$33,$F15))</f>
        <v>0</v>
      </c>
      <c r="CV15" s="26">
        <f ca="1">IF($C15="","",'Constant Ecs GBP'!CV15*INDEX('Global Constants'!CO$24:CO$33,$F15))</f>
        <v>0</v>
      </c>
      <c r="CW15" s="26">
        <f ca="1">IF($C15="","",'Constant Ecs GBP'!CW15*INDEX('Global Constants'!CP$24:CP$33,$F15))</f>
        <v>0</v>
      </c>
      <c r="CX15" s="26">
        <f ca="1">IF($C15="","",'Constant Ecs GBP'!CX15*INDEX('Global Constants'!CQ$24:CQ$33,$F15))</f>
        <v>0</v>
      </c>
      <c r="CZ15" s="26">
        <f t="shared" ca="1" si="1"/>
        <v>0</v>
      </c>
      <c r="DA15" s="26">
        <f t="shared" ca="1" si="2"/>
        <v>10046.250861203498</v>
      </c>
    </row>
    <row r="16" spans="1:105" x14ac:dyDescent="0.3">
      <c r="C16" s="4" t="str">
        <f>IF('Cost &amp; Risk Inputs'!C17="","",'Cost &amp; Risk Inputs'!C17)</f>
        <v>Test 7</v>
      </c>
      <c r="D16" s="4" t="str">
        <f>IF(C16="","",'Cost &amp; Risk Inputs'!F17)</f>
        <v>No Inflation</v>
      </c>
      <c r="F16" s="18">
        <f t="shared" si="0"/>
        <v>3</v>
      </c>
      <c r="M16" s="26">
        <f ca="1">IF($C16="","",'Constant Ecs GBP'!M16*INDEX('Global Constants'!F$24:F$33,$F16))</f>
        <v>0</v>
      </c>
      <c r="N16" s="26">
        <f ca="1">IF($C16="","",'Constant Ecs GBP'!N16*INDEX('Global Constants'!G$24:G$33,$F16))</f>
        <v>0</v>
      </c>
      <c r="O16" s="26">
        <f ca="1">IF($C16="","",'Constant Ecs GBP'!O16*INDEX('Global Constants'!H$24:H$33,$F16))</f>
        <v>0</v>
      </c>
      <c r="P16" s="26">
        <f ca="1">IF($C16="","",'Constant Ecs GBP'!P16*INDEX('Global Constants'!I$24:I$33,$F16))</f>
        <v>0</v>
      </c>
      <c r="Q16" s="26">
        <f ca="1">IF($C16="","",'Constant Ecs GBP'!Q16*INDEX('Global Constants'!J$24:J$33,$F16))</f>
        <v>0</v>
      </c>
      <c r="R16" s="26">
        <f ca="1">IF($C16="","",'Constant Ecs GBP'!R16*INDEX('Global Constants'!K$24:K$33,$F16))</f>
        <v>0</v>
      </c>
      <c r="S16" s="26">
        <f ca="1">IF($C16="","",'Constant Ecs GBP'!S16*INDEX('Global Constants'!L$24:L$33,$F16))</f>
        <v>0</v>
      </c>
      <c r="T16" s="26">
        <f ca="1">IF($C16="","",'Constant Ecs GBP'!T16*INDEX('Global Constants'!M$24:M$33,$F16))</f>
        <v>0</v>
      </c>
      <c r="U16" s="26">
        <f ca="1">IF($C16="","",'Constant Ecs GBP'!U16*INDEX('Global Constants'!N$24:N$33,$F16))</f>
        <v>0</v>
      </c>
      <c r="V16" s="26">
        <f ca="1">IF($C16="","",'Constant Ecs GBP'!V16*INDEX('Global Constants'!O$24:O$33,$F16))</f>
        <v>0</v>
      </c>
      <c r="W16" s="26">
        <f ca="1">IF($C16="","",'Constant Ecs GBP'!W16*INDEX('Global Constants'!P$24:P$33,$F16))</f>
        <v>0</v>
      </c>
      <c r="X16" s="26">
        <f ca="1">IF($C16="","",'Constant Ecs GBP'!X16*INDEX('Global Constants'!Q$24:Q$33,$F16))</f>
        <v>0</v>
      </c>
      <c r="Y16" s="26">
        <f ca="1">IF($C16="","",'Constant Ecs GBP'!Y16*INDEX('Global Constants'!R$24:R$33,$F16))</f>
        <v>0</v>
      </c>
      <c r="Z16" s="26">
        <f ca="1">IF($C16="","",'Constant Ecs GBP'!Z16*INDEX('Global Constants'!S$24:S$33,$F16))</f>
        <v>0</v>
      </c>
      <c r="AA16" s="26">
        <f ca="1">IF($C16="","",'Constant Ecs GBP'!AA16*INDEX('Global Constants'!T$24:T$33,$F16))</f>
        <v>0</v>
      </c>
      <c r="AB16" s="26">
        <f ca="1">IF($C16="","",'Constant Ecs GBP'!AB16*INDEX('Global Constants'!U$24:U$33,$F16))</f>
        <v>0</v>
      </c>
      <c r="AC16" s="26">
        <f ca="1">IF($C16="","",'Constant Ecs GBP'!AC16*INDEX('Global Constants'!V$24:V$33,$F16))</f>
        <v>0</v>
      </c>
      <c r="AD16" s="26">
        <f ca="1">IF($C16="","",'Constant Ecs GBP'!AD16*INDEX('Global Constants'!W$24:W$33,$F16))</f>
        <v>7829.8256118501567</v>
      </c>
      <c r="AE16" s="26">
        <f ca="1">IF($C16="","",'Constant Ecs GBP'!AE16*INDEX('Global Constants'!X$24:X$33,$F16))</f>
        <v>7829.8256118501567</v>
      </c>
      <c r="AF16" s="26">
        <f ca="1">IF($C16="","",'Constant Ecs GBP'!AF16*INDEX('Global Constants'!Y$24:Y$33,$F16))</f>
        <v>7829.8256118501567</v>
      </c>
      <c r="AG16" s="26">
        <f ca="1">IF($C16="","",'Constant Ecs GBP'!AG16*INDEX('Global Constants'!Z$24:Z$33,$F16))</f>
        <v>7829.8256118501567</v>
      </c>
      <c r="AH16" s="26">
        <f ca="1">IF($C16="","",'Constant Ecs GBP'!AH16*INDEX('Global Constants'!AA$24:AA$33,$F16))</f>
        <v>7829.8256118501567</v>
      </c>
      <c r="AI16" s="26">
        <f ca="1">IF($C16="","",'Constant Ecs GBP'!AI16*INDEX('Global Constants'!AB$24:AB$33,$F16))</f>
        <v>0</v>
      </c>
      <c r="AJ16" s="26">
        <f ca="1">IF($C16="","",'Constant Ecs GBP'!AJ16*INDEX('Global Constants'!AC$24:AC$33,$F16))</f>
        <v>0</v>
      </c>
      <c r="AK16" s="26">
        <f ca="1">IF($C16="","",'Constant Ecs GBP'!AK16*INDEX('Global Constants'!AD$24:AD$33,$F16))</f>
        <v>0</v>
      </c>
      <c r="AL16" s="26">
        <f ca="1">IF($C16="","",'Constant Ecs GBP'!AL16*INDEX('Global Constants'!AE$24:AE$33,$F16))</f>
        <v>0</v>
      </c>
      <c r="AM16" s="26">
        <f ca="1">IF($C16="","",'Constant Ecs GBP'!AM16*INDEX('Global Constants'!AF$24:AF$33,$F16))</f>
        <v>0</v>
      </c>
      <c r="AN16" s="26">
        <f ca="1">IF($C16="","",'Constant Ecs GBP'!AN16*INDEX('Global Constants'!AG$24:AG$33,$F16))</f>
        <v>0</v>
      </c>
      <c r="AO16" s="26">
        <f ca="1">IF($C16="","",'Constant Ecs GBP'!AO16*INDEX('Global Constants'!AH$24:AH$33,$F16))</f>
        <v>0</v>
      </c>
      <c r="AP16" s="26">
        <f ca="1">IF($C16="","",'Constant Ecs GBP'!AP16*INDEX('Global Constants'!AI$24:AI$33,$F16))</f>
        <v>0</v>
      </c>
      <c r="AQ16" s="26">
        <f ca="1">IF($C16="","",'Constant Ecs GBP'!AQ16*INDEX('Global Constants'!AJ$24:AJ$33,$F16))</f>
        <v>0</v>
      </c>
      <c r="AR16" s="26">
        <f ca="1">IF($C16="","",'Constant Ecs GBP'!AR16*INDEX('Global Constants'!AK$24:AK$33,$F16))</f>
        <v>0</v>
      </c>
      <c r="AS16" s="26">
        <f ca="1">IF($C16="","",'Constant Ecs GBP'!AS16*INDEX('Global Constants'!AL$24:AL$33,$F16))</f>
        <v>0</v>
      </c>
      <c r="AT16" s="26">
        <f ca="1">IF($C16="","",'Constant Ecs GBP'!AT16*INDEX('Global Constants'!AM$24:AM$33,$F16))</f>
        <v>0</v>
      </c>
      <c r="AU16" s="26">
        <f ca="1">IF($C16="","",'Constant Ecs GBP'!AU16*INDEX('Global Constants'!AN$24:AN$33,$F16))</f>
        <v>0</v>
      </c>
      <c r="AV16" s="26">
        <f ca="1">IF($C16="","",'Constant Ecs GBP'!AV16*INDEX('Global Constants'!AO$24:AO$33,$F16))</f>
        <v>0</v>
      </c>
      <c r="AW16" s="26">
        <f ca="1">IF($C16="","",'Constant Ecs GBP'!AW16*INDEX('Global Constants'!AP$24:AP$33,$F16))</f>
        <v>0</v>
      </c>
      <c r="AX16" s="26">
        <f ca="1">IF($C16="","",'Constant Ecs GBP'!AX16*INDEX('Global Constants'!AQ$24:AQ$33,$F16))</f>
        <v>0</v>
      </c>
      <c r="AY16" s="26">
        <f ca="1">IF($C16="","",'Constant Ecs GBP'!AY16*INDEX('Global Constants'!AR$24:AR$33,$F16))</f>
        <v>0</v>
      </c>
      <c r="AZ16" s="26">
        <f ca="1">IF($C16="","",'Constant Ecs GBP'!AZ16*INDEX('Global Constants'!AS$24:AS$33,$F16))</f>
        <v>0</v>
      </c>
      <c r="BA16" s="26">
        <f ca="1">IF($C16="","",'Constant Ecs GBP'!BA16*INDEX('Global Constants'!AT$24:AT$33,$F16))</f>
        <v>0</v>
      </c>
      <c r="BB16" s="26">
        <f ca="1">IF($C16="","",'Constant Ecs GBP'!BB16*INDEX('Global Constants'!AU$24:AU$33,$F16))</f>
        <v>0</v>
      </c>
      <c r="BC16" s="26">
        <f ca="1">IF($C16="","",'Constant Ecs GBP'!BC16*INDEX('Global Constants'!AV$24:AV$33,$F16))</f>
        <v>0</v>
      </c>
      <c r="BD16" s="26">
        <f ca="1">IF($C16="","",'Constant Ecs GBP'!BD16*INDEX('Global Constants'!AW$24:AW$33,$F16))</f>
        <v>0</v>
      </c>
      <c r="BE16" s="26">
        <f ca="1">IF($C16="","",'Constant Ecs GBP'!BE16*INDEX('Global Constants'!AX$24:AX$33,$F16))</f>
        <v>0</v>
      </c>
      <c r="BF16" s="26">
        <f ca="1">IF($C16="","",'Constant Ecs GBP'!BF16*INDEX('Global Constants'!AY$24:AY$33,$F16))</f>
        <v>0</v>
      </c>
      <c r="BG16" s="26">
        <f ca="1">IF($C16="","",'Constant Ecs GBP'!BG16*INDEX('Global Constants'!AZ$24:AZ$33,$F16))</f>
        <v>0</v>
      </c>
      <c r="BH16" s="26">
        <f ca="1">IF($C16="","",'Constant Ecs GBP'!BH16*INDEX('Global Constants'!BA$24:BA$33,$F16))</f>
        <v>0</v>
      </c>
      <c r="BI16" s="26">
        <f ca="1">IF($C16="","",'Constant Ecs GBP'!BI16*INDEX('Global Constants'!BB$24:BB$33,$F16))</f>
        <v>0</v>
      </c>
      <c r="BJ16" s="26">
        <f ca="1">IF($C16="","",'Constant Ecs GBP'!BJ16*INDEX('Global Constants'!BC$24:BC$33,$F16))</f>
        <v>0</v>
      </c>
      <c r="BK16" s="26">
        <f ca="1">IF($C16="","",'Constant Ecs GBP'!BK16*INDEX('Global Constants'!BD$24:BD$33,$F16))</f>
        <v>0</v>
      </c>
      <c r="BL16" s="26">
        <f ca="1">IF($C16="","",'Constant Ecs GBP'!BL16*INDEX('Global Constants'!BE$24:BE$33,$F16))</f>
        <v>0</v>
      </c>
      <c r="BM16" s="26">
        <f ca="1">IF($C16="","",'Constant Ecs GBP'!BM16*INDEX('Global Constants'!BF$24:BF$33,$F16))</f>
        <v>0</v>
      </c>
      <c r="BN16" s="26">
        <f ca="1">IF($C16="","",'Constant Ecs GBP'!BN16*INDEX('Global Constants'!BG$24:BG$33,$F16))</f>
        <v>0</v>
      </c>
      <c r="BO16" s="26">
        <f ca="1">IF($C16="","",'Constant Ecs GBP'!BO16*INDEX('Global Constants'!BH$24:BH$33,$F16))</f>
        <v>0</v>
      </c>
      <c r="BP16" s="26">
        <f ca="1">IF($C16="","",'Constant Ecs GBP'!BP16*INDEX('Global Constants'!BI$24:BI$33,$F16))</f>
        <v>0</v>
      </c>
      <c r="BQ16" s="26">
        <f ca="1">IF($C16="","",'Constant Ecs GBP'!BQ16*INDEX('Global Constants'!BJ$24:BJ$33,$F16))</f>
        <v>0</v>
      </c>
      <c r="BR16" s="26">
        <f ca="1">IF($C16="","",'Constant Ecs GBP'!BR16*INDEX('Global Constants'!BK$24:BK$33,$F16))</f>
        <v>0</v>
      </c>
      <c r="BS16" s="26">
        <f ca="1">IF($C16="","",'Constant Ecs GBP'!BS16*INDEX('Global Constants'!BL$24:BL$33,$F16))</f>
        <v>0</v>
      </c>
      <c r="BT16" s="26">
        <f ca="1">IF($C16="","",'Constant Ecs GBP'!BT16*INDEX('Global Constants'!BM$24:BM$33,$F16))</f>
        <v>0</v>
      </c>
      <c r="BU16" s="26">
        <f ca="1">IF($C16="","",'Constant Ecs GBP'!BU16*INDEX('Global Constants'!BN$24:BN$33,$F16))</f>
        <v>0</v>
      </c>
      <c r="BV16" s="26">
        <f ca="1">IF($C16="","",'Constant Ecs GBP'!BV16*INDEX('Global Constants'!BO$24:BO$33,$F16))</f>
        <v>0</v>
      </c>
      <c r="BW16" s="26">
        <f ca="1">IF($C16="","",'Constant Ecs GBP'!BW16*INDEX('Global Constants'!BP$24:BP$33,$F16))</f>
        <v>0</v>
      </c>
      <c r="BX16" s="26">
        <f ca="1">IF($C16="","",'Constant Ecs GBP'!BX16*INDEX('Global Constants'!BQ$24:BQ$33,$F16))</f>
        <v>0</v>
      </c>
      <c r="BY16" s="26">
        <f ca="1">IF($C16="","",'Constant Ecs GBP'!BY16*INDEX('Global Constants'!BR$24:BR$33,$F16))</f>
        <v>0</v>
      </c>
      <c r="BZ16" s="26">
        <f ca="1">IF($C16="","",'Constant Ecs GBP'!BZ16*INDEX('Global Constants'!BS$24:BS$33,$F16))</f>
        <v>0</v>
      </c>
      <c r="CA16" s="26">
        <f ca="1">IF($C16="","",'Constant Ecs GBP'!CA16*INDEX('Global Constants'!BT$24:BT$33,$F16))</f>
        <v>0</v>
      </c>
      <c r="CB16" s="26">
        <f ca="1">IF($C16="","",'Constant Ecs GBP'!CB16*INDEX('Global Constants'!BU$24:BU$33,$F16))</f>
        <v>0</v>
      </c>
      <c r="CC16" s="26">
        <f ca="1">IF($C16="","",'Constant Ecs GBP'!CC16*INDEX('Global Constants'!BV$24:BV$33,$F16))</f>
        <v>0</v>
      </c>
      <c r="CD16" s="26">
        <f ca="1">IF($C16="","",'Constant Ecs GBP'!CD16*INDEX('Global Constants'!BW$24:BW$33,$F16))</f>
        <v>0</v>
      </c>
      <c r="CE16" s="26">
        <f ca="1">IF($C16="","",'Constant Ecs GBP'!CE16*INDEX('Global Constants'!BX$24:BX$33,$F16))</f>
        <v>0</v>
      </c>
      <c r="CF16" s="26">
        <f ca="1">IF($C16="","",'Constant Ecs GBP'!CF16*INDEX('Global Constants'!BY$24:BY$33,$F16))</f>
        <v>0</v>
      </c>
      <c r="CG16" s="26">
        <f ca="1">IF($C16="","",'Constant Ecs GBP'!CG16*INDEX('Global Constants'!BZ$24:BZ$33,$F16))</f>
        <v>0</v>
      </c>
      <c r="CH16" s="26">
        <f ca="1">IF($C16="","",'Constant Ecs GBP'!CH16*INDEX('Global Constants'!CA$24:CA$33,$F16))</f>
        <v>0</v>
      </c>
      <c r="CI16" s="26">
        <f ca="1">IF($C16="","",'Constant Ecs GBP'!CI16*INDEX('Global Constants'!CB$24:CB$33,$F16))</f>
        <v>0</v>
      </c>
      <c r="CJ16" s="26">
        <f ca="1">IF($C16="","",'Constant Ecs GBP'!CJ16*INDEX('Global Constants'!CC$24:CC$33,$F16))</f>
        <v>0</v>
      </c>
      <c r="CK16" s="26">
        <f ca="1">IF($C16="","",'Constant Ecs GBP'!CK16*INDEX('Global Constants'!CD$24:CD$33,$F16))</f>
        <v>0</v>
      </c>
      <c r="CL16" s="26">
        <f ca="1">IF($C16="","",'Constant Ecs GBP'!CL16*INDEX('Global Constants'!CE$24:CE$33,$F16))</f>
        <v>0</v>
      </c>
      <c r="CM16" s="26">
        <f ca="1">IF($C16="","",'Constant Ecs GBP'!CM16*INDEX('Global Constants'!CF$24:CF$33,$F16))</f>
        <v>0</v>
      </c>
      <c r="CN16" s="26">
        <f ca="1">IF($C16="","",'Constant Ecs GBP'!CN16*INDEX('Global Constants'!CG$24:CG$33,$F16))</f>
        <v>0</v>
      </c>
      <c r="CO16" s="26">
        <f ca="1">IF($C16="","",'Constant Ecs GBP'!CO16*INDEX('Global Constants'!CH$24:CH$33,$F16))</f>
        <v>0</v>
      </c>
      <c r="CP16" s="26">
        <f ca="1">IF($C16="","",'Constant Ecs GBP'!CP16*INDEX('Global Constants'!CI$24:CI$33,$F16))</f>
        <v>0</v>
      </c>
      <c r="CQ16" s="26">
        <f ca="1">IF($C16="","",'Constant Ecs GBP'!CQ16*INDEX('Global Constants'!CJ$24:CJ$33,$F16))</f>
        <v>0</v>
      </c>
      <c r="CR16" s="26">
        <f ca="1">IF($C16="","",'Constant Ecs GBP'!CR16*INDEX('Global Constants'!CK$24:CK$33,$F16))</f>
        <v>0</v>
      </c>
      <c r="CS16" s="26">
        <f ca="1">IF($C16="","",'Constant Ecs GBP'!CS16*INDEX('Global Constants'!CL$24:CL$33,$F16))</f>
        <v>0</v>
      </c>
      <c r="CT16" s="26">
        <f ca="1">IF($C16="","",'Constant Ecs GBP'!CT16*INDEX('Global Constants'!CM$24:CM$33,$F16))</f>
        <v>0</v>
      </c>
      <c r="CU16" s="26">
        <f ca="1">IF($C16="","",'Constant Ecs GBP'!CU16*INDEX('Global Constants'!CN$24:CN$33,$F16))</f>
        <v>0</v>
      </c>
      <c r="CV16" s="26">
        <f ca="1">IF($C16="","",'Constant Ecs GBP'!CV16*INDEX('Global Constants'!CO$24:CO$33,$F16))</f>
        <v>0</v>
      </c>
      <c r="CW16" s="26">
        <f ca="1">IF($C16="","",'Constant Ecs GBP'!CW16*INDEX('Global Constants'!CP$24:CP$33,$F16))</f>
        <v>0</v>
      </c>
      <c r="CX16" s="26">
        <f ca="1">IF($C16="","",'Constant Ecs GBP'!CX16*INDEX('Global Constants'!CQ$24:CQ$33,$F16))</f>
        <v>0</v>
      </c>
      <c r="CZ16" s="26">
        <f t="shared" ca="1" si="1"/>
        <v>0</v>
      </c>
      <c r="DA16" s="26">
        <f t="shared" ca="1" si="2"/>
        <v>39149.128059250783</v>
      </c>
    </row>
    <row r="17" spans="3:105" x14ac:dyDescent="0.3">
      <c r="C17" s="4" t="str">
        <f>IF('Cost &amp; Risk Inputs'!C18="","",'Cost &amp; Risk Inputs'!C18)</f>
        <v>Test 8</v>
      </c>
      <c r="D17" s="4" t="str">
        <f>IF(C17="","",'Cost &amp; Risk Inputs'!F18)</f>
        <v>No Inflation</v>
      </c>
      <c r="F17" s="18">
        <f t="shared" si="0"/>
        <v>3</v>
      </c>
      <c r="M17" s="26">
        <f ca="1">IF($C17="","",'Constant Ecs GBP'!M17*INDEX('Global Constants'!F$24:F$33,$F17))</f>
        <v>0</v>
      </c>
      <c r="N17" s="26">
        <f ca="1">IF($C17="","",'Constant Ecs GBP'!N17*INDEX('Global Constants'!G$24:G$33,$F17))</f>
        <v>0</v>
      </c>
      <c r="O17" s="26">
        <f ca="1">IF($C17="","",'Constant Ecs GBP'!O17*INDEX('Global Constants'!H$24:H$33,$F17))</f>
        <v>0</v>
      </c>
      <c r="P17" s="26">
        <f ca="1">IF($C17="","",'Constant Ecs GBP'!P17*INDEX('Global Constants'!I$24:I$33,$F17))</f>
        <v>0</v>
      </c>
      <c r="Q17" s="26">
        <f ca="1">IF($C17="","",'Constant Ecs GBP'!Q17*INDEX('Global Constants'!J$24:J$33,$F17))</f>
        <v>0</v>
      </c>
      <c r="R17" s="26">
        <f ca="1">IF($C17="","",'Constant Ecs GBP'!R17*INDEX('Global Constants'!K$24:K$33,$F17))</f>
        <v>0</v>
      </c>
      <c r="S17" s="26">
        <f ca="1">IF($C17="","",'Constant Ecs GBP'!S17*INDEX('Global Constants'!L$24:L$33,$F17))</f>
        <v>0</v>
      </c>
      <c r="T17" s="26">
        <f ca="1">IF($C17="","",'Constant Ecs GBP'!T17*INDEX('Global Constants'!M$24:M$33,$F17))</f>
        <v>0</v>
      </c>
      <c r="U17" s="26">
        <f ca="1">IF($C17="","",'Constant Ecs GBP'!U17*INDEX('Global Constants'!N$24:N$33,$F17))</f>
        <v>0</v>
      </c>
      <c r="V17" s="26">
        <f ca="1">IF($C17="","",'Constant Ecs GBP'!V17*INDEX('Global Constants'!O$24:O$33,$F17))</f>
        <v>0</v>
      </c>
      <c r="W17" s="26">
        <f ca="1">IF($C17="","",'Constant Ecs GBP'!W17*INDEX('Global Constants'!P$24:P$33,$F17))</f>
        <v>0</v>
      </c>
      <c r="X17" s="26">
        <f ca="1">IF($C17="","",'Constant Ecs GBP'!X17*INDEX('Global Constants'!Q$24:Q$33,$F17))</f>
        <v>0</v>
      </c>
      <c r="Y17" s="26">
        <f ca="1">IF($C17="","",'Constant Ecs GBP'!Y17*INDEX('Global Constants'!R$24:R$33,$F17))</f>
        <v>0</v>
      </c>
      <c r="Z17" s="26">
        <f ca="1">IF($C17="","",'Constant Ecs GBP'!Z17*INDEX('Global Constants'!S$24:S$33,$F17))</f>
        <v>0</v>
      </c>
      <c r="AA17" s="26">
        <f ca="1">IF($C17="","",'Constant Ecs GBP'!AA17*INDEX('Global Constants'!T$24:T$33,$F17))</f>
        <v>0</v>
      </c>
      <c r="AB17" s="26">
        <f ca="1">IF($C17="","",'Constant Ecs GBP'!AB17*INDEX('Global Constants'!U$24:U$33,$F17))</f>
        <v>0</v>
      </c>
      <c r="AC17" s="26">
        <f ca="1">IF($C17="","",'Constant Ecs GBP'!AC17*INDEX('Global Constants'!V$24:V$33,$F17))</f>
        <v>0</v>
      </c>
      <c r="AD17" s="26">
        <f ca="1">IF($C17="","",'Constant Ecs GBP'!AD17*INDEX('Global Constants'!W$24:W$33,$F17))</f>
        <v>12152.729503752933</v>
      </c>
      <c r="AE17" s="26">
        <f ca="1">IF($C17="","",'Constant Ecs GBP'!AE17*INDEX('Global Constants'!X$24:X$33,$F17))</f>
        <v>12152.729503752933</v>
      </c>
      <c r="AF17" s="26">
        <f ca="1">IF($C17="","",'Constant Ecs GBP'!AF17*INDEX('Global Constants'!Y$24:Y$33,$F17))</f>
        <v>12152.729503752933</v>
      </c>
      <c r="AG17" s="26">
        <f ca="1">IF($C17="","",'Constant Ecs GBP'!AG17*INDEX('Global Constants'!Z$24:Z$33,$F17))</f>
        <v>12152.729503752933</v>
      </c>
      <c r="AH17" s="26">
        <f ca="1">IF($C17="","",'Constant Ecs GBP'!AH17*INDEX('Global Constants'!AA$24:AA$33,$F17))</f>
        <v>12152.729503752933</v>
      </c>
      <c r="AI17" s="26">
        <f ca="1">IF($C17="","",'Constant Ecs GBP'!AI17*INDEX('Global Constants'!AB$24:AB$33,$F17))</f>
        <v>0</v>
      </c>
      <c r="AJ17" s="26">
        <f ca="1">IF($C17="","",'Constant Ecs GBP'!AJ17*INDEX('Global Constants'!AC$24:AC$33,$F17))</f>
        <v>0</v>
      </c>
      <c r="AK17" s="26">
        <f ca="1">IF($C17="","",'Constant Ecs GBP'!AK17*INDEX('Global Constants'!AD$24:AD$33,$F17))</f>
        <v>0</v>
      </c>
      <c r="AL17" s="26">
        <f ca="1">IF($C17="","",'Constant Ecs GBP'!AL17*INDEX('Global Constants'!AE$24:AE$33,$F17))</f>
        <v>0</v>
      </c>
      <c r="AM17" s="26">
        <f ca="1">IF($C17="","",'Constant Ecs GBP'!AM17*INDEX('Global Constants'!AF$24:AF$33,$F17))</f>
        <v>0</v>
      </c>
      <c r="AN17" s="26">
        <f ca="1">IF($C17="","",'Constant Ecs GBP'!AN17*INDEX('Global Constants'!AG$24:AG$33,$F17))</f>
        <v>0</v>
      </c>
      <c r="AO17" s="26">
        <f ca="1">IF($C17="","",'Constant Ecs GBP'!AO17*INDEX('Global Constants'!AH$24:AH$33,$F17))</f>
        <v>0</v>
      </c>
      <c r="AP17" s="26">
        <f ca="1">IF($C17="","",'Constant Ecs GBP'!AP17*INDEX('Global Constants'!AI$24:AI$33,$F17))</f>
        <v>0</v>
      </c>
      <c r="AQ17" s="26">
        <f ca="1">IF($C17="","",'Constant Ecs GBP'!AQ17*INDEX('Global Constants'!AJ$24:AJ$33,$F17))</f>
        <v>0</v>
      </c>
      <c r="AR17" s="26">
        <f ca="1">IF($C17="","",'Constant Ecs GBP'!AR17*INDEX('Global Constants'!AK$24:AK$33,$F17))</f>
        <v>0</v>
      </c>
      <c r="AS17" s="26">
        <f ca="1">IF($C17="","",'Constant Ecs GBP'!AS17*INDEX('Global Constants'!AL$24:AL$33,$F17))</f>
        <v>0</v>
      </c>
      <c r="AT17" s="26">
        <f ca="1">IF($C17="","",'Constant Ecs GBP'!AT17*INDEX('Global Constants'!AM$24:AM$33,$F17))</f>
        <v>0</v>
      </c>
      <c r="AU17" s="26">
        <f ca="1">IF($C17="","",'Constant Ecs GBP'!AU17*INDEX('Global Constants'!AN$24:AN$33,$F17))</f>
        <v>0</v>
      </c>
      <c r="AV17" s="26">
        <f ca="1">IF($C17="","",'Constant Ecs GBP'!AV17*INDEX('Global Constants'!AO$24:AO$33,$F17))</f>
        <v>0</v>
      </c>
      <c r="AW17" s="26">
        <f ca="1">IF($C17="","",'Constant Ecs GBP'!AW17*INDEX('Global Constants'!AP$24:AP$33,$F17))</f>
        <v>0</v>
      </c>
      <c r="AX17" s="26">
        <f ca="1">IF($C17="","",'Constant Ecs GBP'!AX17*INDEX('Global Constants'!AQ$24:AQ$33,$F17))</f>
        <v>0</v>
      </c>
      <c r="AY17" s="26">
        <f ca="1">IF($C17="","",'Constant Ecs GBP'!AY17*INDEX('Global Constants'!AR$24:AR$33,$F17))</f>
        <v>0</v>
      </c>
      <c r="AZ17" s="26">
        <f ca="1">IF($C17="","",'Constant Ecs GBP'!AZ17*INDEX('Global Constants'!AS$24:AS$33,$F17))</f>
        <v>0</v>
      </c>
      <c r="BA17" s="26">
        <f ca="1">IF($C17="","",'Constant Ecs GBP'!BA17*INDEX('Global Constants'!AT$24:AT$33,$F17))</f>
        <v>0</v>
      </c>
      <c r="BB17" s="26">
        <f ca="1">IF($C17="","",'Constant Ecs GBP'!BB17*INDEX('Global Constants'!AU$24:AU$33,$F17))</f>
        <v>0</v>
      </c>
      <c r="BC17" s="26">
        <f ca="1">IF($C17="","",'Constant Ecs GBP'!BC17*INDEX('Global Constants'!AV$24:AV$33,$F17))</f>
        <v>0</v>
      </c>
      <c r="BD17" s="26">
        <f ca="1">IF($C17="","",'Constant Ecs GBP'!BD17*INDEX('Global Constants'!AW$24:AW$33,$F17))</f>
        <v>0</v>
      </c>
      <c r="BE17" s="26">
        <f ca="1">IF($C17="","",'Constant Ecs GBP'!BE17*INDEX('Global Constants'!AX$24:AX$33,$F17))</f>
        <v>0</v>
      </c>
      <c r="BF17" s="26">
        <f ca="1">IF($C17="","",'Constant Ecs GBP'!BF17*INDEX('Global Constants'!AY$24:AY$33,$F17))</f>
        <v>0</v>
      </c>
      <c r="BG17" s="26">
        <f ca="1">IF($C17="","",'Constant Ecs GBP'!BG17*INDEX('Global Constants'!AZ$24:AZ$33,$F17))</f>
        <v>0</v>
      </c>
      <c r="BH17" s="26">
        <f ca="1">IF($C17="","",'Constant Ecs GBP'!BH17*INDEX('Global Constants'!BA$24:BA$33,$F17))</f>
        <v>0</v>
      </c>
      <c r="BI17" s="26">
        <f ca="1">IF($C17="","",'Constant Ecs GBP'!BI17*INDEX('Global Constants'!BB$24:BB$33,$F17))</f>
        <v>0</v>
      </c>
      <c r="BJ17" s="26">
        <f ca="1">IF($C17="","",'Constant Ecs GBP'!BJ17*INDEX('Global Constants'!BC$24:BC$33,$F17))</f>
        <v>0</v>
      </c>
      <c r="BK17" s="26">
        <f ca="1">IF($C17="","",'Constant Ecs GBP'!BK17*INDEX('Global Constants'!BD$24:BD$33,$F17))</f>
        <v>0</v>
      </c>
      <c r="BL17" s="26">
        <f ca="1">IF($C17="","",'Constant Ecs GBP'!BL17*INDEX('Global Constants'!BE$24:BE$33,$F17))</f>
        <v>0</v>
      </c>
      <c r="BM17" s="26">
        <f ca="1">IF($C17="","",'Constant Ecs GBP'!BM17*INDEX('Global Constants'!BF$24:BF$33,$F17))</f>
        <v>0</v>
      </c>
      <c r="BN17" s="26">
        <f ca="1">IF($C17="","",'Constant Ecs GBP'!BN17*INDEX('Global Constants'!BG$24:BG$33,$F17))</f>
        <v>0</v>
      </c>
      <c r="BO17" s="26">
        <f ca="1">IF($C17="","",'Constant Ecs GBP'!BO17*INDEX('Global Constants'!BH$24:BH$33,$F17))</f>
        <v>0</v>
      </c>
      <c r="BP17" s="26">
        <f ca="1">IF($C17="","",'Constant Ecs GBP'!BP17*INDEX('Global Constants'!BI$24:BI$33,$F17))</f>
        <v>0</v>
      </c>
      <c r="BQ17" s="26">
        <f ca="1">IF($C17="","",'Constant Ecs GBP'!BQ17*INDEX('Global Constants'!BJ$24:BJ$33,$F17))</f>
        <v>0</v>
      </c>
      <c r="BR17" s="26">
        <f ca="1">IF($C17="","",'Constant Ecs GBP'!BR17*INDEX('Global Constants'!BK$24:BK$33,$F17))</f>
        <v>0</v>
      </c>
      <c r="BS17" s="26">
        <f ca="1">IF($C17="","",'Constant Ecs GBP'!BS17*INDEX('Global Constants'!BL$24:BL$33,$F17))</f>
        <v>0</v>
      </c>
      <c r="BT17" s="26">
        <f ca="1">IF($C17="","",'Constant Ecs GBP'!BT17*INDEX('Global Constants'!BM$24:BM$33,$F17))</f>
        <v>0</v>
      </c>
      <c r="BU17" s="26">
        <f ca="1">IF($C17="","",'Constant Ecs GBP'!BU17*INDEX('Global Constants'!BN$24:BN$33,$F17))</f>
        <v>0</v>
      </c>
      <c r="BV17" s="26">
        <f ca="1">IF($C17="","",'Constant Ecs GBP'!BV17*INDEX('Global Constants'!BO$24:BO$33,$F17))</f>
        <v>0</v>
      </c>
      <c r="BW17" s="26">
        <f ca="1">IF($C17="","",'Constant Ecs GBP'!BW17*INDEX('Global Constants'!BP$24:BP$33,$F17))</f>
        <v>0</v>
      </c>
      <c r="BX17" s="26">
        <f ca="1">IF($C17="","",'Constant Ecs GBP'!BX17*INDEX('Global Constants'!BQ$24:BQ$33,$F17))</f>
        <v>0</v>
      </c>
      <c r="BY17" s="26">
        <f ca="1">IF($C17="","",'Constant Ecs GBP'!BY17*INDEX('Global Constants'!BR$24:BR$33,$F17))</f>
        <v>0</v>
      </c>
      <c r="BZ17" s="26">
        <f ca="1">IF($C17="","",'Constant Ecs GBP'!BZ17*INDEX('Global Constants'!BS$24:BS$33,$F17))</f>
        <v>0</v>
      </c>
      <c r="CA17" s="26">
        <f ca="1">IF($C17="","",'Constant Ecs GBP'!CA17*INDEX('Global Constants'!BT$24:BT$33,$F17))</f>
        <v>0</v>
      </c>
      <c r="CB17" s="26">
        <f ca="1">IF($C17="","",'Constant Ecs GBP'!CB17*INDEX('Global Constants'!BU$24:BU$33,$F17))</f>
        <v>0</v>
      </c>
      <c r="CC17" s="26">
        <f ca="1">IF($C17="","",'Constant Ecs GBP'!CC17*INDEX('Global Constants'!BV$24:BV$33,$F17))</f>
        <v>0</v>
      </c>
      <c r="CD17" s="26">
        <f ca="1">IF($C17="","",'Constant Ecs GBP'!CD17*INDEX('Global Constants'!BW$24:BW$33,$F17))</f>
        <v>0</v>
      </c>
      <c r="CE17" s="26">
        <f ca="1">IF($C17="","",'Constant Ecs GBP'!CE17*INDEX('Global Constants'!BX$24:BX$33,$F17))</f>
        <v>0</v>
      </c>
      <c r="CF17" s="26">
        <f ca="1">IF($C17="","",'Constant Ecs GBP'!CF17*INDEX('Global Constants'!BY$24:BY$33,$F17))</f>
        <v>0</v>
      </c>
      <c r="CG17" s="26">
        <f ca="1">IF($C17="","",'Constant Ecs GBP'!CG17*INDEX('Global Constants'!BZ$24:BZ$33,$F17))</f>
        <v>0</v>
      </c>
      <c r="CH17" s="26">
        <f ca="1">IF($C17="","",'Constant Ecs GBP'!CH17*INDEX('Global Constants'!CA$24:CA$33,$F17))</f>
        <v>0</v>
      </c>
      <c r="CI17" s="26">
        <f ca="1">IF($C17="","",'Constant Ecs GBP'!CI17*INDEX('Global Constants'!CB$24:CB$33,$F17))</f>
        <v>0</v>
      </c>
      <c r="CJ17" s="26">
        <f ca="1">IF($C17="","",'Constant Ecs GBP'!CJ17*INDEX('Global Constants'!CC$24:CC$33,$F17))</f>
        <v>0</v>
      </c>
      <c r="CK17" s="26">
        <f ca="1">IF($C17="","",'Constant Ecs GBP'!CK17*INDEX('Global Constants'!CD$24:CD$33,$F17))</f>
        <v>0</v>
      </c>
      <c r="CL17" s="26">
        <f ca="1">IF($C17="","",'Constant Ecs GBP'!CL17*INDEX('Global Constants'!CE$24:CE$33,$F17))</f>
        <v>0</v>
      </c>
      <c r="CM17" s="26">
        <f ca="1">IF($C17="","",'Constant Ecs GBP'!CM17*INDEX('Global Constants'!CF$24:CF$33,$F17))</f>
        <v>0</v>
      </c>
      <c r="CN17" s="26">
        <f ca="1">IF($C17="","",'Constant Ecs GBP'!CN17*INDEX('Global Constants'!CG$24:CG$33,$F17))</f>
        <v>0</v>
      </c>
      <c r="CO17" s="26">
        <f ca="1">IF($C17="","",'Constant Ecs GBP'!CO17*INDEX('Global Constants'!CH$24:CH$33,$F17))</f>
        <v>0</v>
      </c>
      <c r="CP17" s="26">
        <f ca="1">IF($C17="","",'Constant Ecs GBP'!CP17*INDEX('Global Constants'!CI$24:CI$33,$F17))</f>
        <v>0</v>
      </c>
      <c r="CQ17" s="26">
        <f ca="1">IF($C17="","",'Constant Ecs GBP'!CQ17*INDEX('Global Constants'!CJ$24:CJ$33,$F17))</f>
        <v>0</v>
      </c>
      <c r="CR17" s="26">
        <f ca="1">IF($C17="","",'Constant Ecs GBP'!CR17*INDEX('Global Constants'!CK$24:CK$33,$F17))</f>
        <v>0</v>
      </c>
      <c r="CS17" s="26">
        <f ca="1">IF($C17="","",'Constant Ecs GBP'!CS17*INDEX('Global Constants'!CL$24:CL$33,$F17))</f>
        <v>0</v>
      </c>
      <c r="CT17" s="26">
        <f ca="1">IF($C17="","",'Constant Ecs GBP'!CT17*INDEX('Global Constants'!CM$24:CM$33,$F17))</f>
        <v>0</v>
      </c>
      <c r="CU17" s="26">
        <f ca="1">IF($C17="","",'Constant Ecs GBP'!CU17*INDEX('Global Constants'!CN$24:CN$33,$F17))</f>
        <v>0</v>
      </c>
      <c r="CV17" s="26">
        <f ca="1">IF($C17="","",'Constant Ecs GBP'!CV17*INDEX('Global Constants'!CO$24:CO$33,$F17))</f>
        <v>0</v>
      </c>
      <c r="CW17" s="26">
        <f ca="1">IF($C17="","",'Constant Ecs GBP'!CW17*INDEX('Global Constants'!CP$24:CP$33,$F17))</f>
        <v>0</v>
      </c>
      <c r="CX17" s="26">
        <f ca="1">IF($C17="","",'Constant Ecs GBP'!CX17*INDEX('Global Constants'!CQ$24:CQ$33,$F17))</f>
        <v>0</v>
      </c>
      <c r="CZ17" s="26">
        <f t="shared" ca="1" si="1"/>
        <v>0</v>
      </c>
      <c r="DA17" s="26">
        <f t="shared" ca="1" si="2"/>
        <v>60763.647518764665</v>
      </c>
    </row>
    <row r="18" spans="3:105" x14ac:dyDescent="0.3">
      <c r="C18" s="4" t="str">
        <f>IF('Cost &amp; Risk Inputs'!C19="","",'Cost &amp; Risk Inputs'!C19)</f>
        <v/>
      </c>
      <c r="D18" s="4" t="str">
        <f>IF(C18="","",'Cost &amp; Risk Inputs'!F19)</f>
        <v/>
      </c>
      <c r="F18" s="18" t="str">
        <f t="shared" si="0"/>
        <v/>
      </c>
      <c r="M18" s="26" t="str">
        <f>IF($C18="","",'Constant Ecs GBP'!M18*INDEX('Global Constants'!F$24:F$33,$F18))</f>
        <v/>
      </c>
      <c r="N18" s="26" t="str">
        <f>IF($C18="","",'Constant Ecs GBP'!N18*INDEX('Global Constants'!G$24:G$33,$F18))</f>
        <v/>
      </c>
      <c r="O18" s="26" t="str">
        <f>IF($C18="","",'Constant Ecs GBP'!O18*INDEX('Global Constants'!H$24:H$33,$F18))</f>
        <v/>
      </c>
      <c r="P18" s="26" t="str">
        <f>IF($C18="","",'Constant Ecs GBP'!P18*INDEX('Global Constants'!I$24:I$33,$F18))</f>
        <v/>
      </c>
      <c r="Q18" s="26" t="str">
        <f>IF($C18="","",'Constant Ecs GBP'!Q18*INDEX('Global Constants'!J$24:J$33,$F18))</f>
        <v/>
      </c>
      <c r="R18" s="26" t="str">
        <f>IF($C18="","",'Constant Ecs GBP'!R18*INDEX('Global Constants'!K$24:K$33,$F18))</f>
        <v/>
      </c>
      <c r="S18" s="26" t="str">
        <f>IF($C18="","",'Constant Ecs GBP'!S18*INDEX('Global Constants'!L$24:L$33,$F18))</f>
        <v/>
      </c>
      <c r="T18" s="26" t="str">
        <f>IF($C18="","",'Constant Ecs GBP'!T18*INDEX('Global Constants'!M$24:M$33,$F18))</f>
        <v/>
      </c>
      <c r="U18" s="26" t="str">
        <f>IF($C18="","",'Constant Ecs GBP'!U18*INDEX('Global Constants'!N$24:N$33,$F18))</f>
        <v/>
      </c>
      <c r="V18" s="26" t="str">
        <f>IF($C18="","",'Constant Ecs GBP'!V18*INDEX('Global Constants'!O$24:O$33,$F18))</f>
        <v/>
      </c>
      <c r="W18" s="26" t="str">
        <f>IF($C18="","",'Constant Ecs GBP'!W18*INDEX('Global Constants'!P$24:P$33,$F18))</f>
        <v/>
      </c>
      <c r="X18" s="26" t="str">
        <f>IF($C18="","",'Constant Ecs GBP'!X18*INDEX('Global Constants'!Q$24:Q$33,$F18))</f>
        <v/>
      </c>
      <c r="Y18" s="26" t="str">
        <f>IF($C18="","",'Constant Ecs GBP'!Y18*INDEX('Global Constants'!R$24:R$33,$F18))</f>
        <v/>
      </c>
      <c r="Z18" s="26" t="str">
        <f>IF($C18="","",'Constant Ecs GBP'!Z18*INDEX('Global Constants'!S$24:S$33,$F18))</f>
        <v/>
      </c>
      <c r="AA18" s="26" t="str">
        <f>IF($C18="","",'Constant Ecs GBP'!AA18*INDEX('Global Constants'!T$24:T$33,$F18))</f>
        <v/>
      </c>
      <c r="AB18" s="26" t="str">
        <f>IF($C18="","",'Constant Ecs GBP'!AB18*INDEX('Global Constants'!U$24:U$33,$F18))</f>
        <v/>
      </c>
      <c r="AC18" s="26" t="str">
        <f>IF($C18="","",'Constant Ecs GBP'!AC18*INDEX('Global Constants'!V$24:V$33,$F18))</f>
        <v/>
      </c>
      <c r="AD18" s="26" t="str">
        <f>IF($C18="","",'Constant Ecs GBP'!AD18*INDEX('Global Constants'!W$24:W$33,$F18))</f>
        <v/>
      </c>
      <c r="AE18" s="26" t="str">
        <f>IF($C18="","",'Constant Ecs GBP'!AE18*INDEX('Global Constants'!X$24:X$33,$F18))</f>
        <v/>
      </c>
      <c r="AF18" s="26" t="str">
        <f>IF($C18="","",'Constant Ecs GBP'!AF18*INDEX('Global Constants'!Y$24:Y$33,$F18))</f>
        <v/>
      </c>
      <c r="AG18" s="26" t="str">
        <f>IF($C18="","",'Constant Ecs GBP'!AG18*INDEX('Global Constants'!Z$24:Z$33,$F18))</f>
        <v/>
      </c>
      <c r="AH18" s="26" t="str">
        <f>IF($C18="","",'Constant Ecs GBP'!AH18*INDEX('Global Constants'!AA$24:AA$33,$F18))</f>
        <v/>
      </c>
      <c r="AI18" s="26" t="str">
        <f>IF($C18="","",'Constant Ecs GBP'!AI18*INDEX('Global Constants'!AB$24:AB$33,$F18))</f>
        <v/>
      </c>
      <c r="AJ18" s="26" t="str">
        <f>IF($C18="","",'Constant Ecs GBP'!AJ18*INDEX('Global Constants'!AC$24:AC$33,$F18))</f>
        <v/>
      </c>
      <c r="AK18" s="26" t="str">
        <f>IF($C18="","",'Constant Ecs GBP'!AK18*INDEX('Global Constants'!AD$24:AD$33,$F18))</f>
        <v/>
      </c>
      <c r="AL18" s="26" t="str">
        <f>IF($C18="","",'Constant Ecs GBP'!AL18*INDEX('Global Constants'!AE$24:AE$33,$F18))</f>
        <v/>
      </c>
      <c r="AM18" s="26" t="str">
        <f>IF($C18="","",'Constant Ecs GBP'!AM18*INDEX('Global Constants'!AF$24:AF$33,$F18))</f>
        <v/>
      </c>
      <c r="AN18" s="26" t="str">
        <f>IF($C18="","",'Constant Ecs GBP'!AN18*INDEX('Global Constants'!AG$24:AG$33,$F18))</f>
        <v/>
      </c>
      <c r="AO18" s="26" t="str">
        <f>IF($C18="","",'Constant Ecs GBP'!AO18*INDEX('Global Constants'!AH$24:AH$33,$F18))</f>
        <v/>
      </c>
      <c r="AP18" s="26" t="str">
        <f>IF($C18="","",'Constant Ecs GBP'!AP18*INDEX('Global Constants'!AI$24:AI$33,$F18))</f>
        <v/>
      </c>
      <c r="AQ18" s="26" t="str">
        <f>IF($C18="","",'Constant Ecs GBP'!AQ18*INDEX('Global Constants'!AJ$24:AJ$33,$F18))</f>
        <v/>
      </c>
      <c r="AR18" s="26" t="str">
        <f>IF($C18="","",'Constant Ecs GBP'!AR18*INDEX('Global Constants'!AK$24:AK$33,$F18))</f>
        <v/>
      </c>
      <c r="AS18" s="26" t="str">
        <f>IF($C18="","",'Constant Ecs GBP'!AS18*INDEX('Global Constants'!AL$24:AL$33,$F18))</f>
        <v/>
      </c>
      <c r="AT18" s="26" t="str">
        <f>IF($C18="","",'Constant Ecs GBP'!AT18*INDEX('Global Constants'!AM$24:AM$33,$F18))</f>
        <v/>
      </c>
      <c r="AU18" s="26" t="str">
        <f>IF($C18="","",'Constant Ecs GBP'!AU18*INDEX('Global Constants'!AN$24:AN$33,$F18))</f>
        <v/>
      </c>
      <c r="AV18" s="26" t="str">
        <f>IF($C18="","",'Constant Ecs GBP'!AV18*INDEX('Global Constants'!AO$24:AO$33,$F18))</f>
        <v/>
      </c>
      <c r="AW18" s="26" t="str">
        <f>IF($C18="","",'Constant Ecs GBP'!AW18*INDEX('Global Constants'!AP$24:AP$33,$F18))</f>
        <v/>
      </c>
      <c r="AX18" s="26" t="str">
        <f>IF($C18="","",'Constant Ecs GBP'!AX18*INDEX('Global Constants'!AQ$24:AQ$33,$F18))</f>
        <v/>
      </c>
      <c r="AY18" s="26" t="str">
        <f>IF($C18="","",'Constant Ecs GBP'!AY18*INDEX('Global Constants'!AR$24:AR$33,$F18))</f>
        <v/>
      </c>
      <c r="AZ18" s="26" t="str">
        <f>IF($C18="","",'Constant Ecs GBP'!AZ18*INDEX('Global Constants'!AS$24:AS$33,$F18))</f>
        <v/>
      </c>
      <c r="BA18" s="26" t="str">
        <f>IF($C18="","",'Constant Ecs GBP'!BA18*INDEX('Global Constants'!AT$24:AT$33,$F18))</f>
        <v/>
      </c>
      <c r="BB18" s="26" t="str">
        <f>IF($C18="","",'Constant Ecs GBP'!BB18*INDEX('Global Constants'!AU$24:AU$33,$F18))</f>
        <v/>
      </c>
      <c r="BC18" s="26" t="str">
        <f>IF($C18="","",'Constant Ecs GBP'!BC18*INDEX('Global Constants'!AV$24:AV$33,$F18))</f>
        <v/>
      </c>
      <c r="BD18" s="26" t="str">
        <f>IF($C18="","",'Constant Ecs GBP'!BD18*INDEX('Global Constants'!AW$24:AW$33,$F18))</f>
        <v/>
      </c>
      <c r="BE18" s="26" t="str">
        <f>IF($C18="","",'Constant Ecs GBP'!BE18*INDEX('Global Constants'!AX$24:AX$33,$F18))</f>
        <v/>
      </c>
      <c r="BF18" s="26" t="str">
        <f>IF($C18="","",'Constant Ecs GBP'!BF18*INDEX('Global Constants'!AY$24:AY$33,$F18))</f>
        <v/>
      </c>
      <c r="BG18" s="26" t="str">
        <f>IF($C18="","",'Constant Ecs GBP'!BG18*INDEX('Global Constants'!AZ$24:AZ$33,$F18))</f>
        <v/>
      </c>
      <c r="BH18" s="26" t="str">
        <f>IF($C18="","",'Constant Ecs GBP'!BH18*INDEX('Global Constants'!BA$24:BA$33,$F18))</f>
        <v/>
      </c>
      <c r="BI18" s="26" t="str">
        <f>IF($C18="","",'Constant Ecs GBP'!BI18*INDEX('Global Constants'!BB$24:BB$33,$F18))</f>
        <v/>
      </c>
      <c r="BJ18" s="26" t="str">
        <f>IF($C18="","",'Constant Ecs GBP'!BJ18*INDEX('Global Constants'!BC$24:BC$33,$F18))</f>
        <v/>
      </c>
      <c r="BK18" s="26" t="str">
        <f>IF($C18="","",'Constant Ecs GBP'!BK18*INDEX('Global Constants'!BD$24:BD$33,$F18))</f>
        <v/>
      </c>
      <c r="BL18" s="26" t="str">
        <f>IF($C18="","",'Constant Ecs GBP'!BL18*INDEX('Global Constants'!BE$24:BE$33,$F18))</f>
        <v/>
      </c>
      <c r="BM18" s="26" t="str">
        <f>IF($C18="","",'Constant Ecs GBP'!BM18*INDEX('Global Constants'!BF$24:BF$33,$F18))</f>
        <v/>
      </c>
      <c r="BN18" s="26" t="str">
        <f>IF($C18="","",'Constant Ecs GBP'!BN18*INDEX('Global Constants'!BG$24:BG$33,$F18))</f>
        <v/>
      </c>
      <c r="BO18" s="26" t="str">
        <f>IF($C18="","",'Constant Ecs GBP'!BO18*INDEX('Global Constants'!BH$24:BH$33,$F18))</f>
        <v/>
      </c>
      <c r="BP18" s="26" t="str">
        <f>IF($C18="","",'Constant Ecs GBP'!BP18*INDEX('Global Constants'!BI$24:BI$33,$F18))</f>
        <v/>
      </c>
      <c r="BQ18" s="26" t="str">
        <f>IF($C18="","",'Constant Ecs GBP'!BQ18*INDEX('Global Constants'!BJ$24:BJ$33,$F18))</f>
        <v/>
      </c>
      <c r="BR18" s="26" t="str">
        <f>IF($C18="","",'Constant Ecs GBP'!BR18*INDEX('Global Constants'!BK$24:BK$33,$F18))</f>
        <v/>
      </c>
      <c r="BS18" s="26" t="str">
        <f>IF($C18="","",'Constant Ecs GBP'!BS18*INDEX('Global Constants'!BL$24:BL$33,$F18))</f>
        <v/>
      </c>
      <c r="BT18" s="26" t="str">
        <f>IF($C18="","",'Constant Ecs GBP'!BT18*INDEX('Global Constants'!BM$24:BM$33,$F18))</f>
        <v/>
      </c>
      <c r="BU18" s="26" t="str">
        <f>IF($C18="","",'Constant Ecs GBP'!BU18*INDEX('Global Constants'!BN$24:BN$33,$F18))</f>
        <v/>
      </c>
      <c r="BV18" s="26" t="str">
        <f>IF($C18="","",'Constant Ecs GBP'!BV18*INDEX('Global Constants'!BO$24:BO$33,$F18))</f>
        <v/>
      </c>
      <c r="BW18" s="26" t="str">
        <f>IF($C18="","",'Constant Ecs GBP'!BW18*INDEX('Global Constants'!BP$24:BP$33,$F18))</f>
        <v/>
      </c>
      <c r="BX18" s="26" t="str">
        <f>IF($C18="","",'Constant Ecs GBP'!BX18*INDEX('Global Constants'!BQ$24:BQ$33,$F18))</f>
        <v/>
      </c>
      <c r="BY18" s="26" t="str">
        <f>IF($C18="","",'Constant Ecs GBP'!BY18*INDEX('Global Constants'!BR$24:BR$33,$F18))</f>
        <v/>
      </c>
      <c r="BZ18" s="26" t="str">
        <f>IF($C18="","",'Constant Ecs GBP'!BZ18*INDEX('Global Constants'!BS$24:BS$33,$F18))</f>
        <v/>
      </c>
      <c r="CA18" s="26" t="str">
        <f>IF($C18="","",'Constant Ecs GBP'!CA18*INDEX('Global Constants'!BT$24:BT$33,$F18))</f>
        <v/>
      </c>
      <c r="CB18" s="26" t="str">
        <f>IF($C18="","",'Constant Ecs GBP'!CB18*INDEX('Global Constants'!BU$24:BU$33,$F18))</f>
        <v/>
      </c>
      <c r="CC18" s="26" t="str">
        <f>IF($C18="","",'Constant Ecs GBP'!CC18*INDEX('Global Constants'!BV$24:BV$33,$F18))</f>
        <v/>
      </c>
      <c r="CD18" s="26" t="str">
        <f>IF($C18="","",'Constant Ecs GBP'!CD18*INDEX('Global Constants'!BW$24:BW$33,$F18))</f>
        <v/>
      </c>
      <c r="CE18" s="26" t="str">
        <f>IF($C18="","",'Constant Ecs GBP'!CE18*INDEX('Global Constants'!BX$24:BX$33,$F18))</f>
        <v/>
      </c>
      <c r="CF18" s="26" t="str">
        <f>IF($C18="","",'Constant Ecs GBP'!CF18*INDEX('Global Constants'!BY$24:BY$33,$F18))</f>
        <v/>
      </c>
      <c r="CG18" s="26" t="str">
        <f>IF($C18="","",'Constant Ecs GBP'!CG18*INDEX('Global Constants'!BZ$24:BZ$33,$F18))</f>
        <v/>
      </c>
      <c r="CH18" s="26" t="str">
        <f>IF($C18="","",'Constant Ecs GBP'!CH18*INDEX('Global Constants'!CA$24:CA$33,$F18))</f>
        <v/>
      </c>
      <c r="CI18" s="26" t="str">
        <f>IF($C18="","",'Constant Ecs GBP'!CI18*INDEX('Global Constants'!CB$24:CB$33,$F18))</f>
        <v/>
      </c>
      <c r="CJ18" s="26" t="str">
        <f>IF($C18="","",'Constant Ecs GBP'!CJ18*INDEX('Global Constants'!CC$24:CC$33,$F18))</f>
        <v/>
      </c>
      <c r="CK18" s="26" t="str">
        <f>IF($C18="","",'Constant Ecs GBP'!CK18*INDEX('Global Constants'!CD$24:CD$33,$F18))</f>
        <v/>
      </c>
      <c r="CL18" s="26" t="str">
        <f>IF($C18="","",'Constant Ecs GBP'!CL18*INDEX('Global Constants'!CE$24:CE$33,$F18))</f>
        <v/>
      </c>
      <c r="CM18" s="26" t="str">
        <f>IF($C18="","",'Constant Ecs GBP'!CM18*INDEX('Global Constants'!CF$24:CF$33,$F18))</f>
        <v/>
      </c>
      <c r="CN18" s="26" t="str">
        <f>IF($C18="","",'Constant Ecs GBP'!CN18*INDEX('Global Constants'!CG$24:CG$33,$F18))</f>
        <v/>
      </c>
      <c r="CO18" s="26" t="str">
        <f>IF($C18="","",'Constant Ecs GBP'!CO18*INDEX('Global Constants'!CH$24:CH$33,$F18))</f>
        <v/>
      </c>
      <c r="CP18" s="26" t="str">
        <f>IF($C18="","",'Constant Ecs GBP'!CP18*INDEX('Global Constants'!CI$24:CI$33,$F18))</f>
        <v/>
      </c>
      <c r="CQ18" s="26" t="str">
        <f>IF($C18="","",'Constant Ecs GBP'!CQ18*INDEX('Global Constants'!CJ$24:CJ$33,$F18))</f>
        <v/>
      </c>
      <c r="CR18" s="26" t="str">
        <f>IF($C18="","",'Constant Ecs GBP'!CR18*INDEX('Global Constants'!CK$24:CK$33,$F18))</f>
        <v/>
      </c>
      <c r="CS18" s="26" t="str">
        <f>IF($C18="","",'Constant Ecs GBP'!CS18*INDEX('Global Constants'!CL$24:CL$33,$F18))</f>
        <v/>
      </c>
      <c r="CT18" s="26" t="str">
        <f>IF($C18="","",'Constant Ecs GBP'!CT18*INDEX('Global Constants'!CM$24:CM$33,$F18))</f>
        <v/>
      </c>
      <c r="CU18" s="26" t="str">
        <f>IF($C18="","",'Constant Ecs GBP'!CU18*INDEX('Global Constants'!CN$24:CN$33,$F18))</f>
        <v/>
      </c>
      <c r="CV18" s="26" t="str">
        <f>IF($C18="","",'Constant Ecs GBP'!CV18*INDEX('Global Constants'!CO$24:CO$33,$F18))</f>
        <v/>
      </c>
      <c r="CW18" s="26" t="str">
        <f>IF($C18="","",'Constant Ecs GBP'!CW18*INDEX('Global Constants'!CP$24:CP$33,$F18))</f>
        <v/>
      </c>
      <c r="CX18" s="26" t="str">
        <f>IF($C18="","",'Constant Ecs GBP'!CX18*INDEX('Global Constants'!CQ$24:CQ$33,$F18))</f>
        <v/>
      </c>
      <c r="CZ18" s="26">
        <f t="shared" ca="1" si="1"/>
        <v>0</v>
      </c>
      <c r="DA18" s="26">
        <f t="shared" si="2"/>
        <v>0</v>
      </c>
    </row>
    <row r="19" spans="3:105" x14ac:dyDescent="0.3">
      <c r="C19" s="4" t="str">
        <f>IF('Cost &amp; Risk Inputs'!C20="","",'Cost &amp; Risk Inputs'!C20)</f>
        <v/>
      </c>
      <c r="D19" s="4" t="str">
        <f>IF(C19="","",'Cost &amp; Risk Inputs'!F20)</f>
        <v/>
      </c>
      <c r="F19" s="18" t="str">
        <f t="shared" si="0"/>
        <v/>
      </c>
      <c r="M19" s="26" t="str">
        <f>IF($C19="","",'Constant Ecs GBP'!M19*INDEX('Global Constants'!F$24:F$33,$F19))</f>
        <v/>
      </c>
      <c r="N19" s="26" t="str">
        <f>IF($C19="","",'Constant Ecs GBP'!N19*INDEX('Global Constants'!G$24:G$33,$F19))</f>
        <v/>
      </c>
      <c r="O19" s="26" t="str">
        <f>IF($C19="","",'Constant Ecs GBP'!O19*INDEX('Global Constants'!H$24:H$33,$F19))</f>
        <v/>
      </c>
      <c r="P19" s="26" t="str">
        <f>IF($C19="","",'Constant Ecs GBP'!P19*INDEX('Global Constants'!I$24:I$33,$F19))</f>
        <v/>
      </c>
      <c r="Q19" s="26" t="str">
        <f>IF($C19="","",'Constant Ecs GBP'!Q19*INDEX('Global Constants'!J$24:J$33,$F19))</f>
        <v/>
      </c>
      <c r="R19" s="26" t="str">
        <f>IF($C19="","",'Constant Ecs GBP'!R19*INDEX('Global Constants'!K$24:K$33,$F19))</f>
        <v/>
      </c>
      <c r="S19" s="26" t="str">
        <f>IF($C19="","",'Constant Ecs GBP'!S19*INDEX('Global Constants'!L$24:L$33,$F19))</f>
        <v/>
      </c>
      <c r="T19" s="26" t="str">
        <f>IF($C19="","",'Constant Ecs GBP'!T19*INDEX('Global Constants'!M$24:M$33,$F19))</f>
        <v/>
      </c>
      <c r="U19" s="26" t="str">
        <f>IF($C19="","",'Constant Ecs GBP'!U19*INDEX('Global Constants'!N$24:N$33,$F19))</f>
        <v/>
      </c>
      <c r="V19" s="26" t="str">
        <f>IF($C19="","",'Constant Ecs GBP'!V19*INDEX('Global Constants'!O$24:O$33,$F19))</f>
        <v/>
      </c>
      <c r="W19" s="26" t="str">
        <f>IF($C19="","",'Constant Ecs GBP'!W19*INDEX('Global Constants'!P$24:P$33,$F19))</f>
        <v/>
      </c>
      <c r="X19" s="26" t="str">
        <f>IF($C19="","",'Constant Ecs GBP'!X19*INDEX('Global Constants'!Q$24:Q$33,$F19))</f>
        <v/>
      </c>
      <c r="Y19" s="26" t="str">
        <f>IF($C19="","",'Constant Ecs GBP'!Y19*INDEX('Global Constants'!R$24:R$33,$F19))</f>
        <v/>
      </c>
      <c r="Z19" s="26" t="str">
        <f>IF($C19="","",'Constant Ecs GBP'!Z19*INDEX('Global Constants'!S$24:S$33,$F19))</f>
        <v/>
      </c>
      <c r="AA19" s="26" t="str">
        <f>IF($C19="","",'Constant Ecs GBP'!AA19*INDEX('Global Constants'!T$24:T$33,$F19))</f>
        <v/>
      </c>
      <c r="AB19" s="26" t="str">
        <f>IF($C19="","",'Constant Ecs GBP'!AB19*INDEX('Global Constants'!U$24:U$33,$F19))</f>
        <v/>
      </c>
      <c r="AC19" s="26" t="str">
        <f>IF($C19="","",'Constant Ecs GBP'!AC19*INDEX('Global Constants'!V$24:V$33,$F19))</f>
        <v/>
      </c>
      <c r="AD19" s="26" t="str">
        <f>IF($C19="","",'Constant Ecs GBP'!AD19*INDEX('Global Constants'!W$24:W$33,$F19))</f>
        <v/>
      </c>
      <c r="AE19" s="26" t="str">
        <f>IF($C19="","",'Constant Ecs GBP'!AE19*INDEX('Global Constants'!X$24:X$33,$F19))</f>
        <v/>
      </c>
      <c r="AF19" s="26" t="str">
        <f>IF($C19="","",'Constant Ecs GBP'!AF19*INDEX('Global Constants'!Y$24:Y$33,$F19))</f>
        <v/>
      </c>
      <c r="AG19" s="26" t="str">
        <f>IF($C19="","",'Constant Ecs GBP'!AG19*INDEX('Global Constants'!Z$24:Z$33,$F19))</f>
        <v/>
      </c>
      <c r="AH19" s="26" t="str">
        <f>IF($C19="","",'Constant Ecs GBP'!AH19*INDEX('Global Constants'!AA$24:AA$33,$F19))</f>
        <v/>
      </c>
      <c r="AI19" s="26" t="str">
        <f>IF($C19="","",'Constant Ecs GBP'!AI19*INDEX('Global Constants'!AB$24:AB$33,$F19))</f>
        <v/>
      </c>
      <c r="AJ19" s="26" t="str">
        <f>IF($C19="","",'Constant Ecs GBP'!AJ19*INDEX('Global Constants'!AC$24:AC$33,$F19))</f>
        <v/>
      </c>
      <c r="AK19" s="26" t="str">
        <f>IF($C19="","",'Constant Ecs GBP'!AK19*INDEX('Global Constants'!AD$24:AD$33,$F19))</f>
        <v/>
      </c>
      <c r="AL19" s="26" t="str">
        <f>IF($C19="","",'Constant Ecs GBP'!AL19*INDEX('Global Constants'!AE$24:AE$33,$F19))</f>
        <v/>
      </c>
      <c r="AM19" s="26" t="str">
        <f>IF($C19="","",'Constant Ecs GBP'!AM19*INDEX('Global Constants'!AF$24:AF$33,$F19))</f>
        <v/>
      </c>
      <c r="AN19" s="26" t="str">
        <f>IF($C19="","",'Constant Ecs GBP'!AN19*INDEX('Global Constants'!AG$24:AG$33,$F19))</f>
        <v/>
      </c>
      <c r="AO19" s="26" t="str">
        <f>IF($C19="","",'Constant Ecs GBP'!AO19*INDEX('Global Constants'!AH$24:AH$33,$F19))</f>
        <v/>
      </c>
      <c r="AP19" s="26" t="str">
        <f>IF($C19="","",'Constant Ecs GBP'!AP19*INDEX('Global Constants'!AI$24:AI$33,$F19))</f>
        <v/>
      </c>
      <c r="AQ19" s="26" t="str">
        <f>IF($C19="","",'Constant Ecs GBP'!AQ19*INDEX('Global Constants'!AJ$24:AJ$33,$F19))</f>
        <v/>
      </c>
      <c r="AR19" s="26" t="str">
        <f>IF($C19="","",'Constant Ecs GBP'!AR19*INDEX('Global Constants'!AK$24:AK$33,$F19))</f>
        <v/>
      </c>
      <c r="AS19" s="26" t="str">
        <f>IF($C19="","",'Constant Ecs GBP'!AS19*INDEX('Global Constants'!AL$24:AL$33,$F19))</f>
        <v/>
      </c>
      <c r="AT19" s="26" t="str">
        <f>IF($C19="","",'Constant Ecs GBP'!AT19*INDEX('Global Constants'!AM$24:AM$33,$F19))</f>
        <v/>
      </c>
      <c r="AU19" s="26" t="str">
        <f>IF($C19="","",'Constant Ecs GBP'!AU19*INDEX('Global Constants'!AN$24:AN$33,$F19))</f>
        <v/>
      </c>
      <c r="AV19" s="26" t="str">
        <f>IF($C19="","",'Constant Ecs GBP'!AV19*INDEX('Global Constants'!AO$24:AO$33,$F19))</f>
        <v/>
      </c>
      <c r="AW19" s="26" t="str">
        <f>IF($C19="","",'Constant Ecs GBP'!AW19*INDEX('Global Constants'!AP$24:AP$33,$F19))</f>
        <v/>
      </c>
      <c r="AX19" s="26" t="str">
        <f>IF($C19="","",'Constant Ecs GBP'!AX19*INDEX('Global Constants'!AQ$24:AQ$33,$F19))</f>
        <v/>
      </c>
      <c r="AY19" s="26" t="str">
        <f>IF($C19="","",'Constant Ecs GBP'!AY19*INDEX('Global Constants'!AR$24:AR$33,$F19))</f>
        <v/>
      </c>
      <c r="AZ19" s="26" t="str">
        <f>IF($C19="","",'Constant Ecs GBP'!AZ19*INDEX('Global Constants'!AS$24:AS$33,$F19))</f>
        <v/>
      </c>
      <c r="BA19" s="26" t="str">
        <f>IF($C19="","",'Constant Ecs GBP'!BA19*INDEX('Global Constants'!AT$24:AT$33,$F19))</f>
        <v/>
      </c>
      <c r="BB19" s="26" t="str">
        <f>IF($C19="","",'Constant Ecs GBP'!BB19*INDEX('Global Constants'!AU$24:AU$33,$F19))</f>
        <v/>
      </c>
      <c r="BC19" s="26" t="str">
        <f>IF($C19="","",'Constant Ecs GBP'!BC19*INDEX('Global Constants'!AV$24:AV$33,$F19))</f>
        <v/>
      </c>
      <c r="BD19" s="26" t="str">
        <f>IF($C19="","",'Constant Ecs GBP'!BD19*INDEX('Global Constants'!AW$24:AW$33,$F19))</f>
        <v/>
      </c>
      <c r="BE19" s="26" t="str">
        <f>IF($C19="","",'Constant Ecs GBP'!BE19*INDEX('Global Constants'!AX$24:AX$33,$F19))</f>
        <v/>
      </c>
      <c r="BF19" s="26" t="str">
        <f>IF($C19="","",'Constant Ecs GBP'!BF19*INDEX('Global Constants'!AY$24:AY$33,$F19))</f>
        <v/>
      </c>
      <c r="BG19" s="26" t="str">
        <f>IF($C19="","",'Constant Ecs GBP'!BG19*INDEX('Global Constants'!AZ$24:AZ$33,$F19))</f>
        <v/>
      </c>
      <c r="BH19" s="26" t="str">
        <f>IF($C19="","",'Constant Ecs GBP'!BH19*INDEX('Global Constants'!BA$24:BA$33,$F19))</f>
        <v/>
      </c>
      <c r="BI19" s="26" t="str">
        <f>IF($C19="","",'Constant Ecs GBP'!BI19*INDEX('Global Constants'!BB$24:BB$33,$F19))</f>
        <v/>
      </c>
      <c r="BJ19" s="26" t="str">
        <f>IF($C19="","",'Constant Ecs GBP'!BJ19*INDEX('Global Constants'!BC$24:BC$33,$F19))</f>
        <v/>
      </c>
      <c r="BK19" s="26" t="str">
        <f>IF($C19="","",'Constant Ecs GBP'!BK19*INDEX('Global Constants'!BD$24:BD$33,$F19))</f>
        <v/>
      </c>
      <c r="BL19" s="26" t="str">
        <f>IF($C19="","",'Constant Ecs GBP'!BL19*INDEX('Global Constants'!BE$24:BE$33,$F19))</f>
        <v/>
      </c>
      <c r="BM19" s="26" t="str">
        <f>IF($C19="","",'Constant Ecs GBP'!BM19*INDEX('Global Constants'!BF$24:BF$33,$F19))</f>
        <v/>
      </c>
      <c r="BN19" s="26" t="str">
        <f>IF($C19="","",'Constant Ecs GBP'!BN19*INDEX('Global Constants'!BG$24:BG$33,$F19))</f>
        <v/>
      </c>
      <c r="BO19" s="26" t="str">
        <f>IF($C19="","",'Constant Ecs GBP'!BO19*INDEX('Global Constants'!BH$24:BH$33,$F19))</f>
        <v/>
      </c>
      <c r="BP19" s="26" t="str">
        <f>IF($C19="","",'Constant Ecs GBP'!BP19*INDEX('Global Constants'!BI$24:BI$33,$F19))</f>
        <v/>
      </c>
      <c r="BQ19" s="26" t="str">
        <f>IF($C19="","",'Constant Ecs GBP'!BQ19*INDEX('Global Constants'!BJ$24:BJ$33,$F19))</f>
        <v/>
      </c>
      <c r="BR19" s="26" t="str">
        <f>IF($C19="","",'Constant Ecs GBP'!BR19*INDEX('Global Constants'!BK$24:BK$33,$F19))</f>
        <v/>
      </c>
      <c r="BS19" s="26" t="str">
        <f>IF($C19="","",'Constant Ecs GBP'!BS19*INDEX('Global Constants'!BL$24:BL$33,$F19))</f>
        <v/>
      </c>
      <c r="BT19" s="26" t="str">
        <f>IF($C19="","",'Constant Ecs GBP'!BT19*INDEX('Global Constants'!BM$24:BM$33,$F19))</f>
        <v/>
      </c>
      <c r="BU19" s="26" t="str">
        <f>IF($C19="","",'Constant Ecs GBP'!BU19*INDEX('Global Constants'!BN$24:BN$33,$F19))</f>
        <v/>
      </c>
      <c r="BV19" s="26" t="str">
        <f>IF($C19="","",'Constant Ecs GBP'!BV19*INDEX('Global Constants'!BO$24:BO$33,$F19))</f>
        <v/>
      </c>
      <c r="BW19" s="26" t="str">
        <f>IF($C19="","",'Constant Ecs GBP'!BW19*INDEX('Global Constants'!BP$24:BP$33,$F19))</f>
        <v/>
      </c>
      <c r="BX19" s="26" t="str">
        <f>IF($C19="","",'Constant Ecs GBP'!BX19*INDEX('Global Constants'!BQ$24:BQ$33,$F19))</f>
        <v/>
      </c>
      <c r="BY19" s="26" t="str">
        <f>IF($C19="","",'Constant Ecs GBP'!BY19*INDEX('Global Constants'!BR$24:BR$33,$F19))</f>
        <v/>
      </c>
      <c r="BZ19" s="26" t="str">
        <f>IF($C19="","",'Constant Ecs GBP'!BZ19*INDEX('Global Constants'!BS$24:BS$33,$F19))</f>
        <v/>
      </c>
      <c r="CA19" s="26" t="str">
        <f>IF($C19="","",'Constant Ecs GBP'!CA19*INDEX('Global Constants'!BT$24:BT$33,$F19))</f>
        <v/>
      </c>
      <c r="CB19" s="26" t="str">
        <f>IF($C19="","",'Constant Ecs GBP'!CB19*INDEX('Global Constants'!BU$24:BU$33,$F19))</f>
        <v/>
      </c>
      <c r="CC19" s="26" t="str">
        <f>IF($C19="","",'Constant Ecs GBP'!CC19*INDEX('Global Constants'!BV$24:BV$33,$F19))</f>
        <v/>
      </c>
      <c r="CD19" s="26" t="str">
        <f>IF($C19="","",'Constant Ecs GBP'!CD19*INDEX('Global Constants'!BW$24:BW$33,$F19))</f>
        <v/>
      </c>
      <c r="CE19" s="26" t="str">
        <f>IF($C19="","",'Constant Ecs GBP'!CE19*INDEX('Global Constants'!BX$24:BX$33,$F19))</f>
        <v/>
      </c>
      <c r="CF19" s="26" t="str">
        <f>IF($C19="","",'Constant Ecs GBP'!CF19*INDEX('Global Constants'!BY$24:BY$33,$F19))</f>
        <v/>
      </c>
      <c r="CG19" s="26" t="str">
        <f>IF($C19="","",'Constant Ecs GBP'!CG19*INDEX('Global Constants'!BZ$24:BZ$33,$F19))</f>
        <v/>
      </c>
      <c r="CH19" s="26" t="str">
        <f>IF($C19="","",'Constant Ecs GBP'!CH19*INDEX('Global Constants'!CA$24:CA$33,$F19))</f>
        <v/>
      </c>
      <c r="CI19" s="26" t="str">
        <f>IF($C19="","",'Constant Ecs GBP'!CI19*INDEX('Global Constants'!CB$24:CB$33,$F19))</f>
        <v/>
      </c>
      <c r="CJ19" s="26" t="str">
        <f>IF($C19="","",'Constant Ecs GBP'!CJ19*INDEX('Global Constants'!CC$24:CC$33,$F19))</f>
        <v/>
      </c>
      <c r="CK19" s="26" t="str">
        <f>IF($C19="","",'Constant Ecs GBP'!CK19*INDEX('Global Constants'!CD$24:CD$33,$F19))</f>
        <v/>
      </c>
      <c r="CL19" s="26" t="str">
        <f>IF($C19="","",'Constant Ecs GBP'!CL19*INDEX('Global Constants'!CE$24:CE$33,$F19))</f>
        <v/>
      </c>
      <c r="CM19" s="26" t="str">
        <f>IF($C19="","",'Constant Ecs GBP'!CM19*INDEX('Global Constants'!CF$24:CF$33,$F19))</f>
        <v/>
      </c>
      <c r="CN19" s="26" t="str">
        <f>IF($C19="","",'Constant Ecs GBP'!CN19*INDEX('Global Constants'!CG$24:CG$33,$F19))</f>
        <v/>
      </c>
      <c r="CO19" s="26" t="str">
        <f>IF($C19="","",'Constant Ecs GBP'!CO19*INDEX('Global Constants'!CH$24:CH$33,$F19))</f>
        <v/>
      </c>
      <c r="CP19" s="26" t="str">
        <f>IF($C19="","",'Constant Ecs GBP'!CP19*INDEX('Global Constants'!CI$24:CI$33,$F19))</f>
        <v/>
      </c>
      <c r="CQ19" s="26" t="str">
        <f>IF($C19="","",'Constant Ecs GBP'!CQ19*INDEX('Global Constants'!CJ$24:CJ$33,$F19))</f>
        <v/>
      </c>
      <c r="CR19" s="26" t="str">
        <f>IF($C19="","",'Constant Ecs GBP'!CR19*INDEX('Global Constants'!CK$24:CK$33,$F19))</f>
        <v/>
      </c>
      <c r="CS19" s="26" t="str">
        <f>IF($C19="","",'Constant Ecs GBP'!CS19*INDEX('Global Constants'!CL$24:CL$33,$F19))</f>
        <v/>
      </c>
      <c r="CT19" s="26" t="str">
        <f>IF($C19="","",'Constant Ecs GBP'!CT19*INDEX('Global Constants'!CM$24:CM$33,$F19))</f>
        <v/>
      </c>
      <c r="CU19" s="26" t="str">
        <f>IF($C19="","",'Constant Ecs GBP'!CU19*INDEX('Global Constants'!CN$24:CN$33,$F19))</f>
        <v/>
      </c>
      <c r="CV19" s="26" t="str">
        <f>IF($C19="","",'Constant Ecs GBP'!CV19*INDEX('Global Constants'!CO$24:CO$33,$F19))</f>
        <v/>
      </c>
      <c r="CW19" s="26" t="str">
        <f>IF($C19="","",'Constant Ecs GBP'!CW19*INDEX('Global Constants'!CP$24:CP$33,$F19))</f>
        <v/>
      </c>
      <c r="CX19" s="26" t="str">
        <f>IF($C19="","",'Constant Ecs GBP'!CX19*INDEX('Global Constants'!CQ$24:CQ$33,$F19))</f>
        <v/>
      </c>
      <c r="CZ19" s="26">
        <f t="shared" ca="1" si="1"/>
        <v>0</v>
      </c>
      <c r="DA19" s="26">
        <f t="shared" si="2"/>
        <v>0</v>
      </c>
    </row>
    <row r="20" spans="3:105" x14ac:dyDescent="0.3">
      <c r="C20" s="4" t="str">
        <f>IF('Cost &amp; Risk Inputs'!C21="","",'Cost &amp; Risk Inputs'!C21)</f>
        <v/>
      </c>
      <c r="D20" s="4" t="str">
        <f>IF(C20="","",'Cost &amp; Risk Inputs'!F21)</f>
        <v/>
      </c>
      <c r="F20" s="18" t="str">
        <f t="shared" si="0"/>
        <v/>
      </c>
      <c r="M20" s="26" t="str">
        <f>IF($C20="","",'Constant Ecs GBP'!M20*INDEX('Global Constants'!F$24:F$33,$F20))</f>
        <v/>
      </c>
      <c r="N20" s="26" t="str">
        <f>IF($C20="","",'Constant Ecs GBP'!N20*INDEX('Global Constants'!G$24:G$33,$F20))</f>
        <v/>
      </c>
      <c r="O20" s="26" t="str">
        <f>IF($C20="","",'Constant Ecs GBP'!O20*INDEX('Global Constants'!H$24:H$33,$F20))</f>
        <v/>
      </c>
      <c r="P20" s="26" t="str">
        <f>IF($C20="","",'Constant Ecs GBP'!P20*INDEX('Global Constants'!I$24:I$33,$F20))</f>
        <v/>
      </c>
      <c r="Q20" s="26" t="str">
        <f>IF($C20="","",'Constant Ecs GBP'!Q20*INDEX('Global Constants'!J$24:J$33,$F20))</f>
        <v/>
      </c>
      <c r="R20" s="26" t="str">
        <f>IF($C20="","",'Constant Ecs GBP'!R20*INDEX('Global Constants'!K$24:K$33,$F20))</f>
        <v/>
      </c>
      <c r="S20" s="26" t="str">
        <f>IF($C20="","",'Constant Ecs GBP'!S20*INDEX('Global Constants'!L$24:L$33,$F20))</f>
        <v/>
      </c>
      <c r="T20" s="26" t="str">
        <f>IF($C20="","",'Constant Ecs GBP'!T20*INDEX('Global Constants'!M$24:M$33,$F20))</f>
        <v/>
      </c>
      <c r="U20" s="26" t="str">
        <f>IF($C20="","",'Constant Ecs GBP'!U20*INDEX('Global Constants'!N$24:N$33,$F20))</f>
        <v/>
      </c>
      <c r="V20" s="26" t="str">
        <f>IF($C20="","",'Constant Ecs GBP'!V20*INDEX('Global Constants'!O$24:O$33,$F20))</f>
        <v/>
      </c>
      <c r="W20" s="26" t="str">
        <f>IF($C20="","",'Constant Ecs GBP'!W20*INDEX('Global Constants'!P$24:P$33,$F20))</f>
        <v/>
      </c>
      <c r="X20" s="26" t="str">
        <f>IF($C20="","",'Constant Ecs GBP'!X20*INDEX('Global Constants'!Q$24:Q$33,$F20))</f>
        <v/>
      </c>
      <c r="Y20" s="26" t="str">
        <f>IF($C20="","",'Constant Ecs GBP'!Y20*INDEX('Global Constants'!R$24:R$33,$F20))</f>
        <v/>
      </c>
      <c r="Z20" s="26" t="str">
        <f>IF($C20="","",'Constant Ecs GBP'!Z20*INDEX('Global Constants'!S$24:S$33,$F20))</f>
        <v/>
      </c>
      <c r="AA20" s="26" t="str">
        <f>IF($C20="","",'Constant Ecs GBP'!AA20*INDEX('Global Constants'!T$24:T$33,$F20))</f>
        <v/>
      </c>
      <c r="AB20" s="26" t="str">
        <f>IF($C20="","",'Constant Ecs GBP'!AB20*INDEX('Global Constants'!U$24:U$33,$F20))</f>
        <v/>
      </c>
      <c r="AC20" s="26" t="str">
        <f>IF($C20="","",'Constant Ecs GBP'!AC20*INDEX('Global Constants'!V$24:V$33,$F20))</f>
        <v/>
      </c>
      <c r="AD20" s="26" t="str">
        <f>IF($C20="","",'Constant Ecs GBP'!AD20*INDEX('Global Constants'!W$24:W$33,$F20))</f>
        <v/>
      </c>
      <c r="AE20" s="26" t="str">
        <f>IF($C20="","",'Constant Ecs GBP'!AE20*INDEX('Global Constants'!X$24:X$33,$F20))</f>
        <v/>
      </c>
      <c r="AF20" s="26" t="str">
        <f>IF($C20="","",'Constant Ecs GBP'!AF20*INDEX('Global Constants'!Y$24:Y$33,$F20))</f>
        <v/>
      </c>
      <c r="AG20" s="26" t="str">
        <f>IF($C20="","",'Constant Ecs GBP'!AG20*INDEX('Global Constants'!Z$24:Z$33,$F20))</f>
        <v/>
      </c>
      <c r="AH20" s="26" t="str">
        <f>IF($C20="","",'Constant Ecs GBP'!AH20*INDEX('Global Constants'!AA$24:AA$33,$F20))</f>
        <v/>
      </c>
      <c r="AI20" s="26" t="str">
        <f>IF($C20="","",'Constant Ecs GBP'!AI20*INDEX('Global Constants'!AB$24:AB$33,$F20))</f>
        <v/>
      </c>
      <c r="AJ20" s="26" t="str">
        <f>IF($C20="","",'Constant Ecs GBP'!AJ20*INDEX('Global Constants'!AC$24:AC$33,$F20))</f>
        <v/>
      </c>
      <c r="AK20" s="26" t="str">
        <f>IF($C20="","",'Constant Ecs GBP'!AK20*INDEX('Global Constants'!AD$24:AD$33,$F20))</f>
        <v/>
      </c>
      <c r="AL20" s="26" t="str">
        <f>IF($C20="","",'Constant Ecs GBP'!AL20*INDEX('Global Constants'!AE$24:AE$33,$F20))</f>
        <v/>
      </c>
      <c r="AM20" s="26" t="str">
        <f>IF($C20="","",'Constant Ecs GBP'!AM20*INDEX('Global Constants'!AF$24:AF$33,$F20))</f>
        <v/>
      </c>
      <c r="AN20" s="26" t="str">
        <f>IF($C20="","",'Constant Ecs GBP'!AN20*INDEX('Global Constants'!AG$24:AG$33,$F20))</f>
        <v/>
      </c>
      <c r="AO20" s="26" t="str">
        <f>IF($C20="","",'Constant Ecs GBP'!AO20*INDEX('Global Constants'!AH$24:AH$33,$F20))</f>
        <v/>
      </c>
      <c r="AP20" s="26" t="str">
        <f>IF($C20="","",'Constant Ecs GBP'!AP20*INDEX('Global Constants'!AI$24:AI$33,$F20))</f>
        <v/>
      </c>
      <c r="AQ20" s="26" t="str">
        <f>IF($C20="","",'Constant Ecs GBP'!AQ20*INDEX('Global Constants'!AJ$24:AJ$33,$F20))</f>
        <v/>
      </c>
      <c r="AR20" s="26" t="str">
        <f>IF($C20="","",'Constant Ecs GBP'!AR20*INDEX('Global Constants'!AK$24:AK$33,$F20))</f>
        <v/>
      </c>
      <c r="AS20" s="26" t="str">
        <f>IF($C20="","",'Constant Ecs GBP'!AS20*INDEX('Global Constants'!AL$24:AL$33,$F20))</f>
        <v/>
      </c>
      <c r="AT20" s="26" t="str">
        <f>IF($C20="","",'Constant Ecs GBP'!AT20*INDEX('Global Constants'!AM$24:AM$33,$F20))</f>
        <v/>
      </c>
      <c r="AU20" s="26" t="str">
        <f>IF($C20="","",'Constant Ecs GBP'!AU20*INDEX('Global Constants'!AN$24:AN$33,$F20))</f>
        <v/>
      </c>
      <c r="AV20" s="26" t="str">
        <f>IF($C20="","",'Constant Ecs GBP'!AV20*INDEX('Global Constants'!AO$24:AO$33,$F20))</f>
        <v/>
      </c>
      <c r="AW20" s="26" t="str">
        <f>IF($C20="","",'Constant Ecs GBP'!AW20*INDEX('Global Constants'!AP$24:AP$33,$F20))</f>
        <v/>
      </c>
      <c r="AX20" s="26" t="str">
        <f>IF($C20="","",'Constant Ecs GBP'!AX20*INDEX('Global Constants'!AQ$24:AQ$33,$F20))</f>
        <v/>
      </c>
      <c r="AY20" s="26" t="str">
        <f>IF($C20="","",'Constant Ecs GBP'!AY20*INDEX('Global Constants'!AR$24:AR$33,$F20))</f>
        <v/>
      </c>
      <c r="AZ20" s="26" t="str">
        <f>IF($C20="","",'Constant Ecs GBP'!AZ20*INDEX('Global Constants'!AS$24:AS$33,$F20))</f>
        <v/>
      </c>
      <c r="BA20" s="26" t="str">
        <f>IF($C20="","",'Constant Ecs GBP'!BA20*INDEX('Global Constants'!AT$24:AT$33,$F20))</f>
        <v/>
      </c>
      <c r="BB20" s="26" t="str">
        <f>IF($C20="","",'Constant Ecs GBP'!BB20*INDEX('Global Constants'!AU$24:AU$33,$F20))</f>
        <v/>
      </c>
      <c r="BC20" s="26" t="str">
        <f>IF($C20="","",'Constant Ecs GBP'!BC20*INDEX('Global Constants'!AV$24:AV$33,$F20))</f>
        <v/>
      </c>
      <c r="BD20" s="26" t="str">
        <f>IF($C20="","",'Constant Ecs GBP'!BD20*INDEX('Global Constants'!AW$24:AW$33,$F20))</f>
        <v/>
      </c>
      <c r="BE20" s="26" t="str">
        <f>IF($C20="","",'Constant Ecs GBP'!BE20*INDEX('Global Constants'!AX$24:AX$33,$F20))</f>
        <v/>
      </c>
      <c r="BF20" s="26" t="str">
        <f>IF($C20="","",'Constant Ecs GBP'!BF20*INDEX('Global Constants'!AY$24:AY$33,$F20))</f>
        <v/>
      </c>
      <c r="BG20" s="26" t="str">
        <f>IF($C20="","",'Constant Ecs GBP'!BG20*INDEX('Global Constants'!AZ$24:AZ$33,$F20))</f>
        <v/>
      </c>
      <c r="BH20" s="26" t="str">
        <f>IF($C20="","",'Constant Ecs GBP'!BH20*INDEX('Global Constants'!BA$24:BA$33,$F20))</f>
        <v/>
      </c>
      <c r="BI20" s="26" t="str">
        <f>IF($C20="","",'Constant Ecs GBP'!BI20*INDEX('Global Constants'!BB$24:BB$33,$F20))</f>
        <v/>
      </c>
      <c r="BJ20" s="26" t="str">
        <f>IF($C20="","",'Constant Ecs GBP'!BJ20*INDEX('Global Constants'!BC$24:BC$33,$F20))</f>
        <v/>
      </c>
      <c r="BK20" s="26" t="str">
        <f>IF($C20="","",'Constant Ecs GBP'!BK20*INDEX('Global Constants'!BD$24:BD$33,$F20))</f>
        <v/>
      </c>
      <c r="BL20" s="26" t="str">
        <f>IF($C20="","",'Constant Ecs GBP'!BL20*INDEX('Global Constants'!BE$24:BE$33,$F20))</f>
        <v/>
      </c>
      <c r="BM20" s="26" t="str">
        <f>IF($C20="","",'Constant Ecs GBP'!BM20*INDEX('Global Constants'!BF$24:BF$33,$F20))</f>
        <v/>
      </c>
      <c r="BN20" s="26" t="str">
        <f>IF($C20="","",'Constant Ecs GBP'!BN20*INDEX('Global Constants'!BG$24:BG$33,$F20))</f>
        <v/>
      </c>
      <c r="BO20" s="26" t="str">
        <f>IF($C20="","",'Constant Ecs GBP'!BO20*INDEX('Global Constants'!BH$24:BH$33,$F20))</f>
        <v/>
      </c>
      <c r="BP20" s="26" t="str">
        <f>IF($C20="","",'Constant Ecs GBP'!BP20*INDEX('Global Constants'!BI$24:BI$33,$F20))</f>
        <v/>
      </c>
      <c r="BQ20" s="26" t="str">
        <f>IF($C20="","",'Constant Ecs GBP'!BQ20*INDEX('Global Constants'!BJ$24:BJ$33,$F20))</f>
        <v/>
      </c>
      <c r="BR20" s="26" t="str">
        <f>IF($C20="","",'Constant Ecs GBP'!BR20*INDEX('Global Constants'!BK$24:BK$33,$F20))</f>
        <v/>
      </c>
      <c r="BS20" s="26" t="str">
        <f>IF($C20="","",'Constant Ecs GBP'!BS20*INDEX('Global Constants'!BL$24:BL$33,$F20))</f>
        <v/>
      </c>
      <c r="BT20" s="26" t="str">
        <f>IF($C20="","",'Constant Ecs GBP'!BT20*INDEX('Global Constants'!BM$24:BM$33,$F20))</f>
        <v/>
      </c>
      <c r="BU20" s="26" t="str">
        <f>IF($C20="","",'Constant Ecs GBP'!BU20*INDEX('Global Constants'!BN$24:BN$33,$F20))</f>
        <v/>
      </c>
      <c r="BV20" s="26" t="str">
        <f>IF($C20="","",'Constant Ecs GBP'!BV20*INDEX('Global Constants'!BO$24:BO$33,$F20))</f>
        <v/>
      </c>
      <c r="BW20" s="26" t="str">
        <f>IF($C20="","",'Constant Ecs GBP'!BW20*INDEX('Global Constants'!BP$24:BP$33,$F20))</f>
        <v/>
      </c>
      <c r="BX20" s="26" t="str">
        <f>IF($C20="","",'Constant Ecs GBP'!BX20*INDEX('Global Constants'!BQ$24:BQ$33,$F20))</f>
        <v/>
      </c>
      <c r="BY20" s="26" t="str">
        <f>IF($C20="","",'Constant Ecs GBP'!BY20*INDEX('Global Constants'!BR$24:BR$33,$F20))</f>
        <v/>
      </c>
      <c r="BZ20" s="26" t="str">
        <f>IF($C20="","",'Constant Ecs GBP'!BZ20*INDEX('Global Constants'!BS$24:BS$33,$F20))</f>
        <v/>
      </c>
      <c r="CA20" s="26" t="str">
        <f>IF($C20="","",'Constant Ecs GBP'!CA20*INDEX('Global Constants'!BT$24:BT$33,$F20))</f>
        <v/>
      </c>
      <c r="CB20" s="26" t="str">
        <f>IF($C20="","",'Constant Ecs GBP'!CB20*INDEX('Global Constants'!BU$24:BU$33,$F20))</f>
        <v/>
      </c>
      <c r="CC20" s="26" t="str">
        <f>IF($C20="","",'Constant Ecs GBP'!CC20*INDEX('Global Constants'!BV$24:BV$33,$F20))</f>
        <v/>
      </c>
      <c r="CD20" s="26" t="str">
        <f>IF($C20="","",'Constant Ecs GBP'!CD20*INDEX('Global Constants'!BW$24:BW$33,$F20))</f>
        <v/>
      </c>
      <c r="CE20" s="26" t="str">
        <f>IF($C20="","",'Constant Ecs GBP'!CE20*INDEX('Global Constants'!BX$24:BX$33,$F20))</f>
        <v/>
      </c>
      <c r="CF20" s="26" t="str">
        <f>IF($C20="","",'Constant Ecs GBP'!CF20*INDEX('Global Constants'!BY$24:BY$33,$F20))</f>
        <v/>
      </c>
      <c r="CG20" s="26" t="str">
        <f>IF($C20="","",'Constant Ecs GBP'!CG20*INDEX('Global Constants'!BZ$24:BZ$33,$F20))</f>
        <v/>
      </c>
      <c r="CH20" s="26" t="str">
        <f>IF($C20="","",'Constant Ecs GBP'!CH20*INDEX('Global Constants'!CA$24:CA$33,$F20))</f>
        <v/>
      </c>
      <c r="CI20" s="26" t="str">
        <f>IF($C20="","",'Constant Ecs GBP'!CI20*INDEX('Global Constants'!CB$24:CB$33,$F20))</f>
        <v/>
      </c>
      <c r="CJ20" s="26" t="str">
        <f>IF($C20="","",'Constant Ecs GBP'!CJ20*INDEX('Global Constants'!CC$24:CC$33,$F20))</f>
        <v/>
      </c>
      <c r="CK20" s="26" t="str">
        <f>IF($C20="","",'Constant Ecs GBP'!CK20*INDEX('Global Constants'!CD$24:CD$33,$F20))</f>
        <v/>
      </c>
      <c r="CL20" s="26" t="str">
        <f>IF($C20="","",'Constant Ecs GBP'!CL20*INDEX('Global Constants'!CE$24:CE$33,$F20))</f>
        <v/>
      </c>
      <c r="CM20" s="26" t="str">
        <f>IF($C20="","",'Constant Ecs GBP'!CM20*INDEX('Global Constants'!CF$24:CF$33,$F20))</f>
        <v/>
      </c>
      <c r="CN20" s="26" t="str">
        <f>IF($C20="","",'Constant Ecs GBP'!CN20*INDEX('Global Constants'!CG$24:CG$33,$F20))</f>
        <v/>
      </c>
      <c r="CO20" s="26" t="str">
        <f>IF($C20="","",'Constant Ecs GBP'!CO20*INDEX('Global Constants'!CH$24:CH$33,$F20))</f>
        <v/>
      </c>
      <c r="CP20" s="26" t="str">
        <f>IF($C20="","",'Constant Ecs GBP'!CP20*INDEX('Global Constants'!CI$24:CI$33,$F20))</f>
        <v/>
      </c>
      <c r="CQ20" s="26" t="str">
        <f>IF($C20="","",'Constant Ecs GBP'!CQ20*INDEX('Global Constants'!CJ$24:CJ$33,$F20))</f>
        <v/>
      </c>
      <c r="CR20" s="26" t="str">
        <f>IF($C20="","",'Constant Ecs GBP'!CR20*INDEX('Global Constants'!CK$24:CK$33,$F20))</f>
        <v/>
      </c>
      <c r="CS20" s="26" t="str">
        <f>IF($C20="","",'Constant Ecs GBP'!CS20*INDEX('Global Constants'!CL$24:CL$33,$F20))</f>
        <v/>
      </c>
      <c r="CT20" s="26" t="str">
        <f>IF($C20="","",'Constant Ecs GBP'!CT20*INDEX('Global Constants'!CM$24:CM$33,$F20))</f>
        <v/>
      </c>
      <c r="CU20" s="26" t="str">
        <f>IF($C20="","",'Constant Ecs GBP'!CU20*INDEX('Global Constants'!CN$24:CN$33,$F20))</f>
        <v/>
      </c>
      <c r="CV20" s="26" t="str">
        <f>IF($C20="","",'Constant Ecs GBP'!CV20*INDEX('Global Constants'!CO$24:CO$33,$F20))</f>
        <v/>
      </c>
      <c r="CW20" s="26" t="str">
        <f>IF($C20="","",'Constant Ecs GBP'!CW20*INDEX('Global Constants'!CP$24:CP$33,$F20))</f>
        <v/>
      </c>
      <c r="CX20" s="26" t="str">
        <f>IF($C20="","",'Constant Ecs GBP'!CX20*INDEX('Global Constants'!CQ$24:CQ$33,$F20))</f>
        <v/>
      </c>
      <c r="CZ20" s="26">
        <f t="shared" ca="1" si="1"/>
        <v>0</v>
      </c>
      <c r="DA20" s="26">
        <f t="shared" si="2"/>
        <v>0</v>
      </c>
    </row>
    <row r="21" spans="3:105" x14ac:dyDescent="0.3">
      <c r="C21" s="4" t="str">
        <f>IF('Cost &amp; Risk Inputs'!C22="","",'Cost &amp; Risk Inputs'!C22)</f>
        <v/>
      </c>
      <c r="D21" s="4" t="str">
        <f>IF(C21="","",'Cost &amp; Risk Inputs'!F22)</f>
        <v/>
      </c>
      <c r="F21" s="18" t="str">
        <f t="shared" si="0"/>
        <v/>
      </c>
      <c r="M21" s="26" t="str">
        <f>IF($C21="","",'Constant Ecs GBP'!M21*INDEX('Global Constants'!F$24:F$33,$F21))</f>
        <v/>
      </c>
      <c r="N21" s="26" t="str">
        <f>IF($C21="","",'Constant Ecs GBP'!N21*INDEX('Global Constants'!G$24:G$33,$F21))</f>
        <v/>
      </c>
      <c r="O21" s="26" t="str">
        <f>IF($C21="","",'Constant Ecs GBP'!O21*INDEX('Global Constants'!H$24:H$33,$F21))</f>
        <v/>
      </c>
      <c r="P21" s="26" t="str">
        <f>IF($C21="","",'Constant Ecs GBP'!P21*INDEX('Global Constants'!I$24:I$33,$F21))</f>
        <v/>
      </c>
      <c r="Q21" s="26" t="str">
        <f>IF($C21="","",'Constant Ecs GBP'!Q21*INDEX('Global Constants'!J$24:J$33,$F21))</f>
        <v/>
      </c>
      <c r="R21" s="26" t="str">
        <f>IF($C21="","",'Constant Ecs GBP'!R21*INDEX('Global Constants'!K$24:K$33,$F21))</f>
        <v/>
      </c>
      <c r="S21" s="26" t="str">
        <f>IF($C21="","",'Constant Ecs GBP'!S21*INDEX('Global Constants'!L$24:L$33,$F21))</f>
        <v/>
      </c>
      <c r="T21" s="26" t="str">
        <f>IF($C21="","",'Constant Ecs GBP'!T21*INDEX('Global Constants'!M$24:M$33,$F21))</f>
        <v/>
      </c>
      <c r="U21" s="26" t="str">
        <f>IF($C21="","",'Constant Ecs GBP'!U21*INDEX('Global Constants'!N$24:N$33,$F21))</f>
        <v/>
      </c>
      <c r="V21" s="26" t="str">
        <f>IF($C21="","",'Constant Ecs GBP'!V21*INDEX('Global Constants'!O$24:O$33,$F21))</f>
        <v/>
      </c>
      <c r="W21" s="26" t="str">
        <f>IF($C21="","",'Constant Ecs GBP'!W21*INDEX('Global Constants'!P$24:P$33,$F21))</f>
        <v/>
      </c>
      <c r="X21" s="26" t="str">
        <f>IF($C21="","",'Constant Ecs GBP'!X21*INDEX('Global Constants'!Q$24:Q$33,$F21))</f>
        <v/>
      </c>
      <c r="Y21" s="26" t="str">
        <f>IF($C21="","",'Constant Ecs GBP'!Y21*INDEX('Global Constants'!R$24:R$33,$F21))</f>
        <v/>
      </c>
      <c r="Z21" s="26" t="str">
        <f>IF($C21="","",'Constant Ecs GBP'!Z21*INDEX('Global Constants'!S$24:S$33,$F21))</f>
        <v/>
      </c>
      <c r="AA21" s="26" t="str">
        <f>IF($C21="","",'Constant Ecs GBP'!AA21*INDEX('Global Constants'!T$24:T$33,$F21))</f>
        <v/>
      </c>
      <c r="AB21" s="26" t="str">
        <f>IF($C21="","",'Constant Ecs GBP'!AB21*INDEX('Global Constants'!U$24:U$33,$F21))</f>
        <v/>
      </c>
      <c r="AC21" s="26" t="str">
        <f>IF($C21="","",'Constant Ecs GBP'!AC21*INDEX('Global Constants'!V$24:V$33,$F21))</f>
        <v/>
      </c>
      <c r="AD21" s="26" t="str">
        <f>IF($C21="","",'Constant Ecs GBP'!AD21*INDEX('Global Constants'!W$24:W$33,$F21))</f>
        <v/>
      </c>
      <c r="AE21" s="26" t="str">
        <f>IF($C21="","",'Constant Ecs GBP'!AE21*INDEX('Global Constants'!X$24:X$33,$F21))</f>
        <v/>
      </c>
      <c r="AF21" s="26" t="str">
        <f>IF($C21="","",'Constant Ecs GBP'!AF21*INDEX('Global Constants'!Y$24:Y$33,$F21))</f>
        <v/>
      </c>
      <c r="AG21" s="26" t="str">
        <f>IF($C21="","",'Constant Ecs GBP'!AG21*INDEX('Global Constants'!Z$24:Z$33,$F21))</f>
        <v/>
      </c>
      <c r="AH21" s="26" t="str">
        <f>IF($C21="","",'Constant Ecs GBP'!AH21*INDEX('Global Constants'!AA$24:AA$33,$F21))</f>
        <v/>
      </c>
      <c r="AI21" s="26" t="str">
        <f>IF($C21="","",'Constant Ecs GBP'!AI21*INDEX('Global Constants'!AB$24:AB$33,$F21))</f>
        <v/>
      </c>
      <c r="AJ21" s="26" t="str">
        <f>IF($C21="","",'Constant Ecs GBP'!AJ21*INDEX('Global Constants'!AC$24:AC$33,$F21))</f>
        <v/>
      </c>
      <c r="AK21" s="26" t="str">
        <f>IF($C21="","",'Constant Ecs GBP'!AK21*INDEX('Global Constants'!AD$24:AD$33,$F21))</f>
        <v/>
      </c>
      <c r="AL21" s="26" t="str">
        <f>IF($C21="","",'Constant Ecs GBP'!AL21*INDEX('Global Constants'!AE$24:AE$33,$F21))</f>
        <v/>
      </c>
      <c r="AM21" s="26" t="str">
        <f>IF($C21="","",'Constant Ecs GBP'!AM21*INDEX('Global Constants'!AF$24:AF$33,$F21))</f>
        <v/>
      </c>
      <c r="AN21" s="26" t="str">
        <f>IF($C21="","",'Constant Ecs GBP'!AN21*INDEX('Global Constants'!AG$24:AG$33,$F21))</f>
        <v/>
      </c>
      <c r="AO21" s="26" t="str">
        <f>IF($C21="","",'Constant Ecs GBP'!AO21*INDEX('Global Constants'!AH$24:AH$33,$F21))</f>
        <v/>
      </c>
      <c r="AP21" s="26" t="str">
        <f>IF($C21="","",'Constant Ecs GBP'!AP21*INDEX('Global Constants'!AI$24:AI$33,$F21))</f>
        <v/>
      </c>
      <c r="AQ21" s="26" t="str">
        <f>IF($C21="","",'Constant Ecs GBP'!AQ21*INDEX('Global Constants'!AJ$24:AJ$33,$F21))</f>
        <v/>
      </c>
      <c r="AR21" s="26" t="str">
        <f>IF($C21="","",'Constant Ecs GBP'!AR21*INDEX('Global Constants'!AK$24:AK$33,$F21))</f>
        <v/>
      </c>
      <c r="AS21" s="26" t="str">
        <f>IF($C21="","",'Constant Ecs GBP'!AS21*INDEX('Global Constants'!AL$24:AL$33,$F21))</f>
        <v/>
      </c>
      <c r="AT21" s="26" t="str">
        <f>IF($C21="","",'Constant Ecs GBP'!AT21*INDEX('Global Constants'!AM$24:AM$33,$F21))</f>
        <v/>
      </c>
      <c r="AU21" s="26" t="str">
        <f>IF($C21="","",'Constant Ecs GBP'!AU21*INDEX('Global Constants'!AN$24:AN$33,$F21))</f>
        <v/>
      </c>
      <c r="AV21" s="26" t="str">
        <f>IF($C21="","",'Constant Ecs GBP'!AV21*INDEX('Global Constants'!AO$24:AO$33,$F21))</f>
        <v/>
      </c>
      <c r="AW21" s="26" t="str">
        <f>IF($C21="","",'Constant Ecs GBP'!AW21*INDEX('Global Constants'!AP$24:AP$33,$F21))</f>
        <v/>
      </c>
      <c r="AX21" s="26" t="str">
        <f>IF($C21="","",'Constant Ecs GBP'!AX21*INDEX('Global Constants'!AQ$24:AQ$33,$F21))</f>
        <v/>
      </c>
      <c r="AY21" s="26" t="str">
        <f>IF($C21="","",'Constant Ecs GBP'!AY21*INDEX('Global Constants'!AR$24:AR$33,$F21))</f>
        <v/>
      </c>
      <c r="AZ21" s="26" t="str">
        <f>IF($C21="","",'Constant Ecs GBP'!AZ21*INDEX('Global Constants'!AS$24:AS$33,$F21))</f>
        <v/>
      </c>
      <c r="BA21" s="26" t="str">
        <f>IF($C21="","",'Constant Ecs GBP'!BA21*INDEX('Global Constants'!AT$24:AT$33,$F21))</f>
        <v/>
      </c>
      <c r="BB21" s="26" t="str">
        <f>IF($C21="","",'Constant Ecs GBP'!BB21*INDEX('Global Constants'!AU$24:AU$33,$F21))</f>
        <v/>
      </c>
      <c r="BC21" s="26" t="str">
        <f>IF($C21="","",'Constant Ecs GBP'!BC21*INDEX('Global Constants'!AV$24:AV$33,$F21))</f>
        <v/>
      </c>
      <c r="BD21" s="26" t="str">
        <f>IF($C21="","",'Constant Ecs GBP'!BD21*INDEX('Global Constants'!AW$24:AW$33,$F21))</f>
        <v/>
      </c>
      <c r="BE21" s="26" t="str">
        <f>IF($C21="","",'Constant Ecs GBP'!BE21*INDEX('Global Constants'!AX$24:AX$33,$F21))</f>
        <v/>
      </c>
      <c r="BF21" s="26" t="str">
        <f>IF($C21="","",'Constant Ecs GBP'!BF21*INDEX('Global Constants'!AY$24:AY$33,$F21))</f>
        <v/>
      </c>
      <c r="BG21" s="26" t="str">
        <f>IF($C21="","",'Constant Ecs GBP'!BG21*INDEX('Global Constants'!AZ$24:AZ$33,$F21))</f>
        <v/>
      </c>
      <c r="BH21" s="26" t="str">
        <f>IF($C21="","",'Constant Ecs GBP'!BH21*INDEX('Global Constants'!BA$24:BA$33,$F21))</f>
        <v/>
      </c>
      <c r="BI21" s="26" t="str">
        <f>IF($C21="","",'Constant Ecs GBP'!BI21*INDEX('Global Constants'!BB$24:BB$33,$F21))</f>
        <v/>
      </c>
      <c r="BJ21" s="26" t="str">
        <f>IF($C21="","",'Constant Ecs GBP'!BJ21*INDEX('Global Constants'!BC$24:BC$33,$F21))</f>
        <v/>
      </c>
      <c r="BK21" s="26" t="str">
        <f>IF($C21="","",'Constant Ecs GBP'!BK21*INDEX('Global Constants'!BD$24:BD$33,$F21))</f>
        <v/>
      </c>
      <c r="BL21" s="26" t="str">
        <f>IF($C21="","",'Constant Ecs GBP'!BL21*INDEX('Global Constants'!BE$24:BE$33,$F21))</f>
        <v/>
      </c>
      <c r="BM21" s="26" t="str">
        <f>IF($C21="","",'Constant Ecs GBP'!BM21*INDEX('Global Constants'!BF$24:BF$33,$F21))</f>
        <v/>
      </c>
      <c r="BN21" s="26" t="str">
        <f>IF($C21="","",'Constant Ecs GBP'!BN21*INDEX('Global Constants'!BG$24:BG$33,$F21))</f>
        <v/>
      </c>
      <c r="BO21" s="26" t="str">
        <f>IF($C21="","",'Constant Ecs GBP'!BO21*INDEX('Global Constants'!BH$24:BH$33,$F21))</f>
        <v/>
      </c>
      <c r="BP21" s="26" t="str">
        <f>IF($C21="","",'Constant Ecs GBP'!BP21*INDEX('Global Constants'!BI$24:BI$33,$F21))</f>
        <v/>
      </c>
      <c r="BQ21" s="26" t="str">
        <f>IF($C21="","",'Constant Ecs GBP'!BQ21*INDEX('Global Constants'!BJ$24:BJ$33,$F21))</f>
        <v/>
      </c>
      <c r="BR21" s="26" t="str">
        <f>IF($C21="","",'Constant Ecs GBP'!BR21*INDEX('Global Constants'!BK$24:BK$33,$F21))</f>
        <v/>
      </c>
      <c r="BS21" s="26" t="str">
        <f>IF($C21="","",'Constant Ecs GBP'!BS21*INDEX('Global Constants'!BL$24:BL$33,$F21))</f>
        <v/>
      </c>
      <c r="BT21" s="26" t="str">
        <f>IF($C21="","",'Constant Ecs GBP'!BT21*INDEX('Global Constants'!BM$24:BM$33,$F21))</f>
        <v/>
      </c>
      <c r="BU21" s="26" t="str">
        <f>IF($C21="","",'Constant Ecs GBP'!BU21*INDEX('Global Constants'!BN$24:BN$33,$F21))</f>
        <v/>
      </c>
      <c r="BV21" s="26" t="str">
        <f>IF($C21="","",'Constant Ecs GBP'!BV21*INDEX('Global Constants'!BO$24:BO$33,$F21))</f>
        <v/>
      </c>
      <c r="BW21" s="26" t="str">
        <f>IF($C21="","",'Constant Ecs GBP'!BW21*INDEX('Global Constants'!BP$24:BP$33,$F21))</f>
        <v/>
      </c>
      <c r="BX21" s="26" t="str">
        <f>IF($C21="","",'Constant Ecs GBP'!BX21*INDEX('Global Constants'!BQ$24:BQ$33,$F21))</f>
        <v/>
      </c>
      <c r="BY21" s="26" t="str">
        <f>IF($C21="","",'Constant Ecs GBP'!BY21*INDEX('Global Constants'!BR$24:BR$33,$F21))</f>
        <v/>
      </c>
      <c r="BZ21" s="26" t="str">
        <f>IF($C21="","",'Constant Ecs GBP'!BZ21*INDEX('Global Constants'!BS$24:BS$33,$F21))</f>
        <v/>
      </c>
      <c r="CA21" s="26" t="str">
        <f>IF($C21="","",'Constant Ecs GBP'!CA21*INDEX('Global Constants'!BT$24:BT$33,$F21))</f>
        <v/>
      </c>
      <c r="CB21" s="26" t="str">
        <f>IF($C21="","",'Constant Ecs GBP'!CB21*INDEX('Global Constants'!BU$24:BU$33,$F21))</f>
        <v/>
      </c>
      <c r="CC21" s="26" t="str">
        <f>IF($C21="","",'Constant Ecs GBP'!CC21*INDEX('Global Constants'!BV$24:BV$33,$F21))</f>
        <v/>
      </c>
      <c r="CD21" s="26" t="str">
        <f>IF($C21="","",'Constant Ecs GBP'!CD21*INDEX('Global Constants'!BW$24:BW$33,$F21))</f>
        <v/>
      </c>
      <c r="CE21" s="26" t="str">
        <f>IF($C21="","",'Constant Ecs GBP'!CE21*INDEX('Global Constants'!BX$24:BX$33,$F21))</f>
        <v/>
      </c>
      <c r="CF21" s="26" t="str">
        <f>IF($C21="","",'Constant Ecs GBP'!CF21*INDEX('Global Constants'!BY$24:BY$33,$F21))</f>
        <v/>
      </c>
      <c r="CG21" s="26" t="str">
        <f>IF($C21="","",'Constant Ecs GBP'!CG21*INDEX('Global Constants'!BZ$24:BZ$33,$F21))</f>
        <v/>
      </c>
      <c r="CH21" s="26" t="str">
        <f>IF($C21="","",'Constant Ecs GBP'!CH21*INDEX('Global Constants'!CA$24:CA$33,$F21))</f>
        <v/>
      </c>
      <c r="CI21" s="26" t="str">
        <f>IF($C21="","",'Constant Ecs GBP'!CI21*INDEX('Global Constants'!CB$24:CB$33,$F21))</f>
        <v/>
      </c>
      <c r="CJ21" s="26" t="str">
        <f>IF($C21="","",'Constant Ecs GBP'!CJ21*INDEX('Global Constants'!CC$24:CC$33,$F21))</f>
        <v/>
      </c>
      <c r="CK21" s="26" t="str">
        <f>IF($C21="","",'Constant Ecs GBP'!CK21*INDEX('Global Constants'!CD$24:CD$33,$F21))</f>
        <v/>
      </c>
      <c r="CL21" s="26" t="str">
        <f>IF($C21="","",'Constant Ecs GBP'!CL21*INDEX('Global Constants'!CE$24:CE$33,$F21))</f>
        <v/>
      </c>
      <c r="CM21" s="26" t="str">
        <f>IF($C21="","",'Constant Ecs GBP'!CM21*INDEX('Global Constants'!CF$24:CF$33,$F21))</f>
        <v/>
      </c>
      <c r="CN21" s="26" t="str">
        <f>IF($C21="","",'Constant Ecs GBP'!CN21*INDEX('Global Constants'!CG$24:CG$33,$F21))</f>
        <v/>
      </c>
      <c r="CO21" s="26" t="str">
        <f>IF($C21="","",'Constant Ecs GBP'!CO21*INDEX('Global Constants'!CH$24:CH$33,$F21))</f>
        <v/>
      </c>
      <c r="CP21" s="26" t="str">
        <f>IF($C21="","",'Constant Ecs GBP'!CP21*INDEX('Global Constants'!CI$24:CI$33,$F21))</f>
        <v/>
      </c>
      <c r="CQ21" s="26" t="str">
        <f>IF($C21="","",'Constant Ecs GBP'!CQ21*INDEX('Global Constants'!CJ$24:CJ$33,$F21))</f>
        <v/>
      </c>
      <c r="CR21" s="26" t="str">
        <f>IF($C21="","",'Constant Ecs GBP'!CR21*INDEX('Global Constants'!CK$24:CK$33,$F21))</f>
        <v/>
      </c>
      <c r="CS21" s="26" t="str">
        <f>IF($C21="","",'Constant Ecs GBP'!CS21*INDEX('Global Constants'!CL$24:CL$33,$F21))</f>
        <v/>
      </c>
      <c r="CT21" s="26" t="str">
        <f>IF($C21="","",'Constant Ecs GBP'!CT21*INDEX('Global Constants'!CM$24:CM$33,$F21))</f>
        <v/>
      </c>
      <c r="CU21" s="26" t="str">
        <f>IF($C21="","",'Constant Ecs GBP'!CU21*INDEX('Global Constants'!CN$24:CN$33,$F21))</f>
        <v/>
      </c>
      <c r="CV21" s="26" t="str">
        <f>IF($C21="","",'Constant Ecs GBP'!CV21*INDEX('Global Constants'!CO$24:CO$33,$F21))</f>
        <v/>
      </c>
      <c r="CW21" s="26" t="str">
        <f>IF($C21="","",'Constant Ecs GBP'!CW21*INDEX('Global Constants'!CP$24:CP$33,$F21))</f>
        <v/>
      </c>
      <c r="CX21" s="26" t="str">
        <f>IF($C21="","",'Constant Ecs GBP'!CX21*INDEX('Global Constants'!CQ$24:CQ$33,$F21))</f>
        <v/>
      </c>
      <c r="CZ21" s="26">
        <f t="shared" ca="1" si="1"/>
        <v>0</v>
      </c>
      <c r="DA21" s="26">
        <f t="shared" si="2"/>
        <v>0</v>
      </c>
    </row>
    <row r="22" spans="3:105" x14ac:dyDescent="0.3">
      <c r="C22" s="4" t="str">
        <f>IF('Cost &amp; Risk Inputs'!C23="","",'Cost &amp; Risk Inputs'!C23)</f>
        <v/>
      </c>
      <c r="D22" s="4" t="str">
        <f>IF(C22="","",'Cost &amp; Risk Inputs'!F23)</f>
        <v/>
      </c>
      <c r="F22" s="18" t="str">
        <f t="shared" si="0"/>
        <v/>
      </c>
      <c r="M22" s="26" t="str">
        <f>IF($C22="","",'Constant Ecs GBP'!M22*INDEX('Global Constants'!F$24:F$33,$F22))</f>
        <v/>
      </c>
      <c r="N22" s="26" t="str">
        <f>IF($C22="","",'Constant Ecs GBP'!N22*INDEX('Global Constants'!G$24:G$33,$F22))</f>
        <v/>
      </c>
      <c r="O22" s="26" t="str">
        <f>IF($C22="","",'Constant Ecs GBP'!O22*INDEX('Global Constants'!H$24:H$33,$F22))</f>
        <v/>
      </c>
      <c r="P22" s="26" t="str">
        <f>IF($C22="","",'Constant Ecs GBP'!P22*INDEX('Global Constants'!I$24:I$33,$F22))</f>
        <v/>
      </c>
      <c r="Q22" s="26" t="str">
        <f>IF($C22="","",'Constant Ecs GBP'!Q22*INDEX('Global Constants'!J$24:J$33,$F22))</f>
        <v/>
      </c>
      <c r="R22" s="26" t="str">
        <f>IF($C22="","",'Constant Ecs GBP'!R22*INDEX('Global Constants'!K$24:K$33,$F22))</f>
        <v/>
      </c>
      <c r="S22" s="26" t="str">
        <f>IF($C22="","",'Constant Ecs GBP'!S22*INDEX('Global Constants'!L$24:L$33,$F22))</f>
        <v/>
      </c>
      <c r="T22" s="26" t="str">
        <f>IF($C22="","",'Constant Ecs GBP'!T22*INDEX('Global Constants'!M$24:M$33,$F22))</f>
        <v/>
      </c>
      <c r="U22" s="26" t="str">
        <f>IF($C22="","",'Constant Ecs GBP'!U22*INDEX('Global Constants'!N$24:N$33,$F22))</f>
        <v/>
      </c>
      <c r="V22" s="26" t="str">
        <f>IF($C22="","",'Constant Ecs GBP'!V22*INDEX('Global Constants'!O$24:O$33,$F22))</f>
        <v/>
      </c>
      <c r="W22" s="26" t="str">
        <f>IF($C22="","",'Constant Ecs GBP'!W22*INDEX('Global Constants'!P$24:P$33,$F22))</f>
        <v/>
      </c>
      <c r="X22" s="26" t="str">
        <f>IF($C22="","",'Constant Ecs GBP'!X22*INDEX('Global Constants'!Q$24:Q$33,$F22))</f>
        <v/>
      </c>
      <c r="Y22" s="26" t="str">
        <f>IF($C22="","",'Constant Ecs GBP'!Y22*INDEX('Global Constants'!R$24:R$33,$F22))</f>
        <v/>
      </c>
      <c r="Z22" s="26" t="str">
        <f>IF($C22="","",'Constant Ecs GBP'!Z22*INDEX('Global Constants'!S$24:S$33,$F22))</f>
        <v/>
      </c>
      <c r="AA22" s="26" t="str">
        <f>IF($C22="","",'Constant Ecs GBP'!AA22*INDEX('Global Constants'!T$24:T$33,$F22))</f>
        <v/>
      </c>
      <c r="AB22" s="26" t="str">
        <f>IF($C22="","",'Constant Ecs GBP'!AB22*INDEX('Global Constants'!U$24:U$33,$F22))</f>
        <v/>
      </c>
      <c r="AC22" s="26" t="str">
        <f>IF($C22="","",'Constant Ecs GBP'!AC22*INDEX('Global Constants'!V$24:V$33,$F22))</f>
        <v/>
      </c>
      <c r="AD22" s="26" t="str">
        <f>IF($C22="","",'Constant Ecs GBP'!AD22*INDEX('Global Constants'!W$24:W$33,$F22))</f>
        <v/>
      </c>
      <c r="AE22" s="26" t="str">
        <f>IF($C22="","",'Constant Ecs GBP'!AE22*INDEX('Global Constants'!X$24:X$33,$F22))</f>
        <v/>
      </c>
      <c r="AF22" s="26" t="str">
        <f>IF($C22="","",'Constant Ecs GBP'!AF22*INDEX('Global Constants'!Y$24:Y$33,$F22))</f>
        <v/>
      </c>
      <c r="AG22" s="26" t="str">
        <f>IF($C22="","",'Constant Ecs GBP'!AG22*INDEX('Global Constants'!Z$24:Z$33,$F22))</f>
        <v/>
      </c>
      <c r="AH22" s="26" t="str">
        <f>IF($C22="","",'Constant Ecs GBP'!AH22*INDEX('Global Constants'!AA$24:AA$33,$F22))</f>
        <v/>
      </c>
      <c r="AI22" s="26" t="str">
        <f>IF($C22="","",'Constant Ecs GBP'!AI22*INDEX('Global Constants'!AB$24:AB$33,$F22))</f>
        <v/>
      </c>
      <c r="AJ22" s="26" t="str">
        <f>IF($C22="","",'Constant Ecs GBP'!AJ22*INDEX('Global Constants'!AC$24:AC$33,$F22))</f>
        <v/>
      </c>
      <c r="AK22" s="26" t="str">
        <f>IF($C22="","",'Constant Ecs GBP'!AK22*INDEX('Global Constants'!AD$24:AD$33,$F22))</f>
        <v/>
      </c>
      <c r="AL22" s="26" t="str">
        <f>IF($C22="","",'Constant Ecs GBP'!AL22*INDEX('Global Constants'!AE$24:AE$33,$F22))</f>
        <v/>
      </c>
      <c r="AM22" s="26" t="str">
        <f>IF($C22="","",'Constant Ecs GBP'!AM22*INDEX('Global Constants'!AF$24:AF$33,$F22))</f>
        <v/>
      </c>
      <c r="AN22" s="26" t="str">
        <f>IF($C22="","",'Constant Ecs GBP'!AN22*INDEX('Global Constants'!AG$24:AG$33,$F22))</f>
        <v/>
      </c>
      <c r="AO22" s="26" t="str">
        <f>IF($C22="","",'Constant Ecs GBP'!AO22*INDEX('Global Constants'!AH$24:AH$33,$F22))</f>
        <v/>
      </c>
      <c r="AP22" s="26" t="str">
        <f>IF($C22="","",'Constant Ecs GBP'!AP22*INDEX('Global Constants'!AI$24:AI$33,$F22))</f>
        <v/>
      </c>
      <c r="AQ22" s="26" t="str">
        <f>IF($C22="","",'Constant Ecs GBP'!AQ22*INDEX('Global Constants'!AJ$24:AJ$33,$F22))</f>
        <v/>
      </c>
      <c r="AR22" s="26" t="str">
        <f>IF($C22="","",'Constant Ecs GBP'!AR22*INDEX('Global Constants'!AK$24:AK$33,$F22))</f>
        <v/>
      </c>
      <c r="AS22" s="26" t="str">
        <f>IF($C22="","",'Constant Ecs GBP'!AS22*INDEX('Global Constants'!AL$24:AL$33,$F22))</f>
        <v/>
      </c>
      <c r="AT22" s="26" t="str">
        <f>IF($C22="","",'Constant Ecs GBP'!AT22*INDEX('Global Constants'!AM$24:AM$33,$F22))</f>
        <v/>
      </c>
      <c r="AU22" s="26" t="str">
        <f>IF($C22="","",'Constant Ecs GBP'!AU22*INDEX('Global Constants'!AN$24:AN$33,$F22))</f>
        <v/>
      </c>
      <c r="AV22" s="26" t="str">
        <f>IF($C22="","",'Constant Ecs GBP'!AV22*INDEX('Global Constants'!AO$24:AO$33,$F22))</f>
        <v/>
      </c>
      <c r="AW22" s="26" t="str">
        <f>IF($C22="","",'Constant Ecs GBP'!AW22*INDEX('Global Constants'!AP$24:AP$33,$F22))</f>
        <v/>
      </c>
      <c r="AX22" s="26" t="str">
        <f>IF($C22="","",'Constant Ecs GBP'!AX22*INDEX('Global Constants'!AQ$24:AQ$33,$F22))</f>
        <v/>
      </c>
      <c r="AY22" s="26" t="str">
        <f>IF($C22="","",'Constant Ecs GBP'!AY22*INDEX('Global Constants'!AR$24:AR$33,$F22))</f>
        <v/>
      </c>
      <c r="AZ22" s="26" t="str">
        <f>IF($C22="","",'Constant Ecs GBP'!AZ22*INDEX('Global Constants'!AS$24:AS$33,$F22))</f>
        <v/>
      </c>
      <c r="BA22" s="26" t="str">
        <f>IF($C22="","",'Constant Ecs GBP'!BA22*INDEX('Global Constants'!AT$24:AT$33,$F22))</f>
        <v/>
      </c>
      <c r="BB22" s="26" t="str">
        <f>IF($C22="","",'Constant Ecs GBP'!BB22*INDEX('Global Constants'!AU$24:AU$33,$F22))</f>
        <v/>
      </c>
      <c r="BC22" s="26" t="str">
        <f>IF($C22="","",'Constant Ecs GBP'!BC22*INDEX('Global Constants'!AV$24:AV$33,$F22))</f>
        <v/>
      </c>
      <c r="BD22" s="26" t="str">
        <f>IF($C22="","",'Constant Ecs GBP'!BD22*INDEX('Global Constants'!AW$24:AW$33,$F22))</f>
        <v/>
      </c>
      <c r="BE22" s="26" t="str">
        <f>IF($C22="","",'Constant Ecs GBP'!BE22*INDEX('Global Constants'!AX$24:AX$33,$F22))</f>
        <v/>
      </c>
      <c r="BF22" s="26" t="str">
        <f>IF($C22="","",'Constant Ecs GBP'!BF22*INDEX('Global Constants'!AY$24:AY$33,$F22))</f>
        <v/>
      </c>
      <c r="BG22" s="26" t="str">
        <f>IF($C22="","",'Constant Ecs GBP'!BG22*INDEX('Global Constants'!AZ$24:AZ$33,$F22))</f>
        <v/>
      </c>
      <c r="BH22" s="26" t="str">
        <f>IF($C22="","",'Constant Ecs GBP'!BH22*INDEX('Global Constants'!BA$24:BA$33,$F22))</f>
        <v/>
      </c>
      <c r="BI22" s="26" t="str">
        <f>IF($C22="","",'Constant Ecs GBP'!BI22*INDEX('Global Constants'!BB$24:BB$33,$F22))</f>
        <v/>
      </c>
      <c r="BJ22" s="26" t="str">
        <f>IF($C22="","",'Constant Ecs GBP'!BJ22*INDEX('Global Constants'!BC$24:BC$33,$F22))</f>
        <v/>
      </c>
      <c r="BK22" s="26" t="str">
        <f>IF($C22="","",'Constant Ecs GBP'!BK22*INDEX('Global Constants'!BD$24:BD$33,$F22))</f>
        <v/>
      </c>
      <c r="BL22" s="26" t="str">
        <f>IF($C22="","",'Constant Ecs GBP'!BL22*INDEX('Global Constants'!BE$24:BE$33,$F22))</f>
        <v/>
      </c>
      <c r="BM22" s="26" t="str">
        <f>IF($C22="","",'Constant Ecs GBP'!BM22*INDEX('Global Constants'!BF$24:BF$33,$F22))</f>
        <v/>
      </c>
      <c r="BN22" s="26" t="str">
        <f>IF($C22="","",'Constant Ecs GBP'!BN22*INDEX('Global Constants'!BG$24:BG$33,$F22))</f>
        <v/>
      </c>
      <c r="BO22" s="26" t="str">
        <f>IF($C22="","",'Constant Ecs GBP'!BO22*INDEX('Global Constants'!BH$24:BH$33,$F22))</f>
        <v/>
      </c>
      <c r="BP22" s="26" t="str">
        <f>IF($C22="","",'Constant Ecs GBP'!BP22*INDEX('Global Constants'!BI$24:BI$33,$F22))</f>
        <v/>
      </c>
      <c r="BQ22" s="26" t="str">
        <f>IF($C22="","",'Constant Ecs GBP'!BQ22*INDEX('Global Constants'!BJ$24:BJ$33,$F22))</f>
        <v/>
      </c>
      <c r="BR22" s="26" t="str">
        <f>IF($C22="","",'Constant Ecs GBP'!BR22*INDEX('Global Constants'!BK$24:BK$33,$F22))</f>
        <v/>
      </c>
      <c r="BS22" s="26" t="str">
        <f>IF($C22="","",'Constant Ecs GBP'!BS22*INDEX('Global Constants'!BL$24:BL$33,$F22))</f>
        <v/>
      </c>
      <c r="BT22" s="26" t="str">
        <f>IF($C22="","",'Constant Ecs GBP'!BT22*INDEX('Global Constants'!BM$24:BM$33,$F22))</f>
        <v/>
      </c>
      <c r="BU22" s="26" t="str">
        <f>IF($C22="","",'Constant Ecs GBP'!BU22*INDEX('Global Constants'!BN$24:BN$33,$F22))</f>
        <v/>
      </c>
      <c r="BV22" s="26" t="str">
        <f>IF($C22="","",'Constant Ecs GBP'!BV22*INDEX('Global Constants'!BO$24:BO$33,$F22))</f>
        <v/>
      </c>
      <c r="BW22" s="26" t="str">
        <f>IF($C22="","",'Constant Ecs GBP'!BW22*INDEX('Global Constants'!BP$24:BP$33,$F22))</f>
        <v/>
      </c>
      <c r="BX22" s="26" t="str">
        <f>IF($C22="","",'Constant Ecs GBP'!BX22*INDEX('Global Constants'!BQ$24:BQ$33,$F22))</f>
        <v/>
      </c>
      <c r="BY22" s="26" t="str">
        <f>IF($C22="","",'Constant Ecs GBP'!BY22*INDEX('Global Constants'!BR$24:BR$33,$F22))</f>
        <v/>
      </c>
      <c r="BZ22" s="26" t="str">
        <f>IF($C22="","",'Constant Ecs GBP'!BZ22*INDEX('Global Constants'!BS$24:BS$33,$F22))</f>
        <v/>
      </c>
      <c r="CA22" s="26" t="str">
        <f>IF($C22="","",'Constant Ecs GBP'!CA22*INDEX('Global Constants'!BT$24:BT$33,$F22))</f>
        <v/>
      </c>
      <c r="CB22" s="26" t="str">
        <f>IF($C22="","",'Constant Ecs GBP'!CB22*INDEX('Global Constants'!BU$24:BU$33,$F22))</f>
        <v/>
      </c>
      <c r="CC22" s="26" t="str">
        <f>IF($C22="","",'Constant Ecs GBP'!CC22*INDEX('Global Constants'!BV$24:BV$33,$F22))</f>
        <v/>
      </c>
      <c r="CD22" s="26" t="str">
        <f>IF($C22="","",'Constant Ecs GBP'!CD22*INDEX('Global Constants'!BW$24:BW$33,$F22))</f>
        <v/>
      </c>
      <c r="CE22" s="26" t="str">
        <f>IF($C22="","",'Constant Ecs GBP'!CE22*INDEX('Global Constants'!BX$24:BX$33,$F22))</f>
        <v/>
      </c>
      <c r="CF22" s="26" t="str">
        <f>IF($C22="","",'Constant Ecs GBP'!CF22*INDEX('Global Constants'!BY$24:BY$33,$F22))</f>
        <v/>
      </c>
      <c r="CG22" s="26" t="str">
        <f>IF($C22="","",'Constant Ecs GBP'!CG22*INDEX('Global Constants'!BZ$24:BZ$33,$F22))</f>
        <v/>
      </c>
      <c r="CH22" s="26" t="str">
        <f>IF($C22="","",'Constant Ecs GBP'!CH22*INDEX('Global Constants'!CA$24:CA$33,$F22))</f>
        <v/>
      </c>
      <c r="CI22" s="26" t="str">
        <f>IF($C22="","",'Constant Ecs GBP'!CI22*INDEX('Global Constants'!CB$24:CB$33,$F22))</f>
        <v/>
      </c>
      <c r="CJ22" s="26" t="str">
        <f>IF($C22="","",'Constant Ecs GBP'!CJ22*INDEX('Global Constants'!CC$24:CC$33,$F22))</f>
        <v/>
      </c>
      <c r="CK22" s="26" t="str">
        <f>IF($C22="","",'Constant Ecs GBP'!CK22*INDEX('Global Constants'!CD$24:CD$33,$F22))</f>
        <v/>
      </c>
      <c r="CL22" s="26" t="str">
        <f>IF($C22="","",'Constant Ecs GBP'!CL22*INDEX('Global Constants'!CE$24:CE$33,$F22))</f>
        <v/>
      </c>
      <c r="CM22" s="26" t="str">
        <f>IF($C22="","",'Constant Ecs GBP'!CM22*INDEX('Global Constants'!CF$24:CF$33,$F22))</f>
        <v/>
      </c>
      <c r="CN22" s="26" t="str">
        <f>IF($C22="","",'Constant Ecs GBP'!CN22*INDEX('Global Constants'!CG$24:CG$33,$F22))</f>
        <v/>
      </c>
      <c r="CO22" s="26" t="str">
        <f>IF($C22="","",'Constant Ecs GBP'!CO22*INDEX('Global Constants'!CH$24:CH$33,$F22))</f>
        <v/>
      </c>
      <c r="CP22" s="26" t="str">
        <f>IF($C22="","",'Constant Ecs GBP'!CP22*INDEX('Global Constants'!CI$24:CI$33,$F22))</f>
        <v/>
      </c>
      <c r="CQ22" s="26" t="str">
        <f>IF($C22="","",'Constant Ecs GBP'!CQ22*INDEX('Global Constants'!CJ$24:CJ$33,$F22))</f>
        <v/>
      </c>
      <c r="CR22" s="26" t="str">
        <f>IF($C22="","",'Constant Ecs GBP'!CR22*INDEX('Global Constants'!CK$24:CK$33,$F22))</f>
        <v/>
      </c>
      <c r="CS22" s="26" t="str">
        <f>IF($C22="","",'Constant Ecs GBP'!CS22*INDEX('Global Constants'!CL$24:CL$33,$F22))</f>
        <v/>
      </c>
      <c r="CT22" s="26" t="str">
        <f>IF($C22="","",'Constant Ecs GBP'!CT22*INDEX('Global Constants'!CM$24:CM$33,$F22))</f>
        <v/>
      </c>
      <c r="CU22" s="26" t="str">
        <f>IF($C22="","",'Constant Ecs GBP'!CU22*INDEX('Global Constants'!CN$24:CN$33,$F22))</f>
        <v/>
      </c>
      <c r="CV22" s="26" t="str">
        <f>IF($C22="","",'Constant Ecs GBP'!CV22*INDEX('Global Constants'!CO$24:CO$33,$F22))</f>
        <v/>
      </c>
      <c r="CW22" s="26" t="str">
        <f>IF($C22="","",'Constant Ecs GBP'!CW22*INDEX('Global Constants'!CP$24:CP$33,$F22))</f>
        <v/>
      </c>
      <c r="CX22" s="26" t="str">
        <f>IF($C22="","",'Constant Ecs GBP'!CX22*INDEX('Global Constants'!CQ$24:CQ$33,$F22))</f>
        <v/>
      </c>
      <c r="CZ22" s="26">
        <f t="shared" ca="1" si="1"/>
        <v>0</v>
      </c>
      <c r="DA22" s="26">
        <f t="shared" si="2"/>
        <v>0</v>
      </c>
    </row>
    <row r="23" spans="3:105" x14ac:dyDescent="0.3">
      <c r="C23" s="4" t="str">
        <f>IF('Cost &amp; Risk Inputs'!C24="","",'Cost &amp; Risk Inputs'!C24)</f>
        <v/>
      </c>
      <c r="D23" s="4" t="str">
        <f>IF(C23="","",'Cost &amp; Risk Inputs'!F24)</f>
        <v/>
      </c>
      <c r="F23" s="18" t="str">
        <f t="shared" si="0"/>
        <v/>
      </c>
      <c r="M23" s="26" t="str">
        <f>IF($C23="","",'Constant Ecs GBP'!M23*INDEX('Global Constants'!F$24:F$33,$F23))</f>
        <v/>
      </c>
      <c r="N23" s="26" t="str">
        <f>IF($C23="","",'Constant Ecs GBP'!N23*INDEX('Global Constants'!G$24:G$33,$F23))</f>
        <v/>
      </c>
      <c r="O23" s="26" t="str">
        <f>IF($C23="","",'Constant Ecs GBP'!O23*INDEX('Global Constants'!H$24:H$33,$F23))</f>
        <v/>
      </c>
      <c r="P23" s="26" t="str">
        <f>IF($C23="","",'Constant Ecs GBP'!P23*INDEX('Global Constants'!I$24:I$33,$F23))</f>
        <v/>
      </c>
      <c r="Q23" s="26" t="str">
        <f>IF($C23="","",'Constant Ecs GBP'!Q23*INDEX('Global Constants'!J$24:J$33,$F23))</f>
        <v/>
      </c>
      <c r="R23" s="26" t="str">
        <f>IF($C23="","",'Constant Ecs GBP'!R23*INDEX('Global Constants'!K$24:K$33,$F23))</f>
        <v/>
      </c>
      <c r="S23" s="26" t="str">
        <f>IF($C23="","",'Constant Ecs GBP'!S23*INDEX('Global Constants'!L$24:L$33,$F23))</f>
        <v/>
      </c>
      <c r="T23" s="26" t="str">
        <f>IF($C23="","",'Constant Ecs GBP'!T23*INDEX('Global Constants'!M$24:M$33,$F23))</f>
        <v/>
      </c>
      <c r="U23" s="26" t="str">
        <f>IF($C23="","",'Constant Ecs GBP'!U23*INDEX('Global Constants'!N$24:N$33,$F23))</f>
        <v/>
      </c>
      <c r="V23" s="26" t="str">
        <f>IF($C23="","",'Constant Ecs GBP'!V23*INDEX('Global Constants'!O$24:O$33,$F23))</f>
        <v/>
      </c>
      <c r="W23" s="26" t="str">
        <f>IF($C23="","",'Constant Ecs GBP'!W23*INDEX('Global Constants'!P$24:P$33,$F23))</f>
        <v/>
      </c>
      <c r="X23" s="26" t="str">
        <f>IF($C23="","",'Constant Ecs GBP'!X23*INDEX('Global Constants'!Q$24:Q$33,$F23))</f>
        <v/>
      </c>
      <c r="Y23" s="26" t="str">
        <f>IF($C23="","",'Constant Ecs GBP'!Y23*INDEX('Global Constants'!R$24:R$33,$F23))</f>
        <v/>
      </c>
      <c r="Z23" s="26" t="str">
        <f>IF($C23="","",'Constant Ecs GBP'!Z23*INDEX('Global Constants'!S$24:S$33,$F23))</f>
        <v/>
      </c>
      <c r="AA23" s="26" t="str">
        <f>IF($C23="","",'Constant Ecs GBP'!AA23*INDEX('Global Constants'!T$24:T$33,$F23))</f>
        <v/>
      </c>
      <c r="AB23" s="26" t="str">
        <f>IF($C23="","",'Constant Ecs GBP'!AB23*INDEX('Global Constants'!U$24:U$33,$F23))</f>
        <v/>
      </c>
      <c r="AC23" s="26" t="str">
        <f>IF($C23="","",'Constant Ecs GBP'!AC23*INDEX('Global Constants'!V$24:V$33,$F23))</f>
        <v/>
      </c>
      <c r="AD23" s="26" t="str">
        <f>IF($C23="","",'Constant Ecs GBP'!AD23*INDEX('Global Constants'!W$24:W$33,$F23))</f>
        <v/>
      </c>
      <c r="AE23" s="26" t="str">
        <f>IF($C23="","",'Constant Ecs GBP'!AE23*INDEX('Global Constants'!X$24:X$33,$F23))</f>
        <v/>
      </c>
      <c r="AF23" s="26" t="str">
        <f>IF($C23="","",'Constant Ecs GBP'!AF23*INDEX('Global Constants'!Y$24:Y$33,$F23))</f>
        <v/>
      </c>
      <c r="AG23" s="26" t="str">
        <f>IF($C23="","",'Constant Ecs GBP'!AG23*INDEX('Global Constants'!Z$24:Z$33,$F23))</f>
        <v/>
      </c>
      <c r="AH23" s="26" t="str">
        <f>IF($C23="","",'Constant Ecs GBP'!AH23*INDEX('Global Constants'!AA$24:AA$33,$F23))</f>
        <v/>
      </c>
      <c r="AI23" s="26" t="str">
        <f>IF($C23="","",'Constant Ecs GBP'!AI23*INDEX('Global Constants'!AB$24:AB$33,$F23))</f>
        <v/>
      </c>
      <c r="AJ23" s="26" t="str">
        <f>IF($C23="","",'Constant Ecs GBP'!AJ23*INDEX('Global Constants'!AC$24:AC$33,$F23))</f>
        <v/>
      </c>
      <c r="AK23" s="26" t="str">
        <f>IF($C23="","",'Constant Ecs GBP'!AK23*INDEX('Global Constants'!AD$24:AD$33,$F23))</f>
        <v/>
      </c>
      <c r="AL23" s="26" t="str">
        <f>IF($C23="","",'Constant Ecs GBP'!AL23*INDEX('Global Constants'!AE$24:AE$33,$F23))</f>
        <v/>
      </c>
      <c r="AM23" s="26" t="str">
        <f>IF($C23="","",'Constant Ecs GBP'!AM23*INDEX('Global Constants'!AF$24:AF$33,$F23))</f>
        <v/>
      </c>
      <c r="AN23" s="26" t="str">
        <f>IF($C23="","",'Constant Ecs GBP'!AN23*INDEX('Global Constants'!AG$24:AG$33,$F23))</f>
        <v/>
      </c>
      <c r="AO23" s="26" t="str">
        <f>IF($C23="","",'Constant Ecs GBP'!AO23*INDEX('Global Constants'!AH$24:AH$33,$F23))</f>
        <v/>
      </c>
      <c r="AP23" s="26" t="str">
        <f>IF($C23="","",'Constant Ecs GBP'!AP23*INDEX('Global Constants'!AI$24:AI$33,$F23))</f>
        <v/>
      </c>
      <c r="AQ23" s="26" t="str">
        <f>IF($C23="","",'Constant Ecs GBP'!AQ23*INDEX('Global Constants'!AJ$24:AJ$33,$F23))</f>
        <v/>
      </c>
      <c r="AR23" s="26" t="str">
        <f>IF($C23="","",'Constant Ecs GBP'!AR23*INDEX('Global Constants'!AK$24:AK$33,$F23))</f>
        <v/>
      </c>
      <c r="AS23" s="26" t="str">
        <f>IF($C23="","",'Constant Ecs GBP'!AS23*INDEX('Global Constants'!AL$24:AL$33,$F23))</f>
        <v/>
      </c>
      <c r="AT23" s="26" t="str">
        <f>IF($C23="","",'Constant Ecs GBP'!AT23*INDEX('Global Constants'!AM$24:AM$33,$F23))</f>
        <v/>
      </c>
      <c r="AU23" s="26" t="str">
        <f>IF($C23="","",'Constant Ecs GBP'!AU23*INDEX('Global Constants'!AN$24:AN$33,$F23))</f>
        <v/>
      </c>
      <c r="AV23" s="26" t="str">
        <f>IF($C23="","",'Constant Ecs GBP'!AV23*INDEX('Global Constants'!AO$24:AO$33,$F23))</f>
        <v/>
      </c>
      <c r="AW23" s="26" t="str">
        <f>IF($C23="","",'Constant Ecs GBP'!AW23*INDEX('Global Constants'!AP$24:AP$33,$F23))</f>
        <v/>
      </c>
      <c r="AX23" s="26" t="str">
        <f>IF($C23="","",'Constant Ecs GBP'!AX23*INDEX('Global Constants'!AQ$24:AQ$33,$F23))</f>
        <v/>
      </c>
      <c r="AY23" s="26" t="str">
        <f>IF($C23="","",'Constant Ecs GBP'!AY23*INDEX('Global Constants'!AR$24:AR$33,$F23))</f>
        <v/>
      </c>
      <c r="AZ23" s="26" t="str">
        <f>IF($C23="","",'Constant Ecs GBP'!AZ23*INDEX('Global Constants'!AS$24:AS$33,$F23))</f>
        <v/>
      </c>
      <c r="BA23" s="26" t="str">
        <f>IF($C23="","",'Constant Ecs GBP'!BA23*INDEX('Global Constants'!AT$24:AT$33,$F23))</f>
        <v/>
      </c>
      <c r="BB23" s="26" t="str">
        <f>IF($C23="","",'Constant Ecs GBP'!BB23*INDEX('Global Constants'!AU$24:AU$33,$F23))</f>
        <v/>
      </c>
      <c r="BC23" s="26" t="str">
        <f>IF($C23="","",'Constant Ecs GBP'!BC23*INDEX('Global Constants'!AV$24:AV$33,$F23))</f>
        <v/>
      </c>
      <c r="BD23" s="26" t="str">
        <f>IF($C23="","",'Constant Ecs GBP'!BD23*INDEX('Global Constants'!AW$24:AW$33,$F23))</f>
        <v/>
      </c>
      <c r="BE23" s="26" t="str">
        <f>IF($C23="","",'Constant Ecs GBP'!BE23*INDEX('Global Constants'!AX$24:AX$33,$F23))</f>
        <v/>
      </c>
      <c r="BF23" s="26" t="str">
        <f>IF($C23="","",'Constant Ecs GBP'!BF23*INDEX('Global Constants'!AY$24:AY$33,$F23))</f>
        <v/>
      </c>
      <c r="BG23" s="26" t="str">
        <f>IF($C23="","",'Constant Ecs GBP'!BG23*INDEX('Global Constants'!AZ$24:AZ$33,$F23))</f>
        <v/>
      </c>
      <c r="BH23" s="26" t="str">
        <f>IF($C23="","",'Constant Ecs GBP'!BH23*INDEX('Global Constants'!BA$24:BA$33,$F23))</f>
        <v/>
      </c>
      <c r="BI23" s="26" t="str">
        <f>IF($C23="","",'Constant Ecs GBP'!BI23*INDEX('Global Constants'!BB$24:BB$33,$F23))</f>
        <v/>
      </c>
      <c r="BJ23" s="26" t="str">
        <f>IF($C23="","",'Constant Ecs GBP'!BJ23*INDEX('Global Constants'!BC$24:BC$33,$F23))</f>
        <v/>
      </c>
      <c r="BK23" s="26" t="str">
        <f>IF($C23="","",'Constant Ecs GBP'!BK23*INDEX('Global Constants'!BD$24:BD$33,$F23))</f>
        <v/>
      </c>
      <c r="BL23" s="26" t="str">
        <f>IF($C23="","",'Constant Ecs GBP'!BL23*INDEX('Global Constants'!BE$24:BE$33,$F23))</f>
        <v/>
      </c>
      <c r="BM23" s="26" t="str">
        <f>IF($C23="","",'Constant Ecs GBP'!BM23*INDEX('Global Constants'!BF$24:BF$33,$F23))</f>
        <v/>
      </c>
      <c r="BN23" s="26" t="str">
        <f>IF($C23="","",'Constant Ecs GBP'!BN23*INDEX('Global Constants'!BG$24:BG$33,$F23))</f>
        <v/>
      </c>
      <c r="BO23" s="26" t="str">
        <f>IF($C23="","",'Constant Ecs GBP'!BO23*INDEX('Global Constants'!BH$24:BH$33,$F23))</f>
        <v/>
      </c>
      <c r="BP23" s="26" t="str">
        <f>IF($C23="","",'Constant Ecs GBP'!BP23*INDEX('Global Constants'!BI$24:BI$33,$F23))</f>
        <v/>
      </c>
      <c r="BQ23" s="26" t="str">
        <f>IF($C23="","",'Constant Ecs GBP'!BQ23*INDEX('Global Constants'!BJ$24:BJ$33,$F23))</f>
        <v/>
      </c>
      <c r="BR23" s="26" t="str">
        <f>IF($C23="","",'Constant Ecs GBP'!BR23*INDEX('Global Constants'!BK$24:BK$33,$F23))</f>
        <v/>
      </c>
      <c r="BS23" s="26" t="str">
        <f>IF($C23="","",'Constant Ecs GBP'!BS23*INDEX('Global Constants'!BL$24:BL$33,$F23))</f>
        <v/>
      </c>
      <c r="BT23" s="26" t="str">
        <f>IF($C23="","",'Constant Ecs GBP'!BT23*INDEX('Global Constants'!BM$24:BM$33,$F23))</f>
        <v/>
      </c>
      <c r="BU23" s="26" t="str">
        <f>IF($C23="","",'Constant Ecs GBP'!BU23*INDEX('Global Constants'!BN$24:BN$33,$F23))</f>
        <v/>
      </c>
      <c r="BV23" s="26" t="str">
        <f>IF($C23="","",'Constant Ecs GBP'!BV23*INDEX('Global Constants'!BO$24:BO$33,$F23))</f>
        <v/>
      </c>
      <c r="BW23" s="26" t="str">
        <f>IF($C23="","",'Constant Ecs GBP'!BW23*INDEX('Global Constants'!BP$24:BP$33,$F23))</f>
        <v/>
      </c>
      <c r="BX23" s="26" t="str">
        <f>IF($C23="","",'Constant Ecs GBP'!BX23*INDEX('Global Constants'!BQ$24:BQ$33,$F23))</f>
        <v/>
      </c>
      <c r="BY23" s="26" t="str">
        <f>IF($C23="","",'Constant Ecs GBP'!BY23*INDEX('Global Constants'!BR$24:BR$33,$F23))</f>
        <v/>
      </c>
      <c r="BZ23" s="26" t="str">
        <f>IF($C23="","",'Constant Ecs GBP'!BZ23*INDEX('Global Constants'!BS$24:BS$33,$F23))</f>
        <v/>
      </c>
      <c r="CA23" s="26" t="str">
        <f>IF($C23="","",'Constant Ecs GBP'!CA23*INDEX('Global Constants'!BT$24:BT$33,$F23))</f>
        <v/>
      </c>
      <c r="CB23" s="26" t="str">
        <f>IF($C23="","",'Constant Ecs GBP'!CB23*INDEX('Global Constants'!BU$24:BU$33,$F23))</f>
        <v/>
      </c>
      <c r="CC23" s="26" t="str">
        <f>IF($C23="","",'Constant Ecs GBP'!CC23*INDEX('Global Constants'!BV$24:BV$33,$F23))</f>
        <v/>
      </c>
      <c r="CD23" s="26" t="str">
        <f>IF($C23="","",'Constant Ecs GBP'!CD23*INDEX('Global Constants'!BW$24:BW$33,$F23))</f>
        <v/>
      </c>
      <c r="CE23" s="26" t="str">
        <f>IF($C23="","",'Constant Ecs GBP'!CE23*INDEX('Global Constants'!BX$24:BX$33,$F23))</f>
        <v/>
      </c>
      <c r="CF23" s="26" t="str">
        <f>IF($C23="","",'Constant Ecs GBP'!CF23*INDEX('Global Constants'!BY$24:BY$33,$F23))</f>
        <v/>
      </c>
      <c r="CG23" s="26" t="str">
        <f>IF($C23="","",'Constant Ecs GBP'!CG23*INDEX('Global Constants'!BZ$24:BZ$33,$F23))</f>
        <v/>
      </c>
      <c r="CH23" s="26" t="str">
        <f>IF($C23="","",'Constant Ecs GBP'!CH23*INDEX('Global Constants'!CA$24:CA$33,$F23))</f>
        <v/>
      </c>
      <c r="CI23" s="26" t="str">
        <f>IF($C23="","",'Constant Ecs GBP'!CI23*INDEX('Global Constants'!CB$24:CB$33,$F23))</f>
        <v/>
      </c>
      <c r="CJ23" s="26" t="str">
        <f>IF($C23="","",'Constant Ecs GBP'!CJ23*INDEX('Global Constants'!CC$24:CC$33,$F23))</f>
        <v/>
      </c>
      <c r="CK23" s="26" t="str">
        <f>IF($C23="","",'Constant Ecs GBP'!CK23*INDEX('Global Constants'!CD$24:CD$33,$F23))</f>
        <v/>
      </c>
      <c r="CL23" s="26" t="str">
        <f>IF($C23="","",'Constant Ecs GBP'!CL23*INDEX('Global Constants'!CE$24:CE$33,$F23))</f>
        <v/>
      </c>
      <c r="CM23" s="26" t="str">
        <f>IF($C23="","",'Constant Ecs GBP'!CM23*INDEX('Global Constants'!CF$24:CF$33,$F23))</f>
        <v/>
      </c>
      <c r="CN23" s="26" t="str">
        <f>IF($C23="","",'Constant Ecs GBP'!CN23*INDEX('Global Constants'!CG$24:CG$33,$F23))</f>
        <v/>
      </c>
      <c r="CO23" s="26" t="str">
        <f>IF($C23="","",'Constant Ecs GBP'!CO23*INDEX('Global Constants'!CH$24:CH$33,$F23))</f>
        <v/>
      </c>
      <c r="CP23" s="26" t="str">
        <f>IF($C23="","",'Constant Ecs GBP'!CP23*INDEX('Global Constants'!CI$24:CI$33,$F23))</f>
        <v/>
      </c>
      <c r="CQ23" s="26" t="str">
        <f>IF($C23="","",'Constant Ecs GBP'!CQ23*INDEX('Global Constants'!CJ$24:CJ$33,$F23))</f>
        <v/>
      </c>
      <c r="CR23" s="26" t="str">
        <f>IF($C23="","",'Constant Ecs GBP'!CR23*INDEX('Global Constants'!CK$24:CK$33,$F23))</f>
        <v/>
      </c>
      <c r="CS23" s="26" t="str">
        <f>IF($C23="","",'Constant Ecs GBP'!CS23*INDEX('Global Constants'!CL$24:CL$33,$F23))</f>
        <v/>
      </c>
      <c r="CT23" s="26" t="str">
        <f>IF($C23="","",'Constant Ecs GBP'!CT23*INDEX('Global Constants'!CM$24:CM$33,$F23))</f>
        <v/>
      </c>
      <c r="CU23" s="26" t="str">
        <f>IF($C23="","",'Constant Ecs GBP'!CU23*INDEX('Global Constants'!CN$24:CN$33,$F23))</f>
        <v/>
      </c>
      <c r="CV23" s="26" t="str">
        <f>IF($C23="","",'Constant Ecs GBP'!CV23*INDEX('Global Constants'!CO$24:CO$33,$F23))</f>
        <v/>
      </c>
      <c r="CW23" s="26" t="str">
        <f>IF($C23="","",'Constant Ecs GBP'!CW23*INDEX('Global Constants'!CP$24:CP$33,$F23))</f>
        <v/>
      </c>
      <c r="CX23" s="26" t="str">
        <f>IF($C23="","",'Constant Ecs GBP'!CX23*INDEX('Global Constants'!CQ$24:CQ$33,$F23))</f>
        <v/>
      </c>
      <c r="CZ23" s="26">
        <f t="shared" ca="1" si="1"/>
        <v>0</v>
      </c>
      <c r="DA23" s="26">
        <f t="shared" si="2"/>
        <v>0</v>
      </c>
    </row>
    <row r="24" spans="3:105" x14ac:dyDescent="0.3">
      <c r="C24" s="4" t="str">
        <f>IF('Cost &amp; Risk Inputs'!C25="","",'Cost &amp; Risk Inputs'!C25)</f>
        <v/>
      </c>
      <c r="D24" s="4" t="str">
        <f>IF(C24="","",'Cost &amp; Risk Inputs'!F25)</f>
        <v/>
      </c>
      <c r="F24" s="18" t="str">
        <f t="shared" si="0"/>
        <v/>
      </c>
      <c r="M24" s="26" t="str">
        <f>IF($C24="","",'Constant Ecs GBP'!M24*INDEX('Global Constants'!F$24:F$33,$F24))</f>
        <v/>
      </c>
      <c r="N24" s="26" t="str">
        <f>IF($C24="","",'Constant Ecs GBP'!N24*INDEX('Global Constants'!G$24:G$33,$F24))</f>
        <v/>
      </c>
      <c r="O24" s="26" t="str">
        <f>IF($C24="","",'Constant Ecs GBP'!O24*INDEX('Global Constants'!H$24:H$33,$F24))</f>
        <v/>
      </c>
      <c r="P24" s="26" t="str">
        <f>IF($C24="","",'Constant Ecs GBP'!P24*INDEX('Global Constants'!I$24:I$33,$F24))</f>
        <v/>
      </c>
      <c r="Q24" s="26" t="str">
        <f>IF($C24="","",'Constant Ecs GBP'!Q24*INDEX('Global Constants'!J$24:J$33,$F24))</f>
        <v/>
      </c>
      <c r="R24" s="26" t="str">
        <f>IF($C24="","",'Constant Ecs GBP'!R24*INDEX('Global Constants'!K$24:K$33,$F24))</f>
        <v/>
      </c>
      <c r="S24" s="26" t="str">
        <f>IF($C24="","",'Constant Ecs GBP'!S24*INDEX('Global Constants'!L$24:L$33,$F24))</f>
        <v/>
      </c>
      <c r="T24" s="26" t="str">
        <f>IF($C24="","",'Constant Ecs GBP'!T24*INDEX('Global Constants'!M$24:M$33,$F24))</f>
        <v/>
      </c>
      <c r="U24" s="26" t="str">
        <f>IF($C24="","",'Constant Ecs GBP'!U24*INDEX('Global Constants'!N$24:N$33,$F24))</f>
        <v/>
      </c>
      <c r="V24" s="26" t="str">
        <f>IF($C24="","",'Constant Ecs GBP'!V24*INDEX('Global Constants'!O$24:O$33,$F24))</f>
        <v/>
      </c>
      <c r="W24" s="26" t="str">
        <f>IF($C24="","",'Constant Ecs GBP'!W24*INDEX('Global Constants'!P$24:P$33,$F24))</f>
        <v/>
      </c>
      <c r="X24" s="26" t="str">
        <f>IF($C24="","",'Constant Ecs GBP'!X24*INDEX('Global Constants'!Q$24:Q$33,$F24))</f>
        <v/>
      </c>
      <c r="Y24" s="26" t="str">
        <f>IF($C24="","",'Constant Ecs GBP'!Y24*INDEX('Global Constants'!R$24:R$33,$F24))</f>
        <v/>
      </c>
      <c r="Z24" s="26" t="str">
        <f>IF($C24="","",'Constant Ecs GBP'!Z24*INDEX('Global Constants'!S$24:S$33,$F24))</f>
        <v/>
      </c>
      <c r="AA24" s="26" t="str">
        <f>IF($C24="","",'Constant Ecs GBP'!AA24*INDEX('Global Constants'!T$24:T$33,$F24))</f>
        <v/>
      </c>
      <c r="AB24" s="26" t="str">
        <f>IF($C24="","",'Constant Ecs GBP'!AB24*INDEX('Global Constants'!U$24:U$33,$F24))</f>
        <v/>
      </c>
      <c r="AC24" s="26" t="str">
        <f>IF($C24="","",'Constant Ecs GBP'!AC24*INDEX('Global Constants'!V$24:V$33,$F24))</f>
        <v/>
      </c>
      <c r="AD24" s="26" t="str">
        <f>IF($C24="","",'Constant Ecs GBP'!AD24*INDEX('Global Constants'!W$24:W$33,$F24))</f>
        <v/>
      </c>
      <c r="AE24" s="26" t="str">
        <f>IF($C24="","",'Constant Ecs GBP'!AE24*INDEX('Global Constants'!X$24:X$33,$F24))</f>
        <v/>
      </c>
      <c r="AF24" s="26" t="str">
        <f>IF($C24="","",'Constant Ecs GBP'!AF24*INDEX('Global Constants'!Y$24:Y$33,$F24))</f>
        <v/>
      </c>
      <c r="AG24" s="26" t="str">
        <f>IF($C24="","",'Constant Ecs GBP'!AG24*INDEX('Global Constants'!Z$24:Z$33,$F24))</f>
        <v/>
      </c>
      <c r="AH24" s="26" t="str">
        <f>IF($C24="","",'Constant Ecs GBP'!AH24*INDEX('Global Constants'!AA$24:AA$33,$F24))</f>
        <v/>
      </c>
      <c r="AI24" s="26" t="str">
        <f>IF($C24="","",'Constant Ecs GBP'!AI24*INDEX('Global Constants'!AB$24:AB$33,$F24))</f>
        <v/>
      </c>
      <c r="AJ24" s="26" t="str">
        <f>IF($C24="","",'Constant Ecs GBP'!AJ24*INDEX('Global Constants'!AC$24:AC$33,$F24))</f>
        <v/>
      </c>
      <c r="AK24" s="26" t="str">
        <f>IF($C24="","",'Constant Ecs GBP'!AK24*INDEX('Global Constants'!AD$24:AD$33,$F24))</f>
        <v/>
      </c>
      <c r="AL24" s="26" t="str">
        <f>IF($C24="","",'Constant Ecs GBP'!AL24*INDEX('Global Constants'!AE$24:AE$33,$F24))</f>
        <v/>
      </c>
      <c r="AM24" s="26" t="str">
        <f>IF($C24="","",'Constant Ecs GBP'!AM24*INDEX('Global Constants'!AF$24:AF$33,$F24))</f>
        <v/>
      </c>
      <c r="AN24" s="26" t="str">
        <f>IF($C24="","",'Constant Ecs GBP'!AN24*INDEX('Global Constants'!AG$24:AG$33,$F24))</f>
        <v/>
      </c>
      <c r="AO24" s="26" t="str">
        <f>IF($C24="","",'Constant Ecs GBP'!AO24*INDEX('Global Constants'!AH$24:AH$33,$F24))</f>
        <v/>
      </c>
      <c r="AP24" s="26" t="str">
        <f>IF($C24="","",'Constant Ecs GBP'!AP24*INDEX('Global Constants'!AI$24:AI$33,$F24))</f>
        <v/>
      </c>
      <c r="AQ24" s="26" t="str">
        <f>IF($C24="","",'Constant Ecs GBP'!AQ24*INDEX('Global Constants'!AJ$24:AJ$33,$F24))</f>
        <v/>
      </c>
      <c r="AR24" s="26" t="str">
        <f>IF($C24="","",'Constant Ecs GBP'!AR24*INDEX('Global Constants'!AK$24:AK$33,$F24))</f>
        <v/>
      </c>
      <c r="AS24" s="26" t="str">
        <f>IF($C24="","",'Constant Ecs GBP'!AS24*INDEX('Global Constants'!AL$24:AL$33,$F24))</f>
        <v/>
      </c>
      <c r="AT24" s="26" t="str">
        <f>IF($C24="","",'Constant Ecs GBP'!AT24*INDEX('Global Constants'!AM$24:AM$33,$F24))</f>
        <v/>
      </c>
      <c r="AU24" s="26" t="str">
        <f>IF($C24="","",'Constant Ecs GBP'!AU24*INDEX('Global Constants'!AN$24:AN$33,$F24))</f>
        <v/>
      </c>
      <c r="AV24" s="26" t="str">
        <f>IF($C24="","",'Constant Ecs GBP'!AV24*INDEX('Global Constants'!AO$24:AO$33,$F24))</f>
        <v/>
      </c>
      <c r="AW24" s="26" t="str">
        <f>IF($C24="","",'Constant Ecs GBP'!AW24*INDEX('Global Constants'!AP$24:AP$33,$F24))</f>
        <v/>
      </c>
      <c r="AX24" s="26" t="str">
        <f>IF($C24="","",'Constant Ecs GBP'!AX24*INDEX('Global Constants'!AQ$24:AQ$33,$F24))</f>
        <v/>
      </c>
      <c r="AY24" s="26" t="str">
        <f>IF($C24="","",'Constant Ecs GBP'!AY24*INDEX('Global Constants'!AR$24:AR$33,$F24))</f>
        <v/>
      </c>
      <c r="AZ24" s="26" t="str">
        <f>IF($C24="","",'Constant Ecs GBP'!AZ24*INDEX('Global Constants'!AS$24:AS$33,$F24))</f>
        <v/>
      </c>
      <c r="BA24" s="26" t="str">
        <f>IF($C24="","",'Constant Ecs GBP'!BA24*INDEX('Global Constants'!AT$24:AT$33,$F24))</f>
        <v/>
      </c>
      <c r="BB24" s="26" t="str">
        <f>IF($C24="","",'Constant Ecs GBP'!BB24*INDEX('Global Constants'!AU$24:AU$33,$F24))</f>
        <v/>
      </c>
      <c r="BC24" s="26" t="str">
        <f>IF($C24="","",'Constant Ecs GBP'!BC24*INDEX('Global Constants'!AV$24:AV$33,$F24))</f>
        <v/>
      </c>
      <c r="BD24" s="26" t="str">
        <f>IF($C24="","",'Constant Ecs GBP'!BD24*INDEX('Global Constants'!AW$24:AW$33,$F24))</f>
        <v/>
      </c>
      <c r="BE24" s="26" t="str">
        <f>IF($C24="","",'Constant Ecs GBP'!BE24*INDEX('Global Constants'!AX$24:AX$33,$F24))</f>
        <v/>
      </c>
      <c r="BF24" s="26" t="str">
        <f>IF($C24="","",'Constant Ecs GBP'!BF24*INDEX('Global Constants'!AY$24:AY$33,$F24))</f>
        <v/>
      </c>
      <c r="BG24" s="26" t="str">
        <f>IF($C24="","",'Constant Ecs GBP'!BG24*INDEX('Global Constants'!AZ$24:AZ$33,$F24))</f>
        <v/>
      </c>
      <c r="BH24" s="26" t="str">
        <f>IF($C24="","",'Constant Ecs GBP'!BH24*INDEX('Global Constants'!BA$24:BA$33,$F24))</f>
        <v/>
      </c>
      <c r="BI24" s="26" t="str">
        <f>IF($C24="","",'Constant Ecs GBP'!BI24*INDEX('Global Constants'!BB$24:BB$33,$F24))</f>
        <v/>
      </c>
      <c r="BJ24" s="26" t="str">
        <f>IF($C24="","",'Constant Ecs GBP'!BJ24*INDEX('Global Constants'!BC$24:BC$33,$F24))</f>
        <v/>
      </c>
      <c r="BK24" s="26" t="str">
        <f>IF($C24="","",'Constant Ecs GBP'!BK24*INDEX('Global Constants'!BD$24:BD$33,$F24))</f>
        <v/>
      </c>
      <c r="BL24" s="26" t="str">
        <f>IF($C24="","",'Constant Ecs GBP'!BL24*INDEX('Global Constants'!BE$24:BE$33,$F24))</f>
        <v/>
      </c>
      <c r="BM24" s="26" t="str">
        <f>IF($C24="","",'Constant Ecs GBP'!BM24*INDEX('Global Constants'!BF$24:BF$33,$F24))</f>
        <v/>
      </c>
      <c r="BN24" s="26" t="str">
        <f>IF($C24="","",'Constant Ecs GBP'!BN24*INDEX('Global Constants'!BG$24:BG$33,$F24))</f>
        <v/>
      </c>
      <c r="BO24" s="26" t="str">
        <f>IF($C24="","",'Constant Ecs GBP'!BO24*INDEX('Global Constants'!BH$24:BH$33,$F24))</f>
        <v/>
      </c>
      <c r="BP24" s="26" t="str">
        <f>IF($C24="","",'Constant Ecs GBP'!BP24*INDEX('Global Constants'!BI$24:BI$33,$F24))</f>
        <v/>
      </c>
      <c r="BQ24" s="26" t="str">
        <f>IF($C24="","",'Constant Ecs GBP'!BQ24*INDEX('Global Constants'!BJ$24:BJ$33,$F24))</f>
        <v/>
      </c>
      <c r="BR24" s="26" t="str">
        <f>IF($C24="","",'Constant Ecs GBP'!BR24*INDEX('Global Constants'!BK$24:BK$33,$F24))</f>
        <v/>
      </c>
      <c r="BS24" s="26" t="str">
        <f>IF($C24="","",'Constant Ecs GBP'!BS24*INDEX('Global Constants'!BL$24:BL$33,$F24))</f>
        <v/>
      </c>
      <c r="BT24" s="26" t="str">
        <f>IF($C24="","",'Constant Ecs GBP'!BT24*INDEX('Global Constants'!BM$24:BM$33,$F24))</f>
        <v/>
      </c>
      <c r="BU24" s="26" t="str">
        <f>IF($C24="","",'Constant Ecs GBP'!BU24*INDEX('Global Constants'!BN$24:BN$33,$F24))</f>
        <v/>
      </c>
      <c r="BV24" s="26" t="str">
        <f>IF($C24="","",'Constant Ecs GBP'!BV24*INDEX('Global Constants'!BO$24:BO$33,$F24))</f>
        <v/>
      </c>
      <c r="BW24" s="26" t="str">
        <f>IF($C24="","",'Constant Ecs GBP'!BW24*INDEX('Global Constants'!BP$24:BP$33,$F24))</f>
        <v/>
      </c>
      <c r="BX24" s="26" t="str">
        <f>IF($C24="","",'Constant Ecs GBP'!BX24*INDEX('Global Constants'!BQ$24:BQ$33,$F24))</f>
        <v/>
      </c>
      <c r="BY24" s="26" t="str">
        <f>IF($C24="","",'Constant Ecs GBP'!BY24*INDEX('Global Constants'!BR$24:BR$33,$F24))</f>
        <v/>
      </c>
      <c r="BZ24" s="26" t="str">
        <f>IF($C24="","",'Constant Ecs GBP'!BZ24*INDEX('Global Constants'!BS$24:BS$33,$F24))</f>
        <v/>
      </c>
      <c r="CA24" s="26" t="str">
        <f>IF($C24="","",'Constant Ecs GBP'!CA24*INDEX('Global Constants'!BT$24:BT$33,$F24))</f>
        <v/>
      </c>
      <c r="CB24" s="26" t="str">
        <f>IF($C24="","",'Constant Ecs GBP'!CB24*INDEX('Global Constants'!BU$24:BU$33,$F24))</f>
        <v/>
      </c>
      <c r="CC24" s="26" t="str">
        <f>IF($C24="","",'Constant Ecs GBP'!CC24*INDEX('Global Constants'!BV$24:BV$33,$F24))</f>
        <v/>
      </c>
      <c r="CD24" s="26" t="str">
        <f>IF($C24="","",'Constant Ecs GBP'!CD24*INDEX('Global Constants'!BW$24:BW$33,$F24))</f>
        <v/>
      </c>
      <c r="CE24" s="26" t="str">
        <f>IF($C24="","",'Constant Ecs GBP'!CE24*INDEX('Global Constants'!BX$24:BX$33,$F24))</f>
        <v/>
      </c>
      <c r="CF24" s="26" t="str">
        <f>IF($C24="","",'Constant Ecs GBP'!CF24*INDEX('Global Constants'!BY$24:BY$33,$F24))</f>
        <v/>
      </c>
      <c r="CG24" s="26" t="str">
        <f>IF($C24="","",'Constant Ecs GBP'!CG24*INDEX('Global Constants'!BZ$24:BZ$33,$F24))</f>
        <v/>
      </c>
      <c r="CH24" s="26" t="str">
        <f>IF($C24="","",'Constant Ecs GBP'!CH24*INDEX('Global Constants'!CA$24:CA$33,$F24))</f>
        <v/>
      </c>
      <c r="CI24" s="26" t="str">
        <f>IF($C24="","",'Constant Ecs GBP'!CI24*INDEX('Global Constants'!CB$24:CB$33,$F24))</f>
        <v/>
      </c>
      <c r="CJ24" s="26" t="str">
        <f>IF($C24="","",'Constant Ecs GBP'!CJ24*INDEX('Global Constants'!CC$24:CC$33,$F24))</f>
        <v/>
      </c>
      <c r="CK24" s="26" t="str">
        <f>IF($C24="","",'Constant Ecs GBP'!CK24*INDEX('Global Constants'!CD$24:CD$33,$F24))</f>
        <v/>
      </c>
      <c r="CL24" s="26" t="str">
        <f>IF($C24="","",'Constant Ecs GBP'!CL24*INDEX('Global Constants'!CE$24:CE$33,$F24))</f>
        <v/>
      </c>
      <c r="CM24" s="26" t="str">
        <f>IF($C24="","",'Constant Ecs GBP'!CM24*INDEX('Global Constants'!CF$24:CF$33,$F24))</f>
        <v/>
      </c>
      <c r="CN24" s="26" t="str">
        <f>IF($C24="","",'Constant Ecs GBP'!CN24*INDEX('Global Constants'!CG$24:CG$33,$F24))</f>
        <v/>
      </c>
      <c r="CO24" s="26" t="str">
        <f>IF($C24="","",'Constant Ecs GBP'!CO24*INDEX('Global Constants'!CH$24:CH$33,$F24))</f>
        <v/>
      </c>
      <c r="CP24" s="26" t="str">
        <f>IF($C24="","",'Constant Ecs GBP'!CP24*INDEX('Global Constants'!CI$24:CI$33,$F24))</f>
        <v/>
      </c>
      <c r="CQ24" s="26" t="str">
        <f>IF($C24="","",'Constant Ecs GBP'!CQ24*INDEX('Global Constants'!CJ$24:CJ$33,$F24))</f>
        <v/>
      </c>
      <c r="CR24" s="26" t="str">
        <f>IF($C24="","",'Constant Ecs GBP'!CR24*INDEX('Global Constants'!CK$24:CK$33,$F24))</f>
        <v/>
      </c>
      <c r="CS24" s="26" t="str">
        <f>IF($C24="","",'Constant Ecs GBP'!CS24*INDEX('Global Constants'!CL$24:CL$33,$F24))</f>
        <v/>
      </c>
      <c r="CT24" s="26" t="str">
        <f>IF($C24="","",'Constant Ecs GBP'!CT24*INDEX('Global Constants'!CM$24:CM$33,$F24))</f>
        <v/>
      </c>
      <c r="CU24" s="26" t="str">
        <f>IF($C24="","",'Constant Ecs GBP'!CU24*INDEX('Global Constants'!CN$24:CN$33,$F24))</f>
        <v/>
      </c>
      <c r="CV24" s="26" t="str">
        <f>IF($C24="","",'Constant Ecs GBP'!CV24*INDEX('Global Constants'!CO$24:CO$33,$F24))</f>
        <v/>
      </c>
      <c r="CW24" s="26" t="str">
        <f>IF($C24="","",'Constant Ecs GBP'!CW24*INDEX('Global Constants'!CP$24:CP$33,$F24))</f>
        <v/>
      </c>
      <c r="CX24" s="26" t="str">
        <f>IF($C24="","",'Constant Ecs GBP'!CX24*INDEX('Global Constants'!CQ$24:CQ$33,$F24))</f>
        <v/>
      </c>
      <c r="CZ24" s="26">
        <f t="shared" ca="1" si="1"/>
        <v>0</v>
      </c>
      <c r="DA24" s="26">
        <f t="shared" si="2"/>
        <v>0</v>
      </c>
    </row>
    <row r="25" spans="3:105" x14ac:dyDescent="0.3">
      <c r="C25" s="4" t="str">
        <f>IF('Cost &amp; Risk Inputs'!C26="","",'Cost &amp; Risk Inputs'!C26)</f>
        <v/>
      </c>
      <c r="D25" s="4" t="str">
        <f>IF(C25="","",'Cost &amp; Risk Inputs'!F26)</f>
        <v/>
      </c>
      <c r="F25" s="18" t="str">
        <f t="shared" si="0"/>
        <v/>
      </c>
      <c r="M25" s="26" t="str">
        <f>IF($C25="","",'Constant Ecs GBP'!M25*INDEX('Global Constants'!F$24:F$33,$F25))</f>
        <v/>
      </c>
      <c r="N25" s="26" t="str">
        <f>IF($C25="","",'Constant Ecs GBP'!N25*INDEX('Global Constants'!G$24:G$33,$F25))</f>
        <v/>
      </c>
      <c r="O25" s="26" t="str">
        <f>IF($C25="","",'Constant Ecs GBP'!O25*INDEX('Global Constants'!H$24:H$33,$F25))</f>
        <v/>
      </c>
      <c r="P25" s="26" t="str">
        <f>IF($C25="","",'Constant Ecs GBP'!P25*INDEX('Global Constants'!I$24:I$33,$F25))</f>
        <v/>
      </c>
      <c r="Q25" s="26" t="str">
        <f>IF($C25="","",'Constant Ecs GBP'!Q25*INDEX('Global Constants'!J$24:J$33,$F25))</f>
        <v/>
      </c>
      <c r="R25" s="26" t="str">
        <f>IF($C25="","",'Constant Ecs GBP'!R25*INDEX('Global Constants'!K$24:K$33,$F25))</f>
        <v/>
      </c>
      <c r="S25" s="26" t="str">
        <f>IF($C25="","",'Constant Ecs GBP'!S25*INDEX('Global Constants'!L$24:L$33,$F25))</f>
        <v/>
      </c>
      <c r="T25" s="26" t="str">
        <f>IF($C25="","",'Constant Ecs GBP'!T25*INDEX('Global Constants'!M$24:M$33,$F25))</f>
        <v/>
      </c>
      <c r="U25" s="26" t="str">
        <f>IF($C25="","",'Constant Ecs GBP'!U25*INDEX('Global Constants'!N$24:N$33,$F25))</f>
        <v/>
      </c>
      <c r="V25" s="26" t="str">
        <f>IF($C25="","",'Constant Ecs GBP'!V25*INDEX('Global Constants'!O$24:O$33,$F25))</f>
        <v/>
      </c>
      <c r="W25" s="26" t="str">
        <f>IF($C25="","",'Constant Ecs GBP'!W25*INDEX('Global Constants'!P$24:P$33,$F25))</f>
        <v/>
      </c>
      <c r="X25" s="26" t="str">
        <f>IF($C25="","",'Constant Ecs GBP'!X25*INDEX('Global Constants'!Q$24:Q$33,$F25))</f>
        <v/>
      </c>
      <c r="Y25" s="26" t="str">
        <f>IF($C25="","",'Constant Ecs GBP'!Y25*INDEX('Global Constants'!R$24:R$33,$F25))</f>
        <v/>
      </c>
      <c r="Z25" s="26" t="str">
        <f>IF($C25="","",'Constant Ecs GBP'!Z25*INDEX('Global Constants'!S$24:S$33,$F25))</f>
        <v/>
      </c>
      <c r="AA25" s="26" t="str">
        <f>IF($C25="","",'Constant Ecs GBP'!AA25*INDEX('Global Constants'!T$24:T$33,$F25))</f>
        <v/>
      </c>
      <c r="AB25" s="26" t="str">
        <f>IF($C25="","",'Constant Ecs GBP'!AB25*INDEX('Global Constants'!U$24:U$33,$F25))</f>
        <v/>
      </c>
      <c r="AC25" s="26" t="str">
        <f>IF($C25="","",'Constant Ecs GBP'!AC25*INDEX('Global Constants'!V$24:V$33,$F25))</f>
        <v/>
      </c>
      <c r="AD25" s="26" t="str">
        <f>IF($C25="","",'Constant Ecs GBP'!AD25*INDEX('Global Constants'!W$24:W$33,$F25))</f>
        <v/>
      </c>
      <c r="AE25" s="26" t="str">
        <f>IF($C25="","",'Constant Ecs GBP'!AE25*INDEX('Global Constants'!X$24:X$33,$F25))</f>
        <v/>
      </c>
      <c r="AF25" s="26" t="str">
        <f>IF($C25="","",'Constant Ecs GBP'!AF25*INDEX('Global Constants'!Y$24:Y$33,$F25))</f>
        <v/>
      </c>
      <c r="AG25" s="26" t="str">
        <f>IF($C25="","",'Constant Ecs GBP'!AG25*INDEX('Global Constants'!Z$24:Z$33,$F25))</f>
        <v/>
      </c>
      <c r="AH25" s="26" t="str">
        <f>IF($C25="","",'Constant Ecs GBP'!AH25*INDEX('Global Constants'!AA$24:AA$33,$F25))</f>
        <v/>
      </c>
      <c r="AI25" s="26" t="str">
        <f>IF($C25="","",'Constant Ecs GBP'!AI25*INDEX('Global Constants'!AB$24:AB$33,$F25))</f>
        <v/>
      </c>
      <c r="AJ25" s="26" t="str">
        <f>IF($C25="","",'Constant Ecs GBP'!AJ25*INDEX('Global Constants'!AC$24:AC$33,$F25))</f>
        <v/>
      </c>
      <c r="AK25" s="26" t="str">
        <f>IF($C25="","",'Constant Ecs GBP'!AK25*INDEX('Global Constants'!AD$24:AD$33,$F25))</f>
        <v/>
      </c>
      <c r="AL25" s="26" t="str">
        <f>IF($C25="","",'Constant Ecs GBP'!AL25*INDEX('Global Constants'!AE$24:AE$33,$F25))</f>
        <v/>
      </c>
      <c r="AM25" s="26" t="str">
        <f>IF($C25="","",'Constant Ecs GBP'!AM25*INDEX('Global Constants'!AF$24:AF$33,$F25))</f>
        <v/>
      </c>
      <c r="AN25" s="26" t="str">
        <f>IF($C25="","",'Constant Ecs GBP'!AN25*INDEX('Global Constants'!AG$24:AG$33,$F25))</f>
        <v/>
      </c>
      <c r="AO25" s="26" t="str">
        <f>IF($C25="","",'Constant Ecs GBP'!AO25*INDEX('Global Constants'!AH$24:AH$33,$F25))</f>
        <v/>
      </c>
      <c r="AP25" s="26" t="str">
        <f>IF($C25="","",'Constant Ecs GBP'!AP25*INDEX('Global Constants'!AI$24:AI$33,$F25))</f>
        <v/>
      </c>
      <c r="AQ25" s="26" t="str">
        <f>IF($C25="","",'Constant Ecs GBP'!AQ25*INDEX('Global Constants'!AJ$24:AJ$33,$F25))</f>
        <v/>
      </c>
      <c r="AR25" s="26" t="str">
        <f>IF($C25="","",'Constant Ecs GBP'!AR25*INDEX('Global Constants'!AK$24:AK$33,$F25))</f>
        <v/>
      </c>
      <c r="AS25" s="26" t="str">
        <f>IF($C25="","",'Constant Ecs GBP'!AS25*INDEX('Global Constants'!AL$24:AL$33,$F25))</f>
        <v/>
      </c>
      <c r="AT25" s="26" t="str">
        <f>IF($C25="","",'Constant Ecs GBP'!AT25*INDEX('Global Constants'!AM$24:AM$33,$F25))</f>
        <v/>
      </c>
      <c r="AU25" s="26" t="str">
        <f>IF($C25="","",'Constant Ecs GBP'!AU25*INDEX('Global Constants'!AN$24:AN$33,$F25))</f>
        <v/>
      </c>
      <c r="AV25" s="26" t="str">
        <f>IF($C25="","",'Constant Ecs GBP'!AV25*INDEX('Global Constants'!AO$24:AO$33,$F25))</f>
        <v/>
      </c>
      <c r="AW25" s="26" t="str">
        <f>IF($C25="","",'Constant Ecs GBP'!AW25*INDEX('Global Constants'!AP$24:AP$33,$F25))</f>
        <v/>
      </c>
      <c r="AX25" s="26" t="str">
        <f>IF($C25="","",'Constant Ecs GBP'!AX25*INDEX('Global Constants'!AQ$24:AQ$33,$F25))</f>
        <v/>
      </c>
      <c r="AY25" s="26" t="str">
        <f>IF($C25="","",'Constant Ecs GBP'!AY25*INDEX('Global Constants'!AR$24:AR$33,$F25))</f>
        <v/>
      </c>
      <c r="AZ25" s="26" t="str">
        <f>IF($C25="","",'Constant Ecs GBP'!AZ25*INDEX('Global Constants'!AS$24:AS$33,$F25))</f>
        <v/>
      </c>
      <c r="BA25" s="26" t="str">
        <f>IF($C25="","",'Constant Ecs GBP'!BA25*INDEX('Global Constants'!AT$24:AT$33,$F25))</f>
        <v/>
      </c>
      <c r="BB25" s="26" t="str">
        <f>IF($C25="","",'Constant Ecs GBP'!BB25*INDEX('Global Constants'!AU$24:AU$33,$F25))</f>
        <v/>
      </c>
      <c r="BC25" s="26" t="str">
        <f>IF($C25="","",'Constant Ecs GBP'!BC25*INDEX('Global Constants'!AV$24:AV$33,$F25))</f>
        <v/>
      </c>
      <c r="BD25" s="26" t="str">
        <f>IF($C25="","",'Constant Ecs GBP'!BD25*INDEX('Global Constants'!AW$24:AW$33,$F25))</f>
        <v/>
      </c>
      <c r="BE25" s="26" t="str">
        <f>IF($C25="","",'Constant Ecs GBP'!BE25*INDEX('Global Constants'!AX$24:AX$33,$F25))</f>
        <v/>
      </c>
      <c r="BF25" s="26" t="str">
        <f>IF($C25="","",'Constant Ecs GBP'!BF25*INDEX('Global Constants'!AY$24:AY$33,$F25))</f>
        <v/>
      </c>
      <c r="BG25" s="26" t="str">
        <f>IF($C25="","",'Constant Ecs GBP'!BG25*INDEX('Global Constants'!AZ$24:AZ$33,$F25))</f>
        <v/>
      </c>
      <c r="BH25" s="26" t="str">
        <f>IF($C25="","",'Constant Ecs GBP'!BH25*INDEX('Global Constants'!BA$24:BA$33,$F25))</f>
        <v/>
      </c>
      <c r="BI25" s="26" t="str">
        <f>IF($C25="","",'Constant Ecs GBP'!BI25*INDEX('Global Constants'!BB$24:BB$33,$F25))</f>
        <v/>
      </c>
      <c r="BJ25" s="26" t="str">
        <f>IF($C25="","",'Constant Ecs GBP'!BJ25*INDEX('Global Constants'!BC$24:BC$33,$F25))</f>
        <v/>
      </c>
      <c r="BK25" s="26" t="str">
        <f>IF($C25="","",'Constant Ecs GBP'!BK25*INDEX('Global Constants'!BD$24:BD$33,$F25))</f>
        <v/>
      </c>
      <c r="BL25" s="26" t="str">
        <f>IF($C25="","",'Constant Ecs GBP'!BL25*INDEX('Global Constants'!BE$24:BE$33,$F25))</f>
        <v/>
      </c>
      <c r="BM25" s="26" t="str">
        <f>IF($C25="","",'Constant Ecs GBP'!BM25*INDEX('Global Constants'!BF$24:BF$33,$F25))</f>
        <v/>
      </c>
      <c r="BN25" s="26" t="str">
        <f>IF($C25="","",'Constant Ecs GBP'!BN25*INDEX('Global Constants'!BG$24:BG$33,$F25))</f>
        <v/>
      </c>
      <c r="BO25" s="26" t="str">
        <f>IF($C25="","",'Constant Ecs GBP'!BO25*INDEX('Global Constants'!BH$24:BH$33,$F25))</f>
        <v/>
      </c>
      <c r="BP25" s="26" t="str">
        <f>IF($C25="","",'Constant Ecs GBP'!BP25*INDEX('Global Constants'!BI$24:BI$33,$F25))</f>
        <v/>
      </c>
      <c r="BQ25" s="26" t="str">
        <f>IF($C25="","",'Constant Ecs GBP'!BQ25*INDEX('Global Constants'!BJ$24:BJ$33,$F25))</f>
        <v/>
      </c>
      <c r="BR25" s="26" t="str">
        <f>IF($C25="","",'Constant Ecs GBP'!BR25*INDEX('Global Constants'!BK$24:BK$33,$F25))</f>
        <v/>
      </c>
      <c r="BS25" s="26" t="str">
        <f>IF($C25="","",'Constant Ecs GBP'!BS25*INDEX('Global Constants'!BL$24:BL$33,$F25))</f>
        <v/>
      </c>
      <c r="BT25" s="26" t="str">
        <f>IF($C25="","",'Constant Ecs GBP'!BT25*INDEX('Global Constants'!BM$24:BM$33,$F25))</f>
        <v/>
      </c>
      <c r="BU25" s="26" t="str">
        <f>IF($C25="","",'Constant Ecs GBP'!BU25*INDEX('Global Constants'!BN$24:BN$33,$F25))</f>
        <v/>
      </c>
      <c r="BV25" s="26" t="str">
        <f>IF($C25="","",'Constant Ecs GBP'!BV25*INDEX('Global Constants'!BO$24:BO$33,$F25))</f>
        <v/>
      </c>
      <c r="BW25" s="26" t="str">
        <f>IF($C25="","",'Constant Ecs GBP'!BW25*INDEX('Global Constants'!BP$24:BP$33,$F25))</f>
        <v/>
      </c>
      <c r="BX25" s="26" t="str">
        <f>IF($C25="","",'Constant Ecs GBP'!BX25*INDEX('Global Constants'!BQ$24:BQ$33,$F25))</f>
        <v/>
      </c>
      <c r="BY25" s="26" t="str">
        <f>IF($C25="","",'Constant Ecs GBP'!BY25*INDEX('Global Constants'!BR$24:BR$33,$F25))</f>
        <v/>
      </c>
      <c r="BZ25" s="26" t="str">
        <f>IF($C25="","",'Constant Ecs GBP'!BZ25*INDEX('Global Constants'!BS$24:BS$33,$F25))</f>
        <v/>
      </c>
      <c r="CA25" s="26" t="str">
        <f>IF($C25="","",'Constant Ecs GBP'!CA25*INDEX('Global Constants'!BT$24:BT$33,$F25))</f>
        <v/>
      </c>
      <c r="CB25" s="26" t="str">
        <f>IF($C25="","",'Constant Ecs GBP'!CB25*INDEX('Global Constants'!BU$24:BU$33,$F25))</f>
        <v/>
      </c>
      <c r="CC25" s="26" t="str">
        <f>IF($C25="","",'Constant Ecs GBP'!CC25*INDEX('Global Constants'!BV$24:BV$33,$F25))</f>
        <v/>
      </c>
      <c r="CD25" s="26" t="str">
        <f>IF($C25="","",'Constant Ecs GBP'!CD25*INDEX('Global Constants'!BW$24:BW$33,$F25))</f>
        <v/>
      </c>
      <c r="CE25" s="26" t="str">
        <f>IF($C25="","",'Constant Ecs GBP'!CE25*INDEX('Global Constants'!BX$24:BX$33,$F25))</f>
        <v/>
      </c>
      <c r="CF25" s="26" t="str">
        <f>IF($C25="","",'Constant Ecs GBP'!CF25*INDEX('Global Constants'!BY$24:BY$33,$F25))</f>
        <v/>
      </c>
      <c r="CG25" s="26" t="str">
        <f>IF($C25="","",'Constant Ecs GBP'!CG25*INDEX('Global Constants'!BZ$24:BZ$33,$F25))</f>
        <v/>
      </c>
      <c r="CH25" s="26" t="str">
        <f>IF($C25="","",'Constant Ecs GBP'!CH25*INDEX('Global Constants'!CA$24:CA$33,$F25))</f>
        <v/>
      </c>
      <c r="CI25" s="26" t="str">
        <f>IF($C25="","",'Constant Ecs GBP'!CI25*INDEX('Global Constants'!CB$24:CB$33,$F25))</f>
        <v/>
      </c>
      <c r="CJ25" s="26" t="str">
        <f>IF($C25="","",'Constant Ecs GBP'!CJ25*INDEX('Global Constants'!CC$24:CC$33,$F25))</f>
        <v/>
      </c>
      <c r="CK25" s="26" t="str">
        <f>IF($C25="","",'Constant Ecs GBP'!CK25*INDEX('Global Constants'!CD$24:CD$33,$F25))</f>
        <v/>
      </c>
      <c r="CL25" s="26" t="str">
        <f>IF($C25="","",'Constant Ecs GBP'!CL25*INDEX('Global Constants'!CE$24:CE$33,$F25))</f>
        <v/>
      </c>
      <c r="CM25" s="26" t="str">
        <f>IF($C25="","",'Constant Ecs GBP'!CM25*INDEX('Global Constants'!CF$24:CF$33,$F25))</f>
        <v/>
      </c>
      <c r="CN25" s="26" t="str">
        <f>IF($C25="","",'Constant Ecs GBP'!CN25*INDEX('Global Constants'!CG$24:CG$33,$F25))</f>
        <v/>
      </c>
      <c r="CO25" s="26" t="str">
        <f>IF($C25="","",'Constant Ecs GBP'!CO25*INDEX('Global Constants'!CH$24:CH$33,$F25))</f>
        <v/>
      </c>
      <c r="CP25" s="26" t="str">
        <f>IF($C25="","",'Constant Ecs GBP'!CP25*INDEX('Global Constants'!CI$24:CI$33,$F25))</f>
        <v/>
      </c>
      <c r="CQ25" s="26" t="str">
        <f>IF($C25="","",'Constant Ecs GBP'!CQ25*INDEX('Global Constants'!CJ$24:CJ$33,$F25))</f>
        <v/>
      </c>
      <c r="CR25" s="26" t="str">
        <f>IF($C25="","",'Constant Ecs GBP'!CR25*INDEX('Global Constants'!CK$24:CK$33,$F25))</f>
        <v/>
      </c>
      <c r="CS25" s="26" t="str">
        <f>IF($C25="","",'Constant Ecs GBP'!CS25*INDEX('Global Constants'!CL$24:CL$33,$F25))</f>
        <v/>
      </c>
      <c r="CT25" s="26" t="str">
        <f>IF($C25="","",'Constant Ecs GBP'!CT25*INDEX('Global Constants'!CM$24:CM$33,$F25))</f>
        <v/>
      </c>
      <c r="CU25" s="26" t="str">
        <f>IF($C25="","",'Constant Ecs GBP'!CU25*INDEX('Global Constants'!CN$24:CN$33,$F25))</f>
        <v/>
      </c>
      <c r="CV25" s="26" t="str">
        <f>IF($C25="","",'Constant Ecs GBP'!CV25*INDEX('Global Constants'!CO$24:CO$33,$F25))</f>
        <v/>
      </c>
      <c r="CW25" s="26" t="str">
        <f>IF($C25="","",'Constant Ecs GBP'!CW25*INDEX('Global Constants'!CP$24:CP$33,$F25))</f>
        <v/>
      </c>
      <c r="CX25" s="26" t="str">
        <f>IF($C25="","",'Constant Ecs GBP'!CX25*INDEX('Global Constants'!CQ$24:CQ$33,$F25))</f>
        <v/>
      </c>
      <c r="CZ25" s="26">
        <f t="shared" ca="1" si="1"/>
        <v>0</v>
      </c>
      <c r="DA25" s="26">
        <f t="shared" si="2"/>
        <v>0</v>
      </c>
    </row>
    <row r="26" spans="3:105" x14ac:dyDescent="0.3">
      <c r="C26" s="4" t="str">
        <f>IF('Cost &amp; Risk Inputs'!C27="","",'Cost &amp; Risk Inputs'!C27)</f>
        <v/>
      </c>
      <c r="D26" s="4" t="str">
        <f>IF(C26="","",'Cost &amp; Risk Inputs'!F27)</f>
        <v/>
      </c>
      <c r="F26" s="18" t="str">
        <f t="shared" si="0"/>
        <v/>
      </c>
      <c r="M26" s="26" t="str">
        <f>IF($C26="","",'Constant Ecs GBP'!M26*INDEX('Global Constants'!F$24:F$33,$F26))</f>
        <v/>
      </c>
      <c r="N26" s="26" t="str">
        <f>IF($C26="","",'Constant Ecs GBP'!N26*INDEX('Global Constants'!G$24:G$33,$F26))</f>
        <v/>
      </c>
      <c r="O26" s="26" t="str">
        <f>IF($C26="","",'Constant Ecs GBP'!O26*INDEX('Global Constants'!H$24:H$33,$F26))</f>
        <v/>
      </c>
      <c r="P26" s="26" t="str">
        <f>IF($C26="","",'Constant Ecs GBP'!P26*INDEX('Global Constants'!I$24:I$33,$F26))</f>
        <v/>
      </c>
      <c r="Q26" s="26" t="str">
        <f>IF($C26="","",'Constant Ecs GBP'!Q26*INDEX('Global Constants'!J$24:J$33,$F26))</f>
        <v/>
      </c>
      <c r="R26" s="26" t="str">
        <f>IF($C26="","",'Constant Ecs GBP'!R26*INDEX('Global Constants'!K$24:K$33,$F26))</f>
        <v/>
      </c>
      <c r="S26" s="26" t="str">
        <f>IF($C26="","",'Constant Ecs GBP'!S26*INDEX('Global Constants'!L$24:L$33,$F26))</f>
        <v/>
      </c>
      <c r="T26" s="26" t="str">
        <f>IF($C26="","",'Constant Ecs GBP'!T26*INDEX('Global Constants'!M$24:M$33,$F26))</f>
        <v/>
      </c>
      <c r="U26" s="26" t="str">
        <f>IF($C26="","",'Constant Ecs GBP'!U26*INDEX('Global Constants'!N$24:N$33,$F26))</f>
        <v/>
      </c>
      <c r="V26" s="26" t="str">
        <f>IF($C26="","",'Constant Ecs GBP'!V26*INDEX('Global Constants'!O$24:O$33,$F26))</f>
        <v/>
      </c>
      <c r="W26" s="26" t="str">
        <f>IF($C26="","",'Constant Ecs GBP'!W26*INDEX('Global Constants'!P$24:P$33,$F26))</f>
        <v/>
      </c>
      <c r="X26" s="26" t="str">
        <f>IF($C26="","",'Constant Ecs GBP'!X26*INDEX('Global Constants'!Q$24:Q$33,$F26))</f>
        <v/>
      </c>
      <c r="Y26" s="26" t="str">
        <f>IF($C26="","",'Constant Ecs GBP'!Y26*INDEX('Global Constants'!R$24:R$33,$F26))</f>
        <v/>
      </c>
      <c r="Z26" s="26" t="str">
        <f>IF($C26="","",'Constant Ecs GBP'!Z26*INDEX('Global Constants'!S$24:S$33,$F26))</f>
        <v/>
      </c>
      <c r="AA26" s="26" t="str">
        <f>IF($C26="","",'Constant Ecs GBP'!AA26*INDEX('Global Constants'!T$24:T$33,$F26))</f>
        <v/>
      </c>
      <c r="AB26" s="26" t="str">
        <f>IF($C26="","",'Constant Ecs GBP'!AB26*INDEX('Global Constants'!U$24:U$33,$F26))</f>
        <v/>
      </c>
      <c r="AC26" s="26" t="str">
        <f>IF($C26="","",'Constant Ecs GBP'!AC26*INDEX('Global Constants'!V$24:V$33,$F26))</f>
        <v/>
      </c>
      <c r="AD26" s="26" t="str">
        <f>IF($C26="","",'Constant Ecs GBP'!AD26*INDEX('Global Constants'!W$24:W$33,$F26))</f>
        <v/>
      </c>
      <c r="AE26" s="26" t="str">
        <f>IF($C26="","",'Constant Ecs GBP'!AE26*INDEX('Global Constants'!X$24:X$33,$F26))</f>
        <v/>
      </c>
      <c r="AF26" s="26" t="str">
        <f>IF($C26="","",'Constant Ecs GBP'!AF26*INDEX('Global Constants'!Y$24:Y$33,$F26))</f>
        <v/>
      </c>
      <c r="AG26" s="26" t="str">
        <f>IF($C26="","",'Constant Ecs GBP'!AG26*INDEX('Global Constants'!Z$24:Z$33,$F26))</f>
        <v/>
      </c>
      <c r="AH26" s="26" t="str">
        <f>IF($C26="","",'Constant Ecs GBP'!AH26*INDEX('Global Constants'!AA$24:AA$33,$F26))</f>
        <v/>
      </c>
      <c r="AI26" s="26" t="str">
        <f>IF($C26="","",'Constant Ecs GBP'!AI26*INDEX('Global Constants'!AB$24:AB$33,$F26))</f>
        <v/>
      </c>
      <c r="AJ26" s="26" t="str">
        <f>IF($C26="","",'Constant Ecs GBP'!AJ26*INDEX('Global Constants'!AC$24:AC$33,$F26))</f>
        <v/>
      </c>
      <c r="AK26" s="26" t="str">
        <f>IF($C26="","",'Constant Ecs GBP'!AK26*INDEX('Global Constants'!AD$24:AD$33,$F26))</f>
        <v/>
      </c>
      <c r="AL26" s="26" t="str">
        <f>IF($C26="","",'Constant Ecs GBP'!AL26*INDEX('Global Constants'!AE$24:AE$33,$F26))</f>
        <v/>
      </c>
      <c r="AM26" s="26" t="str">
        <f>IF($C26="","",'Constant Ecs GBP'!AM26*INDEX('Global Constants'!AF$24:AF$33,$F26))</f>
        <v/>
      </c>
      <c r="AN26" s="26" t="str">
        <f>IF($C26="","",'Constant Ecs GBP'!AN26*INDEX('Global Constants'!AG$24:AG$33,$F26))</f>
        <v/>
      </c>
      <c r="AO26" s="26" t="str">
        <f>IF($C26="","",'Constant Ecs GBP'!AO26*INDEX('Global Constants'!AH$24:AH$33,$F26))</f>
        <v/>
      </c>
      <c r="AP26" s="26" t="str">
        <f>IF($C26="","",'Constant Ecs GBP'!AP26*INDEX('Global Constants'!AI$24:AI$33,$F26))</f>
        <v/>
      </c>
      <c r="AQ26" s="26" t="str">
        <f>IF($C26="","",'Constant Ecs GBP'!AQ26*INDEX('Global Constants'!AJ$24:AJ$33,$F26))</f>
        <v/>
      </c>
      <c r="AR26" s="26" t="str">
        <f>IF($C26="","",'Constant Ecs GBP'!AR26*INDEX('Global Constants'!AK$24:AK$33,$F26))</f>
        <v/>
      </c>
      <c r="AS26" s="26" t="str">
        <f>IF($C26="","",'Constant Ecs GBP'!AS26*INDEX('Global Constants'!AL$24:AL$33,$F26))</f>
        <v/>
      </c>
      <c r="AT26" s="26" t="str">
        <f>IF($C26="","",'Constant Ecs GBP'!AT26*INDEX('Global Constants'!AM$24:AM$33,$F26))</f>
        <v/>
      </c>
      <c r="AU26" s="26" t="str">
        <f>IF($C26="","",'Constant Ecs GBP'!AU26*INDEX('Global Constants'!AN$24:AN$33,$F26))</f>
        <v/>
      </c>
      <c r="AV26" s="26" t="str">
        <f>IF($C26="","",'Constant Ecs GBP'!AV26*INDEX('Global Constants'!AO$24:AO$33,$F26))</f>
        <v/>
      </c>
      <c r="AW26" s="26" t="str">
        <f>IF($C26="","",'Constant Ecs GBP'!AW26*INDEX('Global Constants'!AP$24:AP$33,$F26))</f>
        <v/>
      </c>
      <c r="AX26" s="26" t="str">
        <f>IF($C26="","",'Constant Ecs GBP'!AX26*INDEX('Global Constants'!AQ$24:AQ$33,$F26))</f>
        <v/>
      </c>
      <c r="AY26" s="26" t="str">
        <f>IF($C26="","",'Constant Ecs GBP'!AY26*INDEX('Global Constants'!AR$24:AR$33,$F26))</f>
        <v/>
      </c>
      <c r="AZ26" s="26" t="str">
        <f>IF($C26="","",'Constant Ecs GBP'!AZ26*INDEX('Global Constants'!AS$24:AS$33,$F26))</f>
        <v/>
      </c>
      <c r="BA26" s="26" t="str">
        <f>IF($C26="","",'Constant Ecs GBP'!BA26*INDEX('Global Constants'!AT$24:AT$33,$F26))</f>
        <v/>
      </c>
      <c r="BB26" s="26" t="str">
        <f>IF($C26="","",'Constant Ecs GBP'!BB26*INDEX('Global Constants'!AU$24:AU$33,$F26))</f>
        <v/>
      </c>
      <c r="BC26" s="26" t="str">
        <f>IF($C26="","",'Constant Ecs GBP'!BC26*INDEX('Global Constants'!AV$24:AV$33,$F26))</f>
        <v/>
      </c>
      <c r="BD26" s="26" t="str">
        <f>IF($C26="","",'Constant Ecs GBP'!BD26*INDEX('Global Constants'!AW$24:AW$33,$F26))</f>
        <v/>
      </c>
      <c r="BE26" s="26" t="str">
        <f>IF($C26="","",'Constant Ecs GBP'!BE26*INDEX('Global Constants'!AX$24:AX$33,$F26))</f>
        <v/>
      </c>
      <c r="BF26" s="26" t="str">
        <f>IF($C26="","",'Constant Ecs GBP'!BF26*INDEX('Global Constants'!AY$24:AY$33,$F26))</f>
        <v/>
      </c>
      <c r="BG26" s="26" t="str">
        <f>IF($C26="","",'Constant Ecs GBP'!BG26*INDEX('Global Constants'!AZ$24:AZ$33,$F26))</f>
        <v/>
      </c>
      <c r="BH26" s="26" t="str">
        <f>IF($C26="","",'Constant Ecs GBP'!BH26*INDEX('Global Constants'!BA$24:BA$33,$F26))</f>
        <v/>
      </c>
      <c r="BI26" s="26" t="str">
        <f>IF($C26="","",'Constant Ecs GBP'!BI26*INDEX('Global Constants'!BB$24:BB$33,$F26))</f>
        <v/>
      </c>
      <c r="BJ26" s="26" t="str">
        <f>IF($C26="","",'Constant Ecs GBP'!BJ26*INDEX('Global Constants'!BC$24:BC$33,$F26))</f>
        <v/>
      </c>
      <c r="BK26" s="26" t="str">
        <f>IF($C26="","",'Constant Ecs GBP'!BK26*INDEX('Global Constants'!BD$24:BD$33,$F26))</f>
        <v/>
      </c>
      <c r="BL26" s="26" t="str">
        <f>IF($C26="","",'Constant Ecs GBP'!BL26*INDEX('Global Constants'!BE$24:BE$33,$F26))</f>
        <v/>
      </c>
      <c r="BM26" s="26" t="str">
        <f>IF($C26="","",'Constant Ecs GBP'!BM26*INDEX('Global Constants'!BF$24:BF$33,$F26))</f>
        <v/>
      </c>
      <c r="BN26" s="26" t="str">
        <f>IF($C26="","",'Constant Ecs GBP'!BN26*INDEX('Global Constants'!BG$24:BG$33,$F26))</f>
        <v/>
      </c>
      <c r="BO26" s="26" t="str">
        <f>IF($C26="","",'Constant Ecs GBP'!BO26*INDEX('Global Constants'!BH$24:BH$33,$F26))</f>
        <v/>
      </c>
      <c r="BP26" s="26" t="str">
        <f>IF($C26="","",'Constant Ecs GBP'!BP26*INDEX('Global Constants'!BI$24:BI$33,$F26))</f>
        <v/>
      </c>
      <c r="BQ26" s="26" t="str">
        <f>IF($C26="","",'Constant Ecs GBP'!BQ26*INDEX('Global Constants'!BJ$24:BJ$33,$F26))</f>
        <v/>
      </c>
      <c r="BR26" s="26" t="str">
        <f>IF($C26="","",'Constant Ecs GBP'!BR26*INDEX('Global Constants'!BK$24:BK$33,$F26))</f>
        <v/>
      </c>
      <c r="BS26" s="26" t="str">
        <f>IF($C26="","",'Constant Ecs GBP'!BS26*INDEX('Global Constants'!BL$24:BL$33,$F26))</f>
        <v/>
      </c>
      <c r="BT26" s="26" t="str">
        <f>IF($C26="","",'Constant Ecs GBP'!BT26*INDEX('Global Constants'!BM$24:BM$33,$F26))</f>
        <v/>
      </c>
      <c r="BU26" s="26" t="str">
        <f>IF($C26="","",'Constant Ecs GBP'!BU26*INDEX('Global Constants'!BN$24:BN$33,$F26))</f>
        <v/>
      </c>
      <c r="BV26" s="26" t="str">
        <f>IF($C26="","",'Constant Ecs GBP'!BV26*INDEX('Global Constants'!BO$24:BO$33,$F26))</f>
        <v/>
      </c>
      <c r="BW26" s="26" t="str">
        <f>IF($C26="","",'Constant Ecs GBP'!BW26*INDEX('Global Constants'!BP$24:BP$33,$F26))</f>
        <v/>
      </c>
      <c r="BX26" s="26" t="str">
        <f>IF($C26="","",'Constant Ecs GBP'!BX26*INDEX('Global Constants'!BQ$24:BQ$33,$F26))</f>
        <v/>
      </c>
      <c r="BY26" s="26" t="str">
        <f>IF($C26="","",'Constant Ecs GBP'!BY26*INDEX('Global Constants'!BR$24:BR$33,$F26))</f>
        <v/>
      </c>
      <c r="BZ26" s="26" t="str">
        <f>IF($C26="","",'Constant Ecs GBP'!BZ26*INDEX('Global Constants'!BS$24:BS$33,$F26))</f>
        <v/>
      </c>
      <c r="CA26" s="26" t="str">
        <f>IF($C26="","",'Constant Ecs GBP'!CA26*INDEX('Global Constants'!BT$24:BT$33,$F26))</f>
        <v/>
      </c>
      <c r="CB26" s="26" t="str">
        <f>IF($C26="","",'Constant Ecs GBP'!CB26*INDEX('Global Constants'!BU$24:BU$33,$F26))</f>
        <v/>
      </c>
      <c r="CC26" s="26" t="str">
        <f>IF($C26="","",'Constant Ecs GBP'!CC26*INDEX('Global Constants'!BV$24:BV$33,$F26))</f>
        <v/>
      </c>
      <c r="CD26" s="26" t="str">
        <f>IF($C26="","",'Constant Ecs GBP'!CD26*INDEX('Global Constants'!BW$24:BW$33,$F26))</f>
        <v/>
      </c>
      <c r="CE26" s="26" t="str">
        <f>IF($C26="","",'Constant Ecs GBP'!CE26*INDEX('Global Constants'!BX$24:BX$33,$F26))</f>
        <v/>
      </c>
      <c r="CF26" s="26" t="str">
        <f>IF($C26="","",'Constant Ecs GBP'!CF26*INDEX('Global Constants'!BY$24:BY$33,$F26))</f>
        <v/>
      </c>
      <c r="CG26" s="26" t="str">
        <f>IF($C26="","",'Constant Ecs GBP'!CG26*INDEX('Global Constants'!BZ$24:BZ$33,$F26))</f>
        <v/>
      </c>
      <c r="CH26" s="26" t="str">
        <f>IF($C26="","",'Constant Ecs GBP'!CH26*INDEX('Global Constants'!CA$24:CA$33,$F26))</f>
        <v/>
      </c>
      <c r="CI26" s="26" t="str">
        <f>IF($C26="","",'Constant Ecs GBP'!CI26*INDEX('Global Constants'!CB$24:CB$33,$F26))</f>
        <v/>
      </c>
      <c r="CJ26" s="26" t="str">
        <f>IF($C26="","",'Constant Ecs GBP'!CJ26*INDEX('Global Constants'!CC$24:CC$33,$F26))</f>
        <v/>
      </c>
      <c r="CK26" s="26" t="str">
        <f>IF($C26="","",'Constant Ecs GBP'!CK26*INDEX('Global Constants'!CD$24:CD$33,$F26))</f>
        <v/>
      </c>
      <c r="CL26" s="26" t="str">
        <f>IF($C26="","",'Constant Ecs GBP'!CL26*INDEX('Global Constants'!CE$24:CE$33,$F26))</f>
        <v/>
      </c>
      <c r="CM26" s="26" t="str">
        <f>IF($C26="","",'Constant Ecs GBP'!CM26*INDEX('Global Constants'!CF$24:CF$33,$F26))</f>
        <v/>
      </c>
      <c r="CN26" s="26" t="str">
        <f>IF($C26="","",'Constant Ecs GBP'!CN26*INDEX('Global Constants'!CG$24:CG$33,$F26))</f>
        <v/>
      </c>
      <c r="CO26" s="26" t="str">
        <f>IF($C26="","",'Constant Ecs GBP'!CO26*INDEX('Global Constants'!CH$24:CH$33,$F26))</f>
        <v/>
      </c>
      <c r="CP26" s="26" t="str">
        <f>IF($C26="","",'Constant Ecs GBP'!CP26*INDEX('Global Constants'!CI$24:CI$33,$F26))</f>
        <v/>
      </c>
      <c r="CQ26" s="26" t="str">
        <f>IF($C26="","",'Constant Ecs GBP'!CQ26*INDEX('Global Constants'!CJ$24:CJ$33,$F26))</f>
        <v/>
      </c>
      <c r="CR26" s="26" t="str">
        <f>IF($C26="","",'Constant Ecs GBP'!CR26*INDEX('Global Constants'!CK$24:CK$33,$F26))</f>
        <v/>
      </c>
      <c r="CS26" s="26" t="str">
        <f>IF($C26="","",'Constant Ecs GBP'!CS26*INDEX('Global Constants'!CL$24:CL$33,$F26))</f>
        <v/>
      </c>
      <c r="CT26" s="26" t="str">
        <f>IF($C26="","",'Constant Ecs GBP'!CT26*INDEX('Global Constants'!CM$24:CM$33,$F26))</f>
        <v/>
      </c>
      <c r="CU26" s="26" t="str">
        <f>IF($C26="","",'Constant Ecs GBP'!CU26*INDEX('Global Constants'!CN$24:CN$33,$F26))</f>
        <v/>
      </c>
      <c r="CV26" s="26" t="str">
        <f>IF($C26="","",'Constant Ecs GBP'!CV26*INDEX('Global Constants'!CO$24:CO$33,$F26))</f>
        <v/>
      </c>
      <c r="CW26" s="26" t="str">
        <f>IF($C26="","",'Constant Ecs GBP'!CW26*INDEX('Global Constants'!CP$24:CP$33,$F26))</f>
        <v/>
      </c>
      <c r="CX26" s="26" t="str">
        <f>IF($C26="","",'Constant Ecs GBP'!CX26*INDEX('Global Constants'!CQ$24:CQ$33,$F26))</f>
        <v/>
      </c>
      <c r="CZ26" s="26">
        <f t="shared" ca="1" si="1"/>
        <v>0</v>
      </c>
      <c r="DA26" s="26">
        <f t="shared" si="2"/>
        <v>0</v>
      </c>
    </row>
    <row r="27" spans="3:105" x14ac:dyDescent="0.3">
      <c r="C27" s="4" t="str">
        <f>IF('Cost &amp; Risk Inputs'!C28="","",'Cost &amp; Risk Inputs'!C28)</f>
        <v/>
      </c>
      <c r="D27" s="4" t="str">
        <f>IF(C27="","",'Cost &amp; Risk Inputs'!F28)</f>
        <v/>
      </c>
      <c r="F27" s="18" t="str">
        <f t="shared" si="0"/>
        <v/>
      </c>
      <c r="M27" s="26" t="str">
        <f>IF($C27="","",'Constant Ecs GBP'!M27*INDEX('Global Constants'!F$24:F$33,$F27))</f>
        <v/>
      </c>
      <c r="N27" s="26" t="str">
        <f>IF($C27="","",'Constant Ecs GBP'!N27*INDEX('Global Constants'!G$24:G$33,$F27))</f>
        <v/>
      </c>
      <c r="O27" s="26" t="str">
        <f>IF($C27="","",'Constant Ecs GBP'!O27*INDEX('Global Constants'!H$24:H$33,$F27))</f>
        <v/>
      </c>
      <c r="P27" s="26" t="str">
        <f>IF($C27="","",'Constant Ecs GBP'!P27*INDEX('Global Constants'!I$24:I$33,$F27))</f>
        <v/>
      </c>
      <c r="Q27" s="26" t="str">
        <f>IF($C27="","",'Constant Ecs GBP'!Q27*INDEX('Global Constants'!J$24:J$33,$F27))</f>
        <v/>
      </c>
      <c r="R27" s="26" t="str">
        <f>IF($C27="","",'Constant Ecs GBP'!R27*INDEX('Global Constants'!K$24:K$33,$F27))</f>
        <v/>
      </c>
      <c r="S27" s="26" t="str">
        <f>IF($C27="","",'Constant Ecs GBP'!S27*INDEX('Global Constants'!L$24:L$33,$F27))</f>
        <v/>
      </c>
      <c r="T27" s="26" t="str">
        <f>IF($C27="","",'Constant Ecs GBP'!T27*INDEX('Global Constants'!M$24:M$33,$F27))</f>
        <v/>
      </c>
      <c r="U27" s="26" t="str">
        <f>IF($C27="","",'Constant Ecs GBP'!U27*INDEX('Global Constants'!N$24:N$33,$F27))</f>
        <v/>
      </c>
      <c r="V27" s="26" t="str">
        <f>IF($C27="","",'Constant Ecs GBP'!V27*INDEX('Global Constants'!O$24:O$33,$F27))</f>
        <v/>
      </c>
      <c r="W27" s="26" t="str">
        <f>IF($C27="","",'Constant Ecs GBP'!W27*INDEX('Global Constants'!P$24:P$33,$F27))</f>
        <v/>
      </c>
      <c r="X27" s="26" t="str">
        <f>IF($C27="","",'Constant Ecs GBP'!X27*INDEX('Global Constants'!Q$24:Q$33,$F27))</f>
        <v/>
      </c>
      <c r="Y27" s="26" t="str">
        <f>IF($C27="","",'Constant Ecs GBP'!Y27*INDEX('Global Constants'!R$24:R$33,$F27))</f>
        <v/>
      </c>
      <c r="Z27" s="26" t="str">
        <f>IF($C27="","",'Constant Ecs GBP'!Z27*INDEX('Global Constants'!S$24:S$33,$F27))</f>
        <v/>
      </c>
      <c r="AA27" s="26" t="str">
        <f>IF($C27="","",'Constant Ecs GBP'!AA27*INDEX('Global Constants'!T$24:T$33,$F27))</f>
        <v/>
      </c>
      <c r="AB27" s="26" t="str">
        <f>IF($C27="","",'Constant Ecs GBP'!AB27*INDEX('Global Constants'!U$24:U$33,$F27))</f>
        <v/>
      </c>
      <c r="AC27" s="26" t="str">
        <f>IF($C27="","",'Constant Ecs GBP'!AC27*INDEX('Global Constants'!V$24:V$33,$F27))</f>
        <v/>
      </c>
      <c r="AD27" s="26" t="str">
        <f>IF($C27="","",'Constant Ecs GBP'!AD27*INDEX('Global Constants'!W$24:W$33,$F27))</f>
        <v/>
      </c>
      <c r="AE27" s="26" t="str">
        <f>IF($C27="","",'Constant Ecs GBP'!AE27*INDEX('Global Constants'!X$24:X$33,$F27))</f>
        <v/>
      </c>
      <c r="AF27" s="26" t="str">
        <f>IF($C27="","",'Constant Ecs GBP'!AF27*INDEX('Global Constants'!Y$24:Y$33,$F27))</f>
        <v/>
      </c>
      <c r="AG27" s="26" t="str">
        <f>IF($C27="","",'Constant Ecs GBP'!AG27*INDEX('Global Constants'!Z$24:Z$33,$F27))</f>
        <v/>
      </c>
      <c r="AH27" s="26" t="str">
        <f>IF($C27="","",'Constant Ecs GBP'!AH27*INDEX('Global Constants'!AA$24:AA$33,$F27))</f>
        <v/>
      </c>
      <c r="AI27" s="26" t="str">
        <f>IF($C27="","",'Constant Ecs GBP'!AI27*INDEX('Global Constants'!AB$24:AB$33,$F27))</f>
        <v/>
      </c>
      <c r="AJ27" s="26" t="str">
        <f>IF($C27="","",'Constant Ecs GBP'!AJ27*INDEX('Global Constants'!AC$24:AC$33,$F27))</f>
        <v/>
      </c>
      <c r="AK27" s="26" t="str">
        <f>IF($C27="","",'Constant Ecs GBP'!AK27*INDEX('Global Constants'!AD$24:AD$33,$F27))</f>
        <v/>
      </c>
      <c r="AL27" s="26" t="str">
        <f>IF($C27="","",'Constant Ecs GBP'!AL27*INDEX('Global Constants'!AE$24:AE$33,$F27))</f>
        <v/>
      </c>
      <c r="AM27" s="26" t="str">
        <f>IF($C27="","",'Constant Ecs GBP'!AM27*INDEX('Global Constants'!AF$24:AF$33,$F27))</f>
        <v/>
      </c>
      <c r="AN27" s="26" t="str">
        <f>IF($C27="","",'Constant Ecs GBP'!AN27*INDEX('Global Constants'!AG$24:AG$33,$F27))</f>
        <v/>
      </c>
      <c r="AO27" s="26" t="str">
        <f>IF($C27="","",'Constant Ecs GBP'!AO27*INDEX('Global Constants'!AH$24:AH$33,$F27))</f>
        <v/>
      </c>
      <c r="AP27" s="26" t="str">
        <f>IF($C27="","",'Constant Ecs GBP'!AP27*INDEX('Global Constants'!AI$24:AI$33,$F27))</f>
        <v/>
      </c>
      <c r="AQ27" s="26" t="str">
        <f>IF($C27="","",'Constant Ecs GBP'!AQ27*INDEX('Global Constants'!AJ$24:AJ$33,$F27))</f>
        <v/>
      </c>
      <c r="AR27" s="26" t="str">
        <f>IF($C27="","",'Constant Ecs GBP'!AR27*INDEX('Global Constants'!AK$24:AK$33,$F27))</f>
        <v/>
      </c>
      <c r="AS27" s="26" t="str">
        <f>IF($C27="","",'Constant Ecs GBP'!AS27*INDEX('Global Constants'!AL$24:AL$33,$F27))</f>
        <v/>
      </c>
      <c r="AT27" s="26" t="str">
        <f>IF($C27="","",'Constant Ecs GBP'!AT27*INDEX('Global Constants'!AM$24:AM$33,$F27))</f>
        <v/>
      </c>
      <c r="AU27" s="26" t="str">
        <f>IF($C27="","",'Constant Ecs GBP'!AU27*INDEX('Global Constants'!AN$24:AN$33,$F27))</f>
        <v/>
      </c>
      <c r="AV27" s="26" t="str">
        <f>IF($C27="","",'Constant Ecs GBP'!AV27*INDEX('Global Constants'!AO$24:AO$33,$F27))</f>
        <v/>
      </c>
      <c r="AW27" s="26" t="str">
        <f>IF($C27="","",'Constant Ecs GBP'!AW27*INDEX('Global Constants'!AP$24:AP$33,$F27))</f>
        <v/>
      </c>
      <c r="AX27" s="26" t="str">
        <f>IF($C27="","",'Constant Ecs GBP'!AX27*INDEX('Global Constants'!AQ$24:AQ$33,$F27))</f>
        <v/>
      </c>
      <c r="AY27" s="26" t="str">
        <f>IF($C27="","",'Constant Ecs GBP'!AY27*INDEX('Global Constants'!AR$24:AR$33,$F27))</f>
        <v/>
      </c>
      <c r="AZ27" s="26" t="str">
        <f>IF($C27="","",'Constant Ecs GBP'!AZ27*INDEX('Global Constants'!AS$24:AS$33,$F27))</f>
        <v/>
      </c>
      <c r="BA27" s="26" t="str">
        <f>IF($C27="","",'Constant Ecs GBP'!BA27*INDEX('Global Constants'!AT$24:AT$33,$F27))</f>
        <v/>
      </c>
      <c r="BB27" s="26" t="str">
        <f>IF($C27="","",'Constant Ecs GBP'!BB27*INDEX('Global Constants'!AU$24:AU$33,$F27))</f>
        <v/>
      </c>
      <c r="BC27" s="26" t="str">
        <f>IF($C27="","",'Constant Ecs GBP'!BC27*INDEX('Global Constants'!AV$24:AV$33,$F27))</f>
        <v/>
      </c>
      <c r="BD27" s="26" t="str">
        <f>IF($C27="","",'Constant Ecs GBP'!BD27*INDEX('Global Constants'!AW$24:AW$33,$F27))</f>
        <v/>
      </c>
      <c r="BE27" s="26" t="str">
        <f>IF($C27="","",'Constant Ecs GBP'!BE27*INDEX('Global Constants'!AX$24:AX$33,$F27))</f>
        <v/>
      </c>
      <c r="BF27" s="26" t="str">
        <f>IF($C27="","",'Constant Ecs GBP'!BF27*INDEX('Global Constants'!AY$24:AY$33,$F27))</f>
        <v/>
      </c>
      <c r="BG27" s="26" t="str">
        <f>IF($C27="","",'Constant Ecs GBP'!BG27*INDEX('Global Constants'!AZ$24:AZ$33,$F27))</f>
        <v/>
      </c>
      <c r="BH27" s="26" t="str">
        <f>IF($C27="","",'Constant Ecs GBP'!BH27*INDEX('Global Constants'!BA$24:BA$33,$F27))</f>
        <v/>
      </c>
      <c r="BI27" s="26" t="str">
        <f>IF($C27="","",'Constant Ecs GBP'!BI27*INDEX('Global Constants'!BB$24:BB$33,$F27))</f>
        <v/>
      </c>
      <c r="BJ27" s="26" t="str">
        <f>IF($C27="","",'Constant Ecs GBP'!BJ27*INDEX('Global Constants'!BC$24:BC$33,$F27))</f>
        <v/>
      </c>
      <c r="BK27" s="26" t="str">
        <f>IF($C27="","",'Constant Ecs GBP'!BK27*INDEX('Global Constants'!BD$24:BD$33,$F27))</f>
        <v/>
      </c>
      <c r="BL27" s="26" t="str">
        <f>IF($C27="","",'Constant Ecs GBP'!BL27*INDEX('Global Constants'!BE$24:BE$33,$F27))</f>
        <v/>
      </c>
      <c r="BM27" s="26" t="str">
        <f>IF($C27="","",'Constant Ecs GBP'!BM27*INDEX('Global Constants'!BF$24:BF$33,$F27))</f>
        <v/>
      </c>
      <c r="BN27" s="26" t="str">
        <f>IF($C27="","",'Constant Ecs GBP'!BN27*INDEX('Global Constants'!BG$24:BG$33,$F27))</f>
        <v/>
      </c>
      <c r="BO27" s="26" t="str">
        <f>IF($C27="","",'Constant Ecs GBP'!BO27*INDEX('Global Constants'!BH$24:BH$33,$F27))</f>
        <v/>
      </c>
      <c r="BP27" s="26" t="str">
        <f>IF($C27="","",'Constant Ecs GBP'!BP27*INDEX('Global Constants'!BI$24:BI$33,$F27))</f>
        <v/>
      </c>
      <c r="BQ27" s="26" t="str">
        <f>IF($C27="","",'Constant Ecs GBP'!BQ27*INDEX('Global Constants'!BJ$24:BJ$33,$F27))</f>
        <v/>
      </c>
      <c r="BR27" s="26" t="str">
        <f>IF($C27="","",'Constant Ecs GBP'!BR27*INDEX('Global Constants'!BK$24:BK$33,$F27))</f>
        <v/>
      </c>
      <c r="BS27" s="26" t="str">
        <f>IF($C27="","",'Constant Ecs GBP'!BS27*INDEX('Global Constants'!BL$24:BL$33,$F27))</f>
        <v/>
      </c>
      <c r="BT27" s="26" t="str">
        <f>IF($C27="","",'Constant Ecs GBP'!BT27*INDEX('Global Constants'!BM$24:BM$33,$F27))</f>
        <v/>
      </c>
      <c r="BU27" s="26" t="str">
        <f>IF($C27="","",'Constant Ecs GBP'!BU27*INDEX('Global Constants'!BN$24:BN$33,$F27))</f>
        <v/>
      </c>
      <c r="BV27" s="26" t="str">
        <f>IF($C27="","",'Constant Ecs GBP'!BV27*INDEX('Global Constants'!BO$24:BO$33,$F27))</f>
        <v/>
      </c>
      <c r="BW27" s="26" t="str">
        <f>IF($C27="","",'Constant Ecs GBP'!BW27*INDEX('Global Constants'!BP$24:BP$33,$F27))</f>
        <v/>
      </c>
      <c r="BX27" s="26" t="str">
        <f>IF($C27="","",'Constant Ecs GBP'!BX27*INDEX('Global Constants'!BQ$24:BQ$33,$F27))</f>
        <v/>
      </c>
      <c r="BY27" s="26" t="str">
        <f>IF($C27="","",'Constant Ecs GBP'!BY27*INDEX('Global Constants'!BR$24:BR$33,$F27))</f>
        <v/>
      </c>
      <c r="BZ27" s="26" t="str">
        <f>IF($C27="","",'Constant Ecs GBP'!BZ27*INDEX('Global Constants'!BS$24:BS$33,$F27))</f>
        <v/>
      </c>
      <c r="CA27" s="26" t="str">
        <f>IF($C27="","",'Constant Ecs GBP'!CA27*INDEX('Global Constants'!BT$24:BT$33,$F27))</f>
        <v/>
      </c>
      <c r="CB27" s="26" t="str">
        <f>IF($C27="","",'Constant Ecs GBP'!CB27*INDEX('Global Constants'!BU$24:BU$33,$F27))</f>
        <v/>
      </c>
      <c r="CC27" s="26" t="str">
        <f>IF($C27="","",'Constant Ecs GBP'!CC27*INDEX('Global Constants'!BV$24:BV$33,$F27))</f>
        <v/>
      </c>
      <c r="CD27" s="26" t="str">
        <f>IF($C27="","",'Constant Ecs GBP'!CD27*INDEX('Global Constants'!BW$24:BW$33,$F27))</f>
        <v/>
      </c>
      <c r="CE27" s="26" t="str">
        <f>IF($C27="","",'Constant Ecs GBP'!CE27*INDEX('Global Constants'!BX$24:BX$33,$F27))</f>
        <v/>
      </c>
      <c r="CF27" s="26" t="str">
        <f>IF($C27="","",'Constant Ecs GBP'!CF27*INDEX('Global Constants'!BY$24:BY$33,$F27))</f>
        <v/>
      </c>
      <c r="CG27" s="26" t="str">
        <f>IF($C27="","",'Constant Ecs GBP'!CG27*INDEX('Global Constants'!BZ$24:BZ$33,$F27))</f>
        <v/>
      </c>
      <c r="CH27" s="26" t="str">
        <f>IF($C27="","",'Constant Ecs GBP'!CH27*INDEX('Global Constants'!CA$24:CA$33,$F27))</f>
        <v/>
      </c>
      <c r="CI27" s="26" t="str">
        <f>IF($C27="","",'Constant Ecs GBP'!CI27*INDEX('Global Constants'!CB$24:CB$33,$F27))</f>
        <v/>
      </c>
      <c r="CJ27" s="26" t="str">
        <f>IF($C27="","",'Constant Ecs GBP'!CJ27*INDEX('Global Constants'!CC$24:CC$33,$F27))</f>
        <v/>
      </c>
      <c r="CK27" s="26" t="str">
        <f>IF($C27="","",'Constant Ecs GBP'!CK27*INDEX('Global Constants'!CD$24:CD$33,$F27))</f>
        <v/>
      </c>
      <c r="CL27" s="26" t="str">
        <f>IF($C27="","",'Constant Ecs GBP'!CL27*INDEX('Global Constants'!CE$24:CE$33,$F27))</f>
        <v/>
      </c>
      <c r="CM27" s="26" t="str">
        <f>IF($C27="","",'Constant Ecs GBP'!CM27*INDEX('Global Constants'!CF$24:CF$33,$F27))</f>
        <v/>
      </c>
      <c r="CN27" s="26" t="str">
        <f>IF($C27="","",'Constant Ecs GBP'!CN27*INDEX('Global Constants'!CG$24:CG$33,$F27))</f>
        <v/>
      </c>
      <c r="CO27" s="26" t="str">
        <f>IF($C27="","",'Constant Ecs GBP'!CO27*INDEX('Global Constants'!CH$24:CH$33,$F27))</f>
        <v/>
      </c>
      <c r="CP27" s="26" t="str">
        <f>IF($C27="","",'Constant Ecs GBP'!CP27*INDEX('Global Constants'!CI$24:CI$33,$F27))</f>
        <v/>
      </c>
      <c r="CQ27" s="26" t="str">
        <f>IF($C27="","",'Constant Ecs GBP'!CQ27*INDEX('Global Constants'!CJ$24:CJ$33,$F27))</f>
        <v/>
      </c>
      <c r="CR27" s="26" t="str">
        <f>IF($C27="","",'Constant Ecs GBP'!CR27*INDEX('Global Constants'!CK$24:CK$33,$F27))</f>
        <v/>
      </c>
      <c r="CS27" s="26" t="str">
        <f>IF($C27="","",'Constant Ecs GBP'!CS27*INDEX('Global Constants'!CL$24:CL$33,$F27))</f>
        <v/>
      </c>
      <c r="CT27" s="26" t="str">
        <f>IF($C27="","",'Constant Ecs GBP'!CT27*INDEX('Global Constants'!CM$24:CM$33,$F27))</f>
        <v/>
      </c>
      <c r="CU27" s="26" t="str">
        <f>IF($C27="","",'Constant Ecs GBP'!CU27*INDEX('Global Constants'!CN$24:CN$33,$F27))</f>
        <v/>
      </c>
      <c r="CV27" s="26" t="str">
        <f>IF($C27="","",'Constant Ecs GBP'!CV27*INDEX('Global Constants'!CO$24:CO$33,$F27))</f>
        <v/>
      </c>
      <c r="CW27" s="26" t="str">
        <f>IF($C27="","",'Constant Ecs GBP'!CW27*INDEX('Global Constants'!CP$24:CP$33,$F27))</f>
        <v/>
      </c>
      <c r="CX27" s="26" t="str">
        <f>IF($C27="","",'Constant Ecs GBP'!CX27*INDEX('Global Constants'!CQ$24:CQ$33,$F27))</f>
        <v/>
      </c>
      <c r="CZ27" s="26">
        <f t="shared" ca="1" si="1"/>
        <v>0</v>
      </c>
      <c r="DA27" s="26">
        <f t="shared" si="2"/>
        <v>0</v>
      </c>
    </row>
    <row r="28" spans="3:105" x14ac:dyDescent="0.3">
      <c r="C28" s="4" t="str">
        <f>IF('Cost &amp; Risk Inputs'!C29="","",'Cost &amp; Risk Inputs'!C29)</f>
        <v/>
      </c>
      <c r="D28" s="4" t="str">
        <f>IF(C28="","",'Cost &amp; Risk Inputs'!F29)</f>
        <v/>
      </c>
      <c r="F28" s="18" t="str">
        <f t="shared" si="0"/>
        <v/>
      </c>
      <c r="M28" s="26" t="str">
        <f>IF($C28="","",'Constant Ecs GBP'!M28*INDEX('Global Constants'!F$24:F$33,$F28))</f>
        <v/>
      </c>
      <c r="N28" s="26" t="str">
        <f>IF($C28="","",'Constant Ecs GBP'!N28*INDEX('Global Constants'!G$24:G$33,$F28))</f>
        <v/>
      </c>
      <c r="O28" s="26" t="str">
        <f>IF($C28="","",'Constant Ecs GBP'!O28*INDEX('Global Constants'!H$24:H$33,$F28))</f>
        <v/>
      </c>
      <c r="P28" s="26" t="str">
        <f>IF($C28="","",'Constant Ecs GBP'!P28*INDEX('Global Constants'!I$24:I$33,$F28))</f>
        <v/>
      </c>
      <c r="Q28" s="26" t="str">
        <f>IF($C28="","",'Constant Ecs GBP'!Q28*INDEX('Global Constants'!J$24:J$33,$F28))</f>
        <v/>
      </c>
      <c r="R28" s="26" t="str">
        <f>IF($C28="","",'Constant Ecs GBP'!R28*INDEX('Global Constants'!K$24:K$33,$F28))</f>
        <v/>
      </c>
      <c r="S28" s="26" t="str">
        <f>IF($C28="","",'Constant Ecs GBP'!S28*INDEX('Global Constants'!L$24:L$33,$F28))</f>
        <v/>
      </c>
      <c r="T28" s="26" t="str">
        <f>IF($C28="","",'Constant Ecs GBP'!T28*INDEX('Global Constants'!M$24:M$33,$F28))</f>
        <v/>
      </c>
      <c r="U28" s="26" t="str">
        <f>IF($C28="","",'Constant Ecs GBP'!U28*INDEX('Global Constants'!N$24:N$33,$F28))</f>
        <v/>
      </c>
      <c r="V28" s="26" t="str">
        <f>IF($C28="","",'Constant Ecs GBP'!V28*INDEX('Global Constants'!O$24:O$33,$F28))</f>
        <v/>
      </c>
      <c r="W28" s="26" t="str">
        <f>IF($C28="","",'Constant Ecs GBP'!W28*INDEX('Global Constants'!P$24:P$33,$F28))</f>
        <v/>
      </c>
      <c r="X28" s="26" t="str">
        <f>IF($C28="","",'Constant Ecs GBP'!X28*INDEX('Global Constants'!Q$24:Q$33,$F28))</f>
        <v/>
      </c>
      <c r="Y28" s="26" t="str">
        <f>IF($C28="","",'Constant Ecs GBP'!Y28*INDEX('Global Constants'!R$24:R$33,$F28))</f>
        <v/>
      </c>
      <c r="Z28" s="26" t="str">
        <f>IF($C28="","",'Constant Ecs GBP'!Z28*INDEX('Global Constants'!S$24:S$33,$F28))</f>
        <v/>
      </c>
      <c r="AA28" s="26" t="str">
        <f>IF($C28="","",'Constant Ecs GBP'!AA28*INDEX('Global Constants'!T$24:T$33,$F28))</f>
        <v/>
      </c>
      <c r="AB28" s="26" t="str">
        <f>IF($C28="","",'Constant Ecs GBP'!AB28*INDEX('Global Constants'!U$24:U$33,$F28))</f>
        <v/>
      </c>
      <c r="AC28" s="26" t="str">
        <f>IF($C28="","",'Constant Ecs GBP'!AC28*INDEX('Global Constants'!V$24:V$33,$F28))</f>
        <v/>
      </c>
      <c r="AD28" s="26" t="str">
        <f>IF($C28="","",'Constant Ecs GBP'!AD28*INDEX('Global Constants'!W$24:W$33,$F28))</f>
        <v/>
      </c>
      <c r="AE28" s="26" t="str">
        <f>IF($C28="","",'Constant Ecs GBP'!AE28*INDEX('Global Constants'!X$24:X$33,$F28))</f>
        <v/>
      </c>
      <c r="AF28" s="26" t="str">
        <f>IF($C28="","",'Constant Ecs GBP'!AF28*INDEX('Global Constants'!Y$24:Y$33,$F28))</f>
        <v/>
      </c>
      <c r="AG28" s="26" t="str">
        <f>IF($C28="","",'Constant Ecs GBP'!AG28*INDEX('Global Constants'!Z$24:Z$33,$F28))</f>
        <v/>
      </c>
      <c r="AH28" s="26" t="str">
        <f>IF($C28="","",'Constant Ecs GBP'!AH28*INDEX('Global Constants'!AA$24:AA$33,$F28))</f>
        <v/>
      </c>
      <c r="AI28" s="26" t="str">
        <f>IF($C28="","",'Constant Ecs GBP'!AI28*INDEX('Global Constants'!AB$24:AB$33,$F28))</f>
        <v/>
      </c>
      <c r="AJ28" s="26" t="str">
        <f>IF($C28="","",'Constant Ecs GBP'!AJ28*INDEX('Global Constants'!AC$24:AC$33,$F28))</f>
        <v/>
      </c>
      <c r="AK28" s="26" t="str">
        <f>IF($C28="","",'Constant Ecs GBP'!AK28*INDEX('Global Constants'!AD$24:AD$33,$F28))</f>
        <v/>
      </c>
      <c r="AL28" s="26" t="str">
        <f>IF($C28="","",'Constant Ecs GBP'!AL28*INDEX('Global Constants'!AE$24:AE$33,$F28))</f>
        <v/>
      </c>
      <c r="AM28" s="26" t="str">
        <f>IF($C28="","",'Constant Ecs GBP'!AM28*INDEX('Global Constants'!AF$24:AF$33,$F28))</f>
        <v/>
      </c>
      <c r="AN28" s="26" t="str">
        <f>IF($C28="","",'Constant Ecs GBP'!AN28*INDEX('Global Constants'!AG$24:AG$33,$F28))</f>
        <v/>
      </c>
      <c r="AO28" s="26" t="str">
        <f>IF($C28="","",'Constant Ecs GBP'!AO28*INDEX('Global Constants'!AH$24:AH$33,$F28))</f>
        <v/>
      </c>
      <c r="AP28" s="26" t="str">
        <f>IF($C28="","",'Constant Ecs GBP'!AP28*INDEX('Global Constants'!AI$24:AI$33,$F28))</f>
        <v/>
      </c>
      <c r="AQ28" s="26" t="str">
        <f>IF($C28="","",'Constant Ecs GBP'!AQ28*INDEX('Global Constants'!AJ$24:AJ$33,$F28))</f>
        <v/>
      </c>
      <c r="AR28" s="26" t="str">
        <f>IF($C28="","",'Constant Ecs GBP'!AR28*INDEX('Global Constants'!AK$24:AK$33,$F28))</f>
        <v/>
      </c>
      <c r="AS28" s="26" t="str">
        <f>IF($C28="","",'Constant Ecs GBP'!AS28*INDEX('Global Constants'!AL$24:AL$33,$F28))</f>
        <v/>
      </c>
      <c r="AT28" s="26" t="str">
        <f>IF($C28="","",'Constant Ecs GBP'!AT28*INDEX('Global Constants'!AM$24:AM$33,$F28))</f>
        <v/>
      </c>
      <c r="AU28" s="26" t="str">
        <f>IF($C28="","",'Constant Ecs GBP'!AU28*INDEX('Global Constants'!AN$24:AN$33,$F28))</f>
        <v/>
      </c>
      <c r="AV28" s="26" t="str">
        <f>IF($C28="","",'Constant Ecs GBP'!AV28*INDEX('Global Constants'!AO$24:AO$33,$F28))</f>
        <v/>
      </c>
      <c r="AW28" s="26" t="str">
        <f>IF($C28="","",'Constant Ecs GBP'!AW28*INDEX('Global Constants'!AP$24:AP$33,$F28))</f>
        <v/>
      </c>
      <c r="AX28" s="26" t="str">
        <f>IF($C28="","",'Constant Ecs GBP'!AX28*INDEX('Global Constants'!AQ$24:AQ$33,$F28))</f>
        <v/>
      </c>
      <c r="AY28" s="26" t="str">
        <f>IF($C28="","",'Constant Ecs GBP'!AY28*INDEX('Global Constants'!AR$24:AR$33,$F28))</f>
        <v/>
      </c>
      <c r="AZ28" s="26" t="str">
        <f>IF($C28="","",'Constant Ecs GBP'!AZ28*INDEX('Global Constants'!AS$24:AS$33,$F28))</f>
        <v/>
      </c>
      <c r="BA28" s="26" t="str">
        <f>IF($C28="","",'Constant Ecs GBP'!BA28*INDEX('Global Constants'!AT$24:AT$33,$F28))</f>
        <v/>
      </c>
      <c r="BB28" s="26" t="str">
        <f>IF($C28="","",'Constant Ecs GBP'!BB28*INDEX('Global Constants'!AU$24:AU$33,$F28))</f>
        <v/>
      </c>
      <c r="BC28" s="26" t="str">
        <f>IF($C28="","",'Constant Ecs GBP'!BC28*INDEX('Global Constants'!AV$24:AV$33,$F28))</f>
        <v/>
      </c>
      <c r="BD28" s="26" t="str">
        <f>IF($C28="","",'Constant Ecs GBP'!BD28*INDEX('Global Constants'!AW$24:AW$33,$F28))</f>
        <v/>
      </c>
      <c r="BE28" s="26" t="str">
        <f>IF($C28="","",'Constant Ecs GBP'!BE28*INDEX('Global Constants'!AX$24:AX$33,$F28))</f>
        <v/>
      </c>
      <c r="BF28" s="26" t="str">
        <f>IF($C28="","",'Constant Ecs GBP'!BF28*INDEX('Global Constants'!AY$24:AY$33,$F28))</f>
        <v/>
      </c>
      <c r="BG28" s="26" t="str">
        <f>IF($C28="","",'Constant Ecs GBP'!BG28*INDEX('Global Constants'!AZ$24:AZ$33,$F28))</f>
        <v/>
      </c>
      <c r="BH28" s="26" t="str">
        <f>IF($C28="","",'Constant Ecs GBP'!BH28*INDEX('Global Constants'!BA$24:BA$33,$F28))</f>
        <v/>
      </c>
      <c r="BI28" s="26" t="str">
        <f>IF($C28="","",'Constant Ecs GBP'!BI28*INDEX('Global Constants'!BB$24:BB$33,$F28))</f>
        <v/>
      </c>
      <c r="BJ28" s="26" t="str">
        <f>IF($C28="","",'Constant Ecs GBP'!BJ28*INDEX('Global Constants'!BC$24:BC$33,$F28))</f>
        <v/>
      </c>
      <c r="BK28" s="26" t="str">
        <f>IF($C28="","",'Constant Ecs GBP'!BK28*INDEX('Global Constants'!BD$24:BD$33,$F28))</f>
        <v/>
      </c>
      <c r="BL28" s="26" t="str">
        <f>IF($C28="","",'Constant Ecs GBP'!BL28*INDEX('Global Constants'!BE$24:BE$33,$F28))</f>
        <v/>
      </c>
      <c r="BM28" s="26" t="str">
        <f>IF($C28="","",'Constant Ecs GBP'!BM28*INDEX('Global Constants'!BF$24:BF$33,$F28))</f>
        <v/>
      </c>
      <c r="BN28" s="26" t="str">
        <f>IF($C28="","",'Constant Ecs GBP'!BN28*INDEX('Global Constants'!BG$24:BG$33,$F28))</f>
        <v/>
      </c>
      <c r="BO28" s="26" t="str">
        <f>IF($C28="","",'Constant Ecs GBP'!BO28*INDEX('Global Constants'!BH$24:BH$33,$F28))</f>
        <v/>
      </c>
      <c r="BP28" s="26" t="str">
        <f>IF($C28="","",'Constant Ecs GBP'!BP28*INDEX('Global Constants'!BI$24:BI$33,$F28))</f>
        <v/>
      </c>
      <c r="BQ28" s="26" t="str">
        <f>IF($C28="","",'Constant Ecs GBP'!BQ28*INDEX('Global Constants'!BJ$24:BJ$33,$F28))</f>
        <v/>
      </c>
      <c r="BR28" s="26" t="str">
        <f>IF($C28="","",'Constant Ecs GBP'!BR28*INDEX('Global Constants'!BK$24:BK$33,$F28))</f>
        <v/>
      </c>
      <c r="BS28" s="26" t="str">
        <f>IF($C28="","",'Constant Ecs GBP'!BS28*INDEX('Global Constants'!BL$24:BL$33,$F28))</f>
        <v/>
      </c>
      <c r="BT28" s="26" t="str">
        <f>IF($C28="","",'Constant Ecs GBP'!BT28*INDEX('Global Constants'!BM$24:BM$33,$F28))</f>
        <v/>
      </c>
      <c r="BU28" s="26" t="str">
        <f>IF($C28="","",'Constant Ecs GBP'!BU28*INDEX('Global Constants'!BN$24:BN$33,$F28))</f>
        <v/>
      </c>
      <c r="BV28" s="26" t="str">
        <f>IF($C28="","",'Constant Ecs GBP'!BV28*INDEX('Global Constants'!BO$24:BO$33,$F28))</f>
        <v/>
      </c>
      <c r="BW28" s="26" t="str">
        <f>IF($C28="","",'Constant Ecs GBP'!BW28*INDEX('Global Constants'!BP$24:BP$33,$F28))</f>
        <v/>
      </c>
      <c r="BX28" s="26" t="str">
        <f>IF($C28="","",'Constant Ecs GBP'!BX28*INDEX('Global Constants'!BQ$24:BQ$33,$F28))</f>
        <v/>
      </c>
      <c r="BY28" s="26" t="str">
        <f>IF($C28="","",'Constant Ecs GBP'!BY28*INDEX('Global Constants'!BR$24:BR$33,$F28))</f>
        <v/>
      </c>
      <c r="BZ28" s="26" t="str">
        <f>IF($C28="","",'Constant Ecs GBP'!BZ28*INDEX('Global Constants'!BS$24:BS$33,$F28))</f>
        <v/>
      </c>
      <c r="CA28" s="26" t="str">
        <f>IF($C28="","",'Constant Ecs GBP'!CA28*INDEX('Global Constants'!BT$24:BT$33,$F28))</f>
        <v/>
      </c>
      <c r="CB28" s="26" t="str">
        <f>IF($C28="","",'Constant Ecs GBP'!CB28*INDEX('Global Constants'!BU$24:BU$33,$F28))</f>
        <v/>
      </c>
      <c r="CC28" s="26" t="str">
        <f>IF($C28="","",'Constant Ecs GBP'!CC28*INDEX('Global Constants'!BV$24:BV$33,$F28))</f>
        <v/>
      </c>
      <c r="CD28" s="26" t="str">
        <f>IF($C28="","",'Constant Ecs GBP'!CD28*INDEX('Global Constants'!BW$24:BW$33,$F28))</f>
        <v/>
      </c>
      <c r="CE28" s="26" t="str">
        <f>IF($C28="","",'Constant Ecs GBP'!CE28*INDEX('Global Constants'!BX$24:BX$33,$F28))</f>
        <v/>
      </c>
      <c r="CF28" s="26" t="str">
        <f>IF($C28="","",'Constant Ecs GBP'!CF28*INDEX('Global Constants'!BY$24:BY$33,$F28))</f>
        <v/>
      </c>
      <c r="CG28" s="26" t="str">
        <f>IF($C28="","",'Constant Ecs GBP'!CG28*INDEX('Global Constants'!BZ$24:BZ$33,$F28))</f>
        <v/>
      </c>
      <c r="CH28" s="26" t="str">
        <f>IF($C28="","",'Constant Ecs GBP'!CH28*INDEX('Global Constants'!CA$24:CA$33,$F28))</f>
        <v/>
      </c>
      <c r="CI28" s="26" t="str">
        <f>IF($C28="","",'Constant Ecs GBP'!CI28*INDEX('Global Constants'!CB$24:CB$33,$F28))</f>
        <v/>
      </c>
      <c r="CJ28" s="26" t="str">
        <f>IF($C28="","",'Constant Ecs GBP'!CJ28*INDEX('Global Constants'!CC$24:CC$33,$F28))</f>
        <v/>
      </c>
      <c r="CK28" s="26" t="str">
        <f>IF($C28="","",'Constant Ecs GBP'!CK28*INDEX('Global Constants'!CD$24:CD$33,$F28))</f>
        <v/>
      </c>
      <c r="CL28" s="26" t="str">
        <f>IF($C28="","",'Constant Ecs GBP'!CL28*INDEX('Global Constants'!CE$24:CE$33,$F28))</f>
        <v/>
      </c>
      <c r="CM28" s="26" t="str">
        <f>IF($C28="","",'Constant Ecs GBP'!CM28*INDEX('Global Constants'!CF$24:CF$33,$F28))</f>
        <v/>
      </c>
      <c r="CN28" s="26" t="str">
        <f>IF($C28="","",'Constant Ecs GBP'!CN28*INDEX('Global Constants'!CG$24:CG$33,$F28))</f>
        <v/>
      </c>
      <c r="CO28" s="26" t="str">
        <f>IF($C28="","",'Constant Ecs GBP'!CO28*INDEX('Global Constants'!CH$24:CH$33,$F28))</f>
        <v/>
      </c>
      <c r="CP28" s="26" t="str">
        <f>IF($C28="","",'Constant Ecs GBP'!CP28*INDEX('Global Constants'!CI$24:CI$33,$F28))</f>
        <v/>
      </c>
      <c r="CQ28" s="26" t="str">
        <f>IF($C28="","",'Constant Ecs GBP'!CQ28*INDEX('Global Constants'!CJ$24:CJ$33,$F28))</f>
        <v/>
      </c>
      <c r="CR28" s="26" t="str">
        <f>IF($C28="","",'Constant Ecs GBP'!CR28*INDEX('Global Constants'!CK$24:CK$33,$F28))</f>
        <v/>
      </c>
      <c r="CS28" s="26" t="str">
        <f>IF($C28="","",'Constant Ecs GBP'!CS28*INDEX('Global Constants'!CL$24:CL$33,$F28))</f>
        <v/>
      </c>
      <c r="CT28" s="26" t="str">
        <f>IF($C28="","",'Constant Ecs GBP'!CT28*INDEX('Global Constants'!CM$24:CM$33,$F28))</f>
        <v/>
      </c>
      <c r="CU28" s="26" t="str">
        <f>IF($C28="","",'Constant Ecs GBP'!CU28*INDEX('Global Constants'!CN$24:CN$33,$F28))</f>
        <v/>
      </c>
      <c r="CV28" s="26" t="str">
        <f>IF($C28="","",'Constant Ecs GBP'!CV28*INDEX('Global Constants'!CO$24:CO$33,$F28))</f>
        <v/>
      </c>
      <c r="CW28" s="26" t="str">
        <f>IF($C28="","",'Constant Ecs GBP'!CW28*INDEX('Global Constants'!CP$24:CP$33,$F28))</f>
        <v/>
      </c>
      <c r="CX28" s="26" t="str">
        <f>IF($C28="","",'Constant Ecs GBP'!CX28*INDEX('Global Constants'!CQ$24:CQ$33,$F28))</f>
        <v/>
      </c>
      <c r="CZ28" s="26">
        <f t="shared" ca="1" si="1"/>
        <v>0</v>
      </c>
      <c r="DA28" s="26">
        <f t="shared" si="2"/>
        <v>0</v>
      </c>
    </row>
    <row r="29" spans="3:105" x14ac:dyDescent="0.3">
      <c r="C29" s="4" t="str">
        <f>IF('Cost &amp; Risk Inputs'!C30="","",'Cost &amp; Risk Inputs'!C30)</f>
        <v/>
      </c>
      <c r="D29" s="4" t="str">
        <f>IF(C29="","",'Cost &amp; Risk Inputs'!F30)</f>
        <v/>
      </c>
      <c r="F29" s="18" t="str">
        <f t="shared" si="0"/>
        <v/>
      </c>
      <c r="M29" s="26" t="str">
        <f>IF($C29="","",'Constant Ecs GBP'!M29*INDEX('Global Constants'!F$24:F$33,$F29))</f>
        <v/>
      </c>
      <c r="N29" s="26" t="str">
        <f>IF($C29="","",'Constant Ecs GBP'!N29*INDEX('Global Constants'!G$24:G$33,$F29))</f>
        <v/>
      </c>
      <c r="O29" s="26" t="str">
        <f>IF($C29="","",'Constant Ecs GBP'!O29*INDEX('Global Constants'!H$24:H$33,$F29))</f>
        <v/>
      </c>
      <c r="P29" s="26" t="str">
        <f>IF($C29="","",'Constant Ecs GBP'!P29*INDEX('Global Constants'!I$24:I$33,$F29))</f>
        <v/>
      </c>
      <c r="Q29" s="26" t="str">
        <f>IF($C29="","",'Constant Ecs GBP'!Q29*INDEX('Global Constants'!J$24:J$33,$F29))</f>
        <v/>
      </c>
      <c r="R29" s="26" t="str">
        <f>IF($C29="","",'Constant Ecs GBP'!R29*INDEX('Global Constants'!K$24:K$33,$F29))</f>
        <v/>
      </c>
      <c r="S29" s="26" t="str">
        <f>IF($C29="","",'Constant Ecs GBP'!S29*INDEX('Global Constants'!L$24:L$33,$F29))</f>
        <v/>
      </c>
      <c r="T29" s="26" t="str">
        <f>IF($C29="","",'Constant Ecs GBP'!T29*INDEX('Global Constants'!M$24:M$33,$F29))</f>
        <v/>
      </c>
      <c r="U29" s="26" t="str">
        <f>IF($C29="","",'Constant Ecs GBP'!U29*INDEX('Global Constants'!N$24:N$33,$F29))</f>
        <v/>
      </c>
      <c r="V29" s="26" t="str">
        <f>IF($C29="","",'Constant Ecs GBP'!V29*INDEX('Global Constants'!O$24:O$33,$F29))</f>
        <v/>
      </c>
      <c r="W29" s="26" t="str">
        <f>IF($C29="","",'Constant Ecs GBP'!W29*INDEX('Global Constants'!P$24:P$33,$F29))</f>
        <v/>
      </c>
      <c r="X29" s="26" t="str">
        <f>IF($C29="","",'Constant Ecs GBP'!X29*INDEX('Global Constants'!Q$24:Q$33,$F29))</f>
        <v/>
      </c>
      <c r="Y29" s="26" t="str">
        <f>IF($C29="","",'Constant Ecs GBP'!Y29*INDEX('Global Constants'!R$24:R$33,$F29))</f>
        <v/>
      </c>
      <c r="Z29" s="26" t="str">
        <f>IF($C29="","",'Constant Ecs GBP'!Z29*INDEX('Global Constants'!S$24:S$33,$F29))</f>
        <v/>
      </c>
      <c r="AA29" s="26" t="str">
        <f>IF($C29="","",'Constant Ecs GBP'!AA29*INDEX('Global Constants'!T$24:T$33,$F29))</f>
        <v/>
      </c>
      <c r="AB29" s="26" t="str">
        <f>IF($C29="","",'Constant Ecs GBP'!AB29*INDEX('Global Constants'!U$24:U$33,$F29))</f>
        <v/>
      </c>
      <c r="AC29" s="26" t="str">
        <f>IF($C29="","",'Constant Ecs GBP'!AC29*INDEX('Global Constants'!V$24:V$33,$F29))</f>
        <v/>
      </c>
      <c r="AD29" s="26" t="str">
        <f>IF($C29="","",'Constant Ecs GBP'!AD29*INDEX('Global Constants'!W$24:W$33,$F29))</f>
        <v/>
      </c>
      <c r="AE29" s="26" t="str">
        <f>IF($C29="","",'Constant Ecs GBP'!AE29*INDEX('Global Constants'!X$24:X$33,$F29))</f>
        <v/>
      </c>
      <c r="AF29" s="26" t="str">
        <f>IF($C29="","",'Constant Ecs GBP'!AF29*INDEX('Global Constants'!Y$24:Y$33,$F29))</f>
        <v/>
      </c>
      <c r="AG29" s="26" t="str">
        <f>IF($C29="","",'Constant Ecs GBP'!AG29*INDEX('Global Constants'!Z$24:Z$33,$F29))</f>
        <v/>
      </c>
      <c r="AH29" s="26" t="str">
        <f>IF($C29="","",'Constant Ecs GBP'!AH29*INDEX('Global Constants'!AA$24:AA$33,$F29))</f>
        <v/>
      </c>
      <c r="AI29" s="26" t="str">
        <f>IF($C29="","",'Constant Ecs GBP'!AI29*INDEX('Global Constants'!AB$24:AB$33,$F29))</f>
        <v/>
      </c>
      <c r="AJ29" s="26" t="str">
        <f>IF($C29="","",'Constant Ecs GBP'!AJ29*INDEX('Global Constants'!AC$24:AC$33,$F29))</f>
        <v/>
      </c>
      <c r="AK29" s="26" t="str">
        <f>IF($C29="","",'Constant Ecs GBP'!AK29*INDEX('Global Constants'!AD$24:AD$33,$F29))</f>
        <v/>
      </c>
      <c r="AL29" s="26" t="str">
        <f>IF($C29="","",'Constant Ecs GBP'!AL29*INDEX('Global Constants'!AE$24:AE$33,$F29))</f>
        <v/>
      </c>
      <c r="AM29" s="26" t="str">
        <f>IF($C29="","",'Constant Ecs GBP'!AM29*INDEX('Global Constants'!AF$24:AF$33,$F29))</f>
        <v/>
      </c>
      <c r="AN29" s="26" t="str">
        <f>IF($C29="","",'Constant Ecs GBP'!AN29*INDEX('Global Constants'!AG$24:AG$33,$F29))</f>
        <v/>
      </c>
      <c r="AO29" s="26" t="str">
        <f>IF($C29="","",'Constant Ecs GBP'!AO29*INDEX('Global Constants'!AH$24:AH$33,$F29))</f>
        <v/>
      </c>
      <c r="AP29" s="26" t="str">
        <f>IF($C29="","",'Constant Ecs GBP'!AP29*INDEX('Global Constants'!AI$24:AI$33,$F29))</f>
        <v/>
      </c>
      <c r="AQ29" s="26" t="str">
        <f>IF($C29="","",'Constant Ecs GBP'!AQ29*INDEX('Global Constants'!AJ$24:AJ$33,$F29))</f>
        <v/>
      </c>
      <c r="AR29" s="26" t="str">
        <f>IF($C29="","",'Constant Ecs GBP'!AR29*INDEX('Global Constants'!AK$24:AK$33,$F29))</f>
        <v/>
      </c>
      <c r="AS29" s="26" t="str">
        <f>IF($C29="","",'Constant Ecs GBP'!AS29*INDEX('Global Constants'!AL$24:AL$33,$F29))</f>
        <v/>
      </c>
      <c r="AT29" s="26" t="str">
        <f>IF($C29="","",'Constant Ecs GBP'!AT29*INDEX('Global Constants'!AM$24:AM$33,$F29))</f>
        <v/>
      </c>
      <c r="AU29" s="26" t="str">
        <f>IF($C29="","",'Constant Ecs GBP'!AU29*INDEX('Global Constants'!AN$24:AN$33,$F29))</f>
        <v/>
      </c>
      <c r="AV29" s="26" t="str">
        <f>IF($C29="","",'Constant Ecs GBP'!AV29*INDEX('Global Constants'!AO$24:AO$33,$F29))</f>
        <v/>
      </c>
      <c r="AW29" s="26" t="str">
        <f>IF($C29="","",'Constant Ecs GBP'!AW29*INDEX('Global Constants'!AP$24:AP$33,$F29))</f>
        <v/>
      </c>
      <c r="AX29" s="26" t="str">
        <f>IF($C29="","",'Constant Ecs GBP'!AX29*INDEX('Global Constants'!AQ$24:AQ$33,$F29))</f>
        <v/>
      </c>
      <c r="AY29" s="26" t="str">
        <f>IF($C29="","",'Constant Ecs GBP'!AY29*INDEX('Global Constants'!AR$24:AR$33,$F29))</f>
        <v/>
      </c>
      <c r="AZ29" s="26" t="str">
        <f>IF($C29="","",'Constant Ecs GBP'!AZ29*INDEX('Global Constants'!AS$24:AS$33,$F29))</f>
        <v/>
      </c>
      <c r="BA29" s="26" t="str">
        <f>IF($C29="","",'Constant Ecs GBP'!BA29*INDEX('Global Constants'!AT$24:AT$33,$F29))</f>
        <v/>
      </c>
      <c r="BB29" s="26" t="str">
        <f>IF($C29="","",'Constant Ecs GBP'!BB29*INDEX('Global Constants'!AU$24:AU$33,$F29))</f>
        <v/>
      </c>
      <c r="BC29" s="26" t="str">
        <f>IF($C29="","",'Constant Ecs GBP'!BC29*INDEX('Global Constants'!AV$24:AV$33,$F29))</f>
        <v/>
      </c>
      <c r="BD29" s="26" t="str">
        <f>IF($C29="","",'Constant Ecs GBP'!BD29*INDEX('Global Constants'!AW$24:AW$33,$F29))</f>
        <v/>
      </c>
      <c r="BE29" s="26" t="str">
        <f>IF($C29="","",'Constant Ecs GBP'!BE29*INDEX('Global Constants'!AX$24:AX$33,$F29))</f>
        <v/>
      </c>
      <c r="BF29" s="26" t="str">
        <f>IF($C29="","",'Constant Ecs GBP'!BF29*INDEX('Global Constants'!AY$24:AY$33,$F29))</f>
        <v/>
      </c>
      <c r="BG29" s="26" t="str">
        <f>IF($C29="","",'Constant Ecs GBP'!BG29*INDEX('Global Constants'!AZ$24:AZ$33,$F29))</f>
        <v/>
      </c>
      <c r="BH29" s="26" t="str">
        <f>IF($C29="","",'Constant Ecs GBP'!BH29*INDEX('Global Constants'!BA$24:BA$33,$F29))</f>
        <v/>
      </c>
      <c r="BI29" s="26" t="str">
        <f>IF($C29="","",'Constant Ecs GBP'!BI29*INDEX('Global Constants'!BB$24:BB$33,$F29))</f>
        <v/>
      </c>
      <c r="BJ29" s="26" t="str">
        <f>IF($C29="","",'Constant Ecs GBP'!BJ29*INDEX('Global Constants'!BC$24:BC$33,$F29))</f>
        <v/>
      </c>
      <c r="BK29" s="26" t="str">
        <f>IF($C29="","",'Constant Ecs GBP'!BK29*INDEX('Global Constants'!BD$24:BD$33,$F29))</f>
        <v/>
      </c>
      <c r="BL29" s="26" t="str">
        <f>IF($C29="","",'Constant Ecs GBP'!BL29*INDEX('Global Constants'!BE$24:BE$33,$F29))</f>
        <v/>
      </c>
      <c r="BM29" s="26" t="str">
        <f>IF($C29="","",'Constant Ecs GBP'!BM29*INDEX('Global Constants'!BF$24:BF$33,$F29))</f>
        <v/>
      </c>
      <c r="BN29" s="26" t="str">
        <f>IF($C29="","",'Constant Ecs GBP'!BN29*INDEX('Global Constants'!BG$24:BG$33,$F29))</f>
        <v/>
      </c>
      <c r="BO29" s="26" t="str">
        <f>IF($C29="","",'Constant Ecs GBP'!BO29*INDEX('Global Constants'!BH$24:BH$33,$F29))</f>
        <v/>
      </c>
      <c r="BP29" s="26" t="str">
        <f>IF($C29="","",'Constant Ecs GBP'!BP29*INDEX('Global Constants'!BI$24:BI$33,$F29))</f>
        <v/>
      </c>
      <c r="BQ29" s="26" t="str">
        <f>IF($C29="","",'Constant Ecs GBP'!BQ29*INDEX('Global Constants'!BJ$24:BJ$33,$F29))</f>
        <v/>
      </c>
      <c r="BR29" s="26" t="str">
        <f>IF($C29="","",'Constant Ecs GBP'!BR29*INDEX('Global Constants'!BK$24:BK$33,$F29))</f>
        <v/>
      </c>
      <c r="BS29" s="26" t="str">
        <f>IF($C29="","",'Constant Ecs GBP'!BS29*INDEX('Global Constants'!BL$24:BL$33,$F29))</f>
        <v/>
      </c>
      <c r="BT29" s="26" t="str">
        <f>IF($C29="","",'Constant Ecs GBP'!BT29*INDEX('Global Constants'!BM$24:BM$33,$F29))</f>
        <v/>
      </c>
      <c r="BU29" s="26" t="str">
        <f>IF($C29="","",'Constant Ecs GBP'!BU29*INDEX('Global Constants'!BN$24:BN$33,$F29))</f>
        <v/>
      </c>
      <c r="BV29" s="26" t="str">
        <f>IF($C29="","",'Constant Ecs GBP'!BV29*INDEX('Global Constants'!BO$24:BO$33,$F29))</f>
        <v/>
      </c>
      <c r="BW29" s="26" t="str">
        <f>IF($C29="","",'Constant Ecs GBP'!BW29*INDEX('Global Constants'!BP$24:BP$33,$F29))</f>
        <v/>
      </c>
      <c r="BX29" s="26" t="str">
        <f>IF($C29="","",'Constant Ecs GBP'!BX29*INDEX('Global Constants'!BQ$24:BQ$33,$F29))</f>
        <v/>
      </c>
      <c r="BY29" s="26" t="str">
        <f>IF($C29="","",'Constant Ecs GBP'!BY29*INDEX('Global Constants'!BR$24:BR$33,$F29))</f>
        <v/>
      </c>
      <c r="BZ29" s="26" t="str">
        <f>IF($C29="","",'Constant Ecs GBP'!BZ29*INDEX('Global Constants'!BS$24:BS$33,$F29))</f>
        <v/>
      </c>
      <c r="CA29" s="26" t="str">
        <f>IF($C29="","",'Constant Ecs GBP'!CA29*INDEX('Global Constants'!BT$24:BT$33,$F29))</f>
        <v/>
      </c>
      <c r="CB29" s="26" t="str">
        <f>IF($C29="","",'Constant Ecs GBP'!CB29*INDEX('Global Constants'!BU$24:BU$33,$F29))</f>
        <v/>
      </c>
      <c r="CC29" s="26" t="str">
        <f>IF($C29="","",'Constant Ecs GBP'!CC29*INDEX('Global Constants'!BV$24:BV$33,$F29))</f>
        <v/>
      </c>
      <c r="CD29" s="26" t="str">
        <f>IF($C29="","",'Constant Ecs GBP'!CD29*INDEX('Global Constants'!BW$24:BW$33,$F29))</f>
        <v/>
      </c>
      <c r="CE29" s="26" t="str">
        <f>IF($C29="","",'Constant Ecs GBP'!CE29*INDEX('Global Constants'!BX$24:BX$33,$F29))</f>
        <v/>
      </c>
      <c r="CF29" s="26" t="str">
        <f>IF($C29="","",'Constant Ecs GBP'!CF29*INDEX('Global Constants'!BY$24:BY$33,$F29))</f>
        <v/>
      </c>
      <c r="CG29" s="26" t="str">
        <f>IF($C29="","",'Constant Ecs GBP'!CG29*INDEX('Global Constants'!BZ$24:BZ$33,$F29))</f>
        <v/>
      </c>
      <c r="CH29" s="26" t="str">
        <f>IF($C29="","",'Constant Ecs GBP'!CH29*INDEX('Global Constants'!CA$24:CA$33,$F29))</f>
        <v/>
      </c>
      <c r="CI29" s="26" t="str">
        <f>IF($C29="","",'Constant Ecs GBP'!CI29*INDEX('Global Constants'!CB$24:CB$33,$F29))</f>
        <v/>
      </c>
      <c r="CJ29" s="26" t="str">
        <f>IF($C29="","",'Constant Ecs GBP'!CJ29*INDEX('Global Constants'!CC$24:CC$33,$F29))</f>
        <v/>
      </c>
      <c r="CK29" s="26" t="str">
        <f>IF($C29="","",'Constant Ecs GBP'!CK29*INDEX('Global Constants'!CD$24:CD$33,$F29))</f>
        <v/>
      </c>
      <c r="CL29" s="26" t="str">
        <f>IF($C29="","",'Constant Ecs GBP'!CL29*INDEX('Global Constants'!CE$24:CE$33,$F29))</f>
        <v/>
      </c>
      <c r="CM29" s="26" t="str">
        <f>IF($C29="","",'Constant Ecs GBP'!CM29*INDEX('Global Constants'!CF$24:CF$33,$F29))</f>
        <v/>
      </c>
      <c r="CN29" s="26" t="str">
        <f>IF($C29="","",'Constant Ecs GBP'!CN29*INDEX('Global Constants'!CG$24:CG$33,$F29))</f>
        <v/>
      </c>
      <c r="CO29" s="26" t="str">
        <f>IF($C29="","",'Constant Ecs GBP'!CO29*INDEX('Global Constants'!CH$24:CH$33,$F29))</f>
        <v/>
      </c>
      <c r="CP29" s="26" t="str">
        <f>IF($C29="","",'Constant Ecs GBP'!CP29*INDEX('Global Constants'!CI$24:CI$33,$F29))</f>
        <v/>
      </c>
      <c r="CQ29" s="26" t="str">
        <f>IF($C29="","",'Constant Ecs GBP'!CQ29*INDEX('Global Constants'!CJ$24:CJ$33,$F29))</f>
        <v/>
      </c>
      <c r="CR29" s="26" t="str">
        <f>IF($C29="","",'Constant Ecs GBP'!CR29*INDEX('Global Constants'!CK$24:CK$33,$F29))</f>
        <v/>
      </c>
      <c r="CS29" s="26" t="str">
        <f>IF($C29="","",'Constant Ecs GBP'!CS29*INDEX('Global Constants'!CL$24:CL$33,$F29))</f>
        <v/>
      </c>
      <c r="CT29" s="26" t="str">
        <f>IF($C29="","",'Constant Ecs GBP'!CT29*INDEX('Global Constants'!CM$24:CM$33,$F29))</f>
        <v/>
      </c>
      <c r="CU29" s="26" t="str">
        <f>IF($C29="","",'Constant Ecs GBP'!CU29*INDEX('Global Constants'!CN$24:CN$33,$F29))</f>
        <v/>
      </c>
      <c r="CV29" s="26" t="str">
        <f>IF($C29="","",'Constant Ecs GBP'!CV29*INDEX('Global Constants'!CO$24:CO$33,$F29))</f>
        <v/>
      </c>
      <c r="CW29" s="26" t="str">
        <f>IF($C29="","",'Constant Ecs GBP'!CW29*INDEX('Global Constants'!CP$24:CP$33,$F29))</f>
        <v/>
      </c>
      <c r="CX29" s="26" t="str">
        <f>IF($C29="","",'Constant Ecs GBP'!CX29*INDEX('Global Constants'!CQ$24:CQ$33,$F29))</f>
        <v/>
      </c>
      <c r="CZ29" s="26">
        <f t="shared" ca="1" si="1"/>
        <v>0</v>
      </c>
      <c r="DA29" s="26">
        <f t="shared" si="2"/>
        <v>0</v>
      </c>
    </row>
    <row r="30" spans="3:105" x14ac:dyDescent="0.3">
      <c r="C30" s="4" t="str">
        <f>IF('Cost &amp; Risk Inputs'!C31="","",'Cost &amp; Risk Inputs'!C31)</f>
        <v/>
      </c>
      <c r="D30" s="4" t="str">
        <f>IF(C30="","",'Cost &amp; Risk Inputs'!F31)</f>
        <v/>
      </c>
      <c r="F30" s="18" t="str">
        <f t="shared" si="0"/>
        <v/>
      </c>
      <c r="M30" s="26" t="str">
        <f>IF($C30="","",'Constant Ecs GBP'!M30*INDEX('Global Constants'!F$24:F$33,$F30))</f>
        <v/>
      </c>
      <c r="N30" s="26" t="str">
        <f>IF($C30="","",'Constant Ecs GBP'!N30*INDEX('Global Constants'!G$24:G$33,$F30))</f>
        <v/>
      </c>
      <c r="O30" s="26" t="str">
        <f>IF($C30="","",'Constant Ecs GBP'!O30*INDEX('Global Constants'!H$24:H$33,$F30))</f>
        <v/>
      </c>
      <c r="P30" s="26" t="str">
        <f>IF($C30="","",'Constant Ecs GBP'!P30*INDEX('Global Constants'!I$24:I$33,$F30))</f>
        <v/>
      </c>
      <c r="Q30" s="26" t="str">
        <f>IF($C30="","",'Constant Ecs GBP'!Q30*INDEX('Global Constants'!J$24:J$33,$F30))</f>
        <v/>
      </c>
      <c r="R30" s="26" t="str">
        <f>IF($C30="","",'Constant Ecs GBP'!R30*INDEX('Global Constants'!K$24:K$33,$F30))</f>
        <v/>
      </c>
      <c r="S30" s="26" t="str">
        <f>IF($C30="","",'Constant Ecs GBP'!S30*INDEX('Global Constants'!L$24:L$33,$F30))</f>
        <v/>
      </c>
      <c r="T30" s="26" t="str">
        <f>IF($C30="","",'Constant Ecs GBP'!T30*INDEX('Global Constants'!M$24:M$33,$F30))</f>
        <v/>
      </c>
      <c r="U30" s="26" t="str">
        <f>IF($C30="","",'Constant Ecs GBP'!U30*INDEX('Global Constants'!N$24:N$33,$F30))</f>
        <v/>
      </c>
      <c r="V30" s="26" t="str">
        <f>IF($C30="","",'Constant Ecs GBP'!V30*INDEX('Global Constants'!O$24:O$33,$F30))</f>
        <v/>
      </c>
      <c r="W30" s="26" t="str">
        <f>IF($C30="","",'Constant Ecs GBP'!W30*INDEX('Global Constants'!P$24:P$33,$F30))</f>
        <v/>
      </c>
      <c r="X30" s="26" t="str">
        <f>IF($C30="","",'Constant Ecs GBP'!X30*INDEX('Global Constants'!Q$24:Q$33,$F30))</f>
        <v/>
      </c>
      <c r="Y30" s="26" t="str">
        <f>IF($C30="","",'Constant Ecs GBP'!Y30*INDEX('Global Constants'!R$24:R$33,$F30))</f>
        <v/>
      </c>
      <c r="Z30" s="26" t="str">
        <f>IF($C30="","",'Constant Ecs GBP'!Z30*INDEX('Global Constants'!S$24:S$33,$F30))</f>
        <v/>
      </c>
      <c r="AA30" s="26" t="str">
        <f>IF($C30="","",'Constant Ecs GBP'!AA30*INDEX('Global Constants'!T$24:T$33,$F30))</f>
        <v/>
      </c>
      <c r="AB30" s="26" t="str">
        <f>IF($C30="","",'Constant Ecs GBP'!AB30*INDEX('Global Constants'!U$24:U$33,$F30))</f>
        <v/>
      </c>
      <c r="AC30" s="26" t="str">
        <f>IF($C30="","",'Constant Ecs GBP'!AC30*INDEX('Global Constants'!V$24:V$33,$F30))</f>
        <v/>
      </c>
      <c r="AD30" s="26" t="str">
        <f>IF($C30="","",'Constant Ecs GBP'!AD30*INDEX('Global Constants'!W$24:W$33,$F30))</f>
        <v/>
      </c>
      <c r="AE30" s="26" t="str">
        <f>IF($C30="","",'Constant Ecs GBP'!AE30*INDEX('Global Constants'!X$24:X$33,$F30))</f>
        <v/>
      </c>
      <c r="AF30" s="26" t="str">
        <f>IF($C30="","",'Constant Ecs GBP'!AF30*INDEX('Global Constants'!Y$24:Y$33,$F30))</f>
        <v/>
      </c>
      <c r="AG30" s="26" t="str">
        <f>IF($C30="","",'Constant Ecs GBP'!AG30*INDEX('Global Constants'!Z$24:Z$33,$F30))</f>
        <v/>
      </c>
      <c r="AH30" s="26" t="str">
        <f>IF($C30="","",'Constant Ecs GBP'!AH30*INDEX('Global Constants'!AA$24:AA$33,$F30))</f>
        <v/>
      </c>
      <c r="AI30" s="26" t="str">
        <f>IF($C30="","",'Constant Ecs GBP'!AI30*INDEX('Global Constants'!AB$24:AB$33,$F30))</f>
        <v/>
      </c>
      <c r="AJ30" s="26" t="str">
        <f>IF($C30="","",'Constant Ecs GBP'!AJ30*INDEX('Global Constants'!AC$24:AC$33,$F30))</f>
        <v/>
      </c>
      <c r="AK30" s="26" t="str">
        <f>IF($C30="","",'Constant Ecs GBP'!AK30*INDEX('Global Constants'!AD$24:AD$33,$F30))</f>
        <v/>
      </c>
      <c r="AL30" s="26" t="str">
        <f>IF($C30="","",'Constant Ecs GBP'!AL30*INDEX('Global Constants'!AE$24:AE$33,$F30))</f>
        <v/>
      </c>
      <c r="AM30" s="26" t="str">
        <f>IF($C30="","",'Constant Ecs GBP'!AM30*INDEX('Global Constants'!AF$24:AF$33,$F30))</f>
        <v/>
      </c>
      <c r="AN30" s="26" t="str">
        <f>IF($C30="","",'Constant Ecs GBP'!AN30*INDEX('Global Constants'!AG$24:AG$33,$F30))</f>
        <v/>
      </c>
      <c r="AO30" s="26" t="str">
        <f>IF($C30="","",'Constant Ecs GBP'!AO30*INDEX('Global Constants'!AH$24:AH$33,$F30))</f>
        <v/>
      </c>
      <c r="AP30" s="26" t="str">
        <f>IF($C30="","",'Constant Ecs GBP'!AP30*INDEX('Global Constants'!AI$24:AI$33,$F30))</f>
        <v/>
      </c>
      <c r="AQ30" s="26" t="str">
        <f>IF($C30="","",'Constant Ecs GBP'!AQ30*INDEX('Global Constants'!AJ$24:AJ$33,$F30))</f>
        <v/>
      </c>
      <c r="AR30" s="26" t="str">
        <f>IF($C30="","",'Constant Ecs GBP'!AR30*INDEX('Global Constants'!AK$24:AK$33,$F30))</f>
        <v/>
      </c>
      <c r="AS30" s="26" t="str">
        <f>IF($C30="","",'Constant Ecs GBP'!AS30*INDEX('Global Constants'!AL$24:AL$33,$F30))</f>
        <v/>
      </c>
      <c r="AT30" s="26" t="str">
        <f>IF($C30="","",'Constant Ecs GBP'!AT30*INDEX('Global Constants'!AM$24:AM$33,$F30))</f>
        <v/>
      </c>
      <c r="AU30" s="26" t="str">
        <f>IF($C30="","",'Constant Ecs GBP'!AU30*INDEX('Global Constants'!AN$24:AN$33,$F30))</f>
        <v/>
      </c>
      <c r="AV30" s="26" t="str">
        <f>IF($C30="","",'Constant Ecs GBP'!AV30*INDEX('Global Constants'!AO$24:AO$33,$F30))</f>
        <v/>
      </c>
      <c r="AW30" s="26" t="str">
        <f>IF($C30="","",'Constant Ecs GBP'!AW30*INDEX('Global Constants'!AP$24:AP$33,$F30))</f>
        <v/>
      </c>
      <c r="AX30" s="26" t="str">
        <f>IF($C30="","",'Constant Ecs GBP'!AX30*INDEX('Global Constants'!AQ$24:AQ$33,$F30))</f>
        <v/>
      </c>
      <c r="AY30" s="26" t="str">
        <f>IF($C30="","",'Constant Ecs GBP'!AY30*INDEX('Global Constants'!AR$24:AR$33,$F30))</f>
        <v/>
      </c>
      <c r="AZ30" s="26" t="str">
        <f>IF($C30="","",'Constant Ecs GBP'!AZ30*INDEX('Global Constants'!AS$24:AS$33,$F30))</f>
        <v/>
      </c>
      <c r="BA30" s="26" t="str">
        <f>IF($C30="","",'Constant Ecs GBP'!BA30*INDEX('Global Constants'!AT$24:AT$33,$F30))</f>
        <v/>
      </c>
      <c r="BB30" s="26" t="str">
        <f>IF($C30="","",'Constant Ecs GBP'!BB30*INDEX('Global Constants'!AU$24:AU$33,$F30))</f>
        <v/>
      </c>
      <c r="BC30" s="26" t="str">
        <f>IF($C30="","",'Constant Ecs GBP'!BC30*INDEX('Global Constants'!AV$24:AV$33,$F30))</f>
        <v/>
      </c>
      <c r="BD30" s="26" t="str">
        <f>IF($C30="","",'Constant Ecs GBP'!BD30*INDEX('Global Constants'!AW$24:AW$33,$F30))</f>
        <v/>
      </c>
      <c r="BE30" s="26" t="str">
        <f>IF($C30="","",'Constant Ecs GBP'!BE30*INDEX('Global Constants'!AX$24:AX$33,$F30))</f>
        <v/>
      </c>
      <c r="BF30" s="26" t="str">
        <f>IF($C30="","",'Constant Ecs GBP'!BF30*INDEX('Global Constants'!AY$24:AY$33,$F30))</f>
        <v/>
      </c>
      <c r="BG30" s="26" t="str">
        <f>IF($C30="","",'Constant Ecs GBP'!BG30*INDEX('Global Constants'!AZ$24:AZ$33,$F30))</f>
        <v/>
      </c>
      <c r="BH30" s="26" t="str">
        <f>IF($C30="","",'Constant Ecs GBP'!BH30*INDEX('Global Constants'!BA$24:BA$33,$F30))</f>
        <v/>
      </c>
      <c r="BI30" s="26" t="str">
        <f>IF($C30="","",'Constant Ecs GBP'!BI30*INDEX('Global Constants'!BB$24:BB$33,$F30))</f>
        <v/>
      </c>
      <c r="BJ30" s="26" t="str">
        <f>IF($C30="","",'Constant Ecs GBP'!BJ30*INDEX('Global Constants'!BC$24:BC$33,$F30))</f>
        <v/>
      </c>
      <c r="BK30" s="26" t="str">
        <f>IF($C30="","",'Constant Ecs GBP'!BK30*INDEX('Global Constants'!BD$24:BD$33,$F30))</f>
        <v/>
      </c>
      <c r="BL30" s="26" t="str">
        <f>IF($C30="","",'Constant Ecs GBP'!BL30*INDEX('Global Constants'!BE$24:BE$33,$F30))</f>
        <v/>
      </c>
      <c r="BM30" s="26" t="str">
        <f>IF($C30="","",'Constant Ecs GBP'!BM30*INDEX('Global Constants'!BF$24:BF$33,$F30))</f>
        <v/>
      </c>
      <c r="BN30" s="26" t="str">
        <f>IF($C30="","",'Constant Ecs GBP'!BN30*INDEX('Global Constants'!BG$24:BG$33,$F30))</f>
        <v/>
      </c>
      <c r="BO30" s="26" t="str">
        <f>IF($C30="","",'Constant Ecs GBP'!BO30*INDEX('Global Constants'!BH$24:BH$33,$F30))</f>
        <v/>
      </c>
      <c r="BP30" s="26" t="str">
        <f>IF($C30="","",'Constant Ecs GBP'!BP30*INDEX('Global Constants'!BI$24:BI$33,$F30))</f>
        <v/>
      </c>
      <c r="BQ30" s="26" t="str">
        <f>IF($C30="","",'Constant Ecs GBP'!BQ30*INDEX('Global Constants'!BJ$24:BJ$33,$F30))</f>
        <v/>
      </c>
      <c r="BR30" s="26" t="str">
        <f>IF($C30="","",'Constant Ecs GBP'!BR30*INDEX('Global Constants'!BK$24:BK$33,$F30))</f>
        <v/>
      </c>
      <c r="BS30" s="26" t="str">
        <f>IF($C30="","",'Constant Ecs GBP'!BS30*INDEX('Global Constants'!BL$24:BL$33,$F30))</f>
        <v/>
      </c>
      <c r="BT30" s="26" t="str">
        <f>IF($C30="","",'Constant Ecs GBP'!BT30*INDEX('Global Constants'!BM$24:BM$33,$F30))</f>
        <v/>
      </c>
      <c r="BU30" s="26" t="str">
        <f>IF($C30="","",'Constant Ecs GBP'!BU30*INDEX('Global Constants'!BN$24:BN$33,$F30))</f>
        <v/>
      </c>
      <c r="BV30" s="26" t="str">
        <f>IF($C30="","",'Constant Ecs GBP'!BV30*INDEX('Global Constants'!BO$24:BO$33,$F30))</f>
        <v/>
      </c>
      <c r="BW30" s="26" t="str">
        <f>IF($C30="","",'Constant Ecs GBP'!BW30*INDEX('Global Constants'!BP$24:BP$33,$F30))</f>
        <v/>
      </c>
      <c r="BX30" s="26" t="str">
        <f>IF($C30="","",'Constant Ecs GBP'!BX30*INDEX('Global Constants'!BQ$24:BQ$33,$F30))</f>
        <v/>
      </c>
      <c r="BY30" s="26" t="str">
        <f>IF($C30="","",'Constant Ecs GBP'!BY30*INDEX('Global Constants'!BR$24:BR$33,$F30))</f>
        <v/>
      </c>
      <c r="BZ30" s="26" t="str">
        <f>IF($C30="","",'Constant Ecs GBP'!BZ30*INDEX('Global Constants'!BS$24:BS$33,$F30))</f>
        <v/>
      </c>
      <c r="CA30" s="26" t="str">
        <f>IF($C30="","",'Constant Ecs GBP'!CA30*INDEX('Global Constants'!BT$24:BT$33,$F30))</f>
        <v/>
      </c>
      <c r="CB30" s="26" t="str">
        <f>IF($C30="","",'Constant Ecs GBP'!CB30*INDEX('Global Constants'!BU$24:BU$33,$F30))</f>
        <v/>
      </c>
      <c r="CC30" s="26" t="str">
        <f>IF($C30="","",'Constant Ecs GBP'!CC30*INDEX('Global Constants'!BV$24:BV$33,$F30))</f>
        <v/>
      </c>
      <c r="CD30" s="26" t="str">
        <f>IF($C30="","",'Constant Ecs GBP'!CD30*INDEX('Global Constants'!BW$24:BW$33,$F30))</f>
        <v/>
      </c>
      <c r="CE30" s="26" t="str">
        <f>IF($C30="","",'Constant Ecs GBP'!CE30*INDEX('Global Constants'!BX$24:BX$33,$F30))</f>
        <v/>
      </c>
      <c r="CF30" s="26" t="str">
        <f>IF($C30="","",'Constant Ecs GBP'!CF30*INDEX('Global Constants'!BY$24:BY$33,$F30))</f>
        <v/>
      </c>
      <c r="CG30" s="26" t="str">
        <f>IF($C30="","",'Constant Ecs GBP'!CG30*INDEX('Global Constants'!BZ$24:BZ$33,$F30))</f>
        <v/>
      </c>
      <c r="CH30" s="26" t="str">
        <f>IF($C30="","",'Constant Ecs GBP'!CH30*INDEX('Global Constants'!CA$24:CA$33,$F30))</f>
        <v/>
      </c>
      <c r="CI30" s="26" t="str">
        <f>IF($C30="","",'Constant Ecs GBP'!CI30*INDEX('Global Constants'!CB$24:CB$33,$F30))</f>
        <v/>
      </c>
      <c r="CJ30" s="26" t="str">
        <f>IF($C30="","",'Constant Ecs GBP'!CJ30*INDEX('Global Constants'!CC$24:CC$33,$F30))</f>
        <v/>
      </c>
      <c r="CK30" s="26" t="str">
        <f>IF($C30="","",'Constant Ecs GBP'!CK30*INDEX('Global Constants'!CD$24:CD$33,$F30))</f>
        <v/>
      </c>
      <c r="CL30" s="26" t="str">
        <f>IF($C30="","",'Constant Ecs GBP'!CL30*INDEX('Global Constants'!CE$24:CE$33,$F30))</f>
        <v/>
      </c>
      <c r="CM30" s="26" t="str">
        <f>IF($C30="","",'Constant Ecs GBP'!CM30*INDEX('Global Constants'!CF$24:CF$33,$F30))</f>
        <v/>
      </c>
      <c r="CN30" s="26" t="str">
        <f>IF($C30="","",'Constant Ecs GBP'!CN30*INDEX('Global Constants'!CG$24:CG$33,$F30))</f>
        <v/>
      </c>
      <c r="CO30" s="26" t="str">
        <f>IF($C30="","",'Constant Ecs GBP'!CO30*INDEX('Global Constants'!CH$24:CH$33,$F30))</f>
        <v/>
      </c>
      <c r="CP30" s="26" t="str">
        <f>IF($C30="","",'Constant Ecs GBP'!CP30*INDEX('Global Constants'!CI$24:CI$33,$F30))</f>
        <v/>
      </c>
      <c r="CQ30" s="26" t="str">
        <f>IF($C30="","",'Constant Ecs GBP'!CQ30*INDEX('Global Constants'!CJ$24:CJ$33,$F30))</f>
        <v/>
      </c>
      <c r="CR30" s="26" t="str">
        <f>IF($C30="","",'Constant Ecs GBP'!CR30*INDEX('Global Constants'!CK$24:CK$33,$F30))</f>
        <v/>
      </c>
      <c r="CS30" s="26" t="str">
        <f>IF($C30="","",'Constant Ecs GBP'!CS30*INDEX('Global Constants'!CL$24:CL$33,$F30))</f>
        <v/>
      </c>
      <c r="CT30" s="26" t="str">
        <f>IF($C30="","",'Constant Ecs GBP'!CT30*INDEX('Global Constants'!CM$24:CM$33,$F30))</f>
        <v/>
      </c>
      <c r="CU30" s="26" t="str">
        <f>IF($C30="","",'Constant Ecs GBP'!CU30*INDEX('Global Constants'!CN$24:CN$33,$F30))</f>
        <v/>
      </c>
      <c r="CV30" s="26" t="str">
        <f>IF($C30="","",'Constant Ecs GBP'!CV30*INDEX('Global Constants'!CO$24:CO$33,$F30))</f>
        <v/>
      </c>
      <c r="CW30" s="26" t="str">
        <f>IF($C30="","",'Constant Ecs GBP'!CW30*INDEX('Global Constants'!CP$24:CP$33,$F30))</f>
        <v/>
      </c>
      <c r="CX30" s="26" t="str">
        <f>IF($C30="","",'Constant Ecs GBP'!CX30*INDEX('Global Constants'!CQ$24:CQ$33,$F30))</f>
        <v/>
      </c>
      <c r="CZ30" s="26">
        <f t="shared" ca="1" si="1"/>
        <v>0</v>
      </c>
      <c r="DA30" s="26">
        <f t="shared" si="2"/>
        <v>0</v>
      </c>
    </row>
    <row r="31" spans="3:105" x14ac:dyDescent="0.3">
      <c r="C31" s="4" t="str">
        <f>IF('Cost &amp; Risk Inputs'!C32="","",'Cost &amp; Risk Inputs'!C32)</f>
        <v/>
      </c>
      <c r="D31" s="4" t="str">
        <f>IF(C31="","",'Cost &amp; Risk Inputs'!F32)</f>
        <v/>
      </c>
      <c r="F31" s="18" t="str">
        <f t="shared" si="0"/>
        <v/>
      </c>
      <c r="M31" s="26" t="str">
        <f>IF($C31="","",'Constant Ecs GBP'!M31*INDEX('Global Constants'!F$24:F$33,$F31))</f>
        <v/>
      </c>
      <c r="N31" s="26" t="str">
        <f>IF($C31="","",'Constant Ecs GBP'!N31*INDEX('Global Constants'!G$24:G$33,$F31))</f>
        <v/>
      </c>
      <c r="O31" s="26" t="str">
        <f>IF($C31="","",'Constant Ecs GBP'!O31*INDEX('Global Constants'!H$24:H$33,$F31))</f>
        <v/>
      </c>
      <c r="P31" s="26" t="str">
        <f>IF($C31="","",'Constant Ecs GBP'!P31*INDEX('Global Constants'!I$24:I$33,$F31))</f>
        <v/>
      </c>
      <c r="Q31" s="26" t="str">
        <f>IF($C31="","",'Constant Ecs GBP'!Q31*INDEX('Global Constants'!J$24:J$33,$F31))</f>
        <v/>
      </c>
      <c r="R31" s="26" t="str">
        <f>IF($C31="","",'Constant Ecs GBP'!R31*INDEX('Global Constants'!K$24:K$33,$F31))</f>
        <v/>
      </c>
      <c r="S31" s="26" t="str">
        <f>IF($C31="","",'Constant Ecs GBP'!S31*INDEX('Global Constants'!L$24:L$33,$F31))</f>
        <v/>
      </c>
      <c r="T31" s="26" t="str">
        <f>IF($C31="","",'Constant Ecs GBP'!T31*INDEX('Global Constants'!M$24:M$33,$F31))</f>
        <v/>
      </c>
      <c r="U31" s="26" t="str">
        <f>IF($C31="","",'Constant Ecs GBP'!U31*INDEX('Global Constants'!N$24:N$33,$F31))</f>
        <v/>
      </c>
      <c r="V31" s="26" t="str">
        <f>IF($C31="","",'Constant Ecs GBP'!V31*INDEX('Global Constants'!O$24:O$33,$F31))</f>
        <v/>
      </c>
      <c r="W31" s="26" t="str">
        <f>IF($C31="","",'Constant Ecs GBP'!W31*INDEX('Global Constants'!P$24:P$33,$F31))</f>
        <v/>
      </c>
      <c r="X31" s="26" t="str">
        <f>IF($C31="","",'Constant Ecs GBP'!X31*INDEX('Global Constants'!Q$24:Q$33,$F31))</f>
        <v/>
      </c>
      <c r="Y31" s="26" t="str">
        <f>IF($C31="","",'Constant Ecs GBP'!Y31*INDEX('Global Constants'!R$24:R$33,$F31))</f>
        <v/>
      </c>
      <c r="Z31" s="26" t="str">
        <f>IF($C31="","",'Constant Ecs GBP'!Z31*INDEX('Global Constants'!S$24:S$33,$F31))</f>
        <v/>
      </c>
      <c r="AA31" s="26" t="str">
        <f>IF($C31="","",'Constant Ecs GBP'!AA31*INDEX('Global Constants'!T$24:T$33,$F31))</f>
        <v/>
      </c>
      <c r="AB31" s="26" t="str">
        <f>IF($C31="","",'Constant Ecs GBP'!AB31*INDEX('Global Constants'!U$24:U$33,$F31))</f>
        <v/>
      </c>
      <c r="AC31" s="26" t="str">
        <f>IF($C31="","",'Constant Ecs GBP'!AC31*INDEX('Global Constants'!V$24:V$33,$F31))</f>
        <v/>
      </c>
      <c r="AD31" s="26" t="str">
        <f>IF($C31="","",'Constant Ecs GBP'!AD31*INDEX('Global Constants'!W$24:W$33,$F31))</f>
        <v/>
      </c>
      <c r="AE31" s="26" t="str">
        <f>IF($C31="","",'Constant Ecs GBP'!AE31*INDEX('Global Constants'!X$24:X$33,$F31))</f>
        <v/>
      </c>
      <c r="AF31" s="26" t="str">
        <f>IF($C31="","",'Constant Ecs GBP'!AF31*INDEX('Global Constants'!Y$24:Y$33,$F31))</f>
        <v/>
      </c>
      <c r="AG31" s="26" t="str">
        <f>IF($C31="","",'Constant Ecs GBP'!AG31*INDEX('Global Constants'!Z$24:Z$33,$F31))</f>
        <v/>
      </c>
      <c r="AH31" s="26" t="str">
        <f>IF($C31="","",'Constant Ecs GBP'!AH31*INDEX('Global Constants'!AA$24:AA$33,$F31))</f>
        <v/>
      </c>
      <c r="AI31" s="26" t="str">
        <f>IF($C31="","",'Constant Ecs GBP'!AI31*INDEX('Global Constants'!AB$24:AB$33,$F31))</f>
        <v/>
      </c>
      <c r="AJ31" s="26" t="str">
        <f>IF($C31="","",'Constant Ecs GBP'!AJ31*INDEX('Global Constants'!AC$24:AC$33,$F31))</f>
        <v/>
      </c>
      <c r="AK31" s="26" t="str">
        <f>IF($C31="","",'Constant Ecs GBP'!AK31*INDEX('Global Constants'!AD$24:AD$33,$F31))</f>
        <v/>
      </c>
      <c r="AL31" s="26" t="str">
        <f>IF($C31="","",'Constant Ecs GBP'!AL31*INDEX('Global Constants'!AE$24:AE$33,$F31))</f>
        <v/>
      </c>
      <c r="AM31" s="26" t="str">
        <f>IF($C31="","",'Constant Ecs GBP'!AM31*INDEX('Global Constants'!AF$24:AF$33,$F31))</f>
        <v/>
      </c>
      <c r="AN31" s="26" t="str">
        <f>IF($C31="","",'Constant Ecs GBP'!AN31*INDEX('Global Constants'!AG$24:AG$33,$F31))</f>
        <v/>
      </c>
      <c r="AO31" s="26" t="str">
        <f>IF($C31="","",'Constant Ecs GBP'!AO31*INDEX('Global Constants'!AH$24:AH$33,$F31))</f>
        <v/>
      </c>
      <c r="AP31" s="26" t="str">
        <f>IF($C31="","",'Constant Ecs GBP'!AP31*INDEX('Global Constants'!AI$24:AI$33,$F31))</f>
        <v/>
      </c>
      <c r="AQ31" s="26" t="str">
        <f>IF($C31="","",'Constant Ecs GBP'!AQ31*INDEX('Global Constants'!AJ$24:AJ$33,$F31))</f>
        <v/>
      </c>
      <c r="AR31" s="26" t="str">
        <f>IF($C31="","",'Constant Ecs GBP'!AR31*INDEX('Global Constants'!AK$24:AK$33,$F31))</f>
        <v/>
      </c>
      <c r="AS31" s="26" t="str">
        <f>IF($C31="","",'Constant Ecs GBP'!AS31*INDEX('Global Constants'!AL$24:AL$33,$F31))</f>
        <v/>
      </c>
      <c r="AT31" s="26" t="str">
        <f>IF($C31="","",'Constant Ecs GBP'!AT31*INDEX('Global Constants'!AM$24:AM$33,$F31))</f>
        <v/>
      </c>
      <c r="AU31" s="26" t="str">
        <f>IF($C31="","",'Constant Ecs GBP'!AU31*INDEX('Global Constants'!AN$24:AN$33,$F31))</f>
        <v/>
      </c>
      <c r="AV31" s="26" t="str">
        <f>IF($C31="","",'Constant Ecs GBP'!AV31*INDEX('Global Constants'!AO$24:AO$33,$F31))</f>
        <v/>
      </c>
      <c r="AW31" s="26" t="str">
        <f>IF($C31="","",'Constant Ecs GBP'!AW31*INDEX('Global Constants'!AP$24:AP$33,$F31))</f>
        <v/>
      </c>
      <c r="AX31" s="26" t="str">
        <f>IF($C31="","",'Constant Ecs GBP'!AX31*INDEX('Global Constants'!AQ$24:AQ$33,$F31))</f>
        <v/>
      </c>
      <c r="AY31" s="26" t="str">
        <f>IF($C31="","",'Constant Ecs GBP'!AY31*INDEX('Global Constants'!AR$24:AR$33,$F31))</f>
        <v/>
      </c>
      <c r="AZ31" s="26" t="str">
        <f>IF($C31="","",'Constant Ecs GBP'!AZ31*INDEX('Global Constants'!AS$24:AS$33,$F31))</f>
        <v/>
      </c>
      <c r="BA31" s="26" t="str">
        <f>IF($C31="","",'Constant Ecs GBP'!BA31*INDEX('Global Constants'!AT$24:AT$33,$F31))</f>
        <v/>
      </c>
      <c r="BB31" s="26" t="str">
        <f>IF($C31="","",'Constant Ecs GBP'!BB31*INDEX('Global Constants'!AU$24:AU$33,$F31))</f>
        <v/>
      </c>
      <c r="BC31" s="26" t="str">
        <f>IF($C31="","",'Constant Ecs GBP'!BC31*INDEX('Global Constants'!AV$24:AV$33,$F31))</f>
        <v/>
      </c>
      <c r="BD31" s="26" t="str">
        <f>IF($C31="","",'Constant Ecs GBP'!BD31*INDEX('Global Constants'!AW$24:AW$33,$F31))</f>
        <v/>
      </c>
      <c r="BE31" s="26" t="str">
        <f>IF($C31="","",'Constant Ecs GBP'!BE31*INDEX('Global Constants'!AX$24:AX$33,$F31))</f>
        <v/>
      </c>
      <c r="BF31" s="26" t="str">
        <f>IF($C31="","",'Constant Ecs GBP'!BF31*INDEX('Global Constants'!AY$24:AY$33,$F31))</f>
        <v/>
      </c>
      <c r="BG31" s="26" t="str">
        <f>IF($C31="","",'Constant Ecs GBP'!BG31*INDEX('Global Constants'!AZ$24:AZ$33,$F31))</f>
        <v/>
      </c>
      <c r="BH31" s="26" t="str">
        <f>IF($C31="","",'Constant Ecs GBP'!BH31*INDEX('Global Constants'!BA$24:BA$33,$F31))</f>
        <v/>
      </c>
      <c r="BI31" s="26" t="str">
        <f>IF($C31="","",'Constant Ecs GBP'!BI31*INDEX('Global Constants'!BB$24:BB$33,$F31))</f>
        <v/>
      </c>
      <c r="BJ31" s="26" t="str">
        <f>IF($C31="","",'Constant Ecs GBP'!BJ31*INDEX('Global Constants'!BC$24:BC$33,$F31))</f>
        <v/>
      </c>
      <c r="BK31" s="26" t="str">
        <f>IF($C31="","",'Constant Ecs GBP'!BK31*INDEX('Global Constants'!BD$24:BD$33,$F31))</f>
        <v/>
      </c>
      <c r="BL31" s="26" t="str">
        <f>IF($C31="","",'Constant Ecs GBP'!BL31*INDEX('Global Constants'!BE$24:BE$33,$F31))</f>
        <v/>
      </c>
      <c r="BM31" s="26" t="str">
        <f>IF($C31="","",'Constant Ecs GBP'!BM31*INDEX('Global Constants'!BF$24:BF$33,$F31))</f>
        <v/>
      </c>
      <c r="BN31" s="26" t="str">
        <f>IF($C31="","",'Constant Ecs GBP'!BN31*INDEX('Global Constants'!BG$24:BG$33,$F31))</f>
        <v/>
      </c>
      <c r="BO31" s="26" t="str">
        <f>IF($C31="","",'Constant Ecs GBP'!BO31*INDEX('Global Constants'!BH$24:BH$33,$F31))</f>
        <v/>
      </c>
      <c r="BP31" s="26" t="str">
        <f>IF($C31="","",'Constant Ecs GBP'!BP31*INDEX('Global Constants'!BI$24:BI$33,$F31))</f>
        <v/>
      </c>
      <c r="BQ31" s="26" t="str">
        <f>IF($C31="","",'Constant Ecs GBP'!BQ31*INDEX('Global Constants'!BJ$24:BJ$33,$F31))</f>
        <v/>
      </c>
      <c r="BR31" s="26" t="str">
        <f>IF($C31="","",'Constant Ecs GBP'!BR31*INDEX('Global Constants'!BK$24:BK$33,$F31))</f>
        <v/>
      </c>
      <c r="BS31" s="26" t="str">
        <f>IF($C31="","",'Constant Ecs GBP'!BS31*INDEX('Global Constants'!BL$24:BL$33,$F31))</f>
        <v/>
      </c>
      <c r="BT31" s="26" t="str">
        <f>IF($C31="","",'Constant Ecs GBP'!BT31*INDEX('Global Constants'!BM$24:BM$33,$F31))</f>
        <v/>
      </c>
      <c r="BU31" s="26" t="str">
        <f>IF($C31="","",'Constant Ecs GBP'!BU31*INDEX('Global Constants'!BN$24:BN$33,$F31))</f>
        <v/>
      </c>
      <c r="BV31" s="26" t="str">
        <f>IF($C31="","",'Constant Ecs GBP'!BV31*INDEX('Global Constants'!BO$24:BO$33,$F31))</f>
        <v/>
      </c>
      <c r="BW31" s="26" t="str">
        <f>IF($C31="","",'Constant Ecs GBP'!BW31*INDEX('Global Constants'!BP$24:BP$33,$F31))</f>
        <v/>
      </c>
      <c r="BX31" s="26" t="str">
        <f>IF($C31="","",'Constant Ecs GBP'!BX31*INDEX('Global Constants'!BQ$24:BQ$33,$F31))</f>
        <v/>
      </c>
      <c r="BY31" s="26" t="str">
        <f>IF($C31="","",'Constant Ecs GBP'!BY31*INDEX('Global Constants'!BR$24:BR$33,$F31))</f>
        <v/>
      </c>
      <c r="BZ31" s="26" t="str">
        <f>IF($C31="","",'Constant Ecs GBP'!BZ31*INDEX('Global Constants'!BS$24:BS$33,$F31))</f>
        <v/>
      </c>
      <c r="CA31" s="26" t="str">
        <f>IF($C31="","",'Constant Ecs GBP'!CA31*INDEX('Global Constants'!BT$24:BT$33,$F31))</f>
        <v/>
      </c>
      <c r="CB31" s="26" t="str">
        <f>IF($C31="","",'Constant Ecs GBP'!CB31*INDEX('Global Constants'!BU$24:BU$33,$F31))</f>
        <v/>
      </c>
      <c r="CC31" s="26" t="str">
        <f>IF($C31="","",'Constant Ecs GBP'!CC31*INDEX('Global Constants'!BV$24:BV$33,$F31))</f>
        <v/>
      </c>
      <c r="CD31" s="26" t="str">
        <f>IF($C31="","",'Constant Ecs GBP'!CD31*INDEX('Global Constants'!BW$24:BW$33,$F31))</f>
        <v/>
      </c>
      <c r="CE31" s="26" t="str">
        <f>IF($C31="","",'Constant Ecs GBP'!CE31*INDEX('Global Constants'!BX$24:BX$33,$F31))</f>
        <v/>
      </c>
      <c r="CF31" s="26" t="str">
        <f>IF($C31="","",'Constant Ecs GBP'!CF31*INDEX('Global Constants'!BY$24:BY$33,$F31))</f>
        <v/>
      </c>
      <c r="CG31" s="26" t="str">
        <f>IF($C31="","",'Constant Ecs GBP'!CG31*INDEX('Global Constants'!BZ$24:BZ$33,$F31))</f>
        <v/>
      </c>
      <c r="CH31" s="26" t="str">
        <f>IF($C31="","",'Constant Ecs GBP'!CH31*INDEX('Global Constants'!CA$24:CA$33,$F31))</f>
        <v/>
      </c>
      <c r="CI31" s="26" t="str">
        <f>IF($C31="","",'Constant Ecs GBP'!CI31*INDEX('Global Constants'!CB$24:CB$33,$F31))</f>
        <v/>
      </c>
      <c r="CJ31" s="26" t="str">
        <f>IF($C31="","",'Constant Ecs GBP'!CJ31*INDEX('Global Constants'!CC$24:CC$33,$F31))</f>
        <v/>
      </c>
      <c r="CK31" s="26" t="str">
        <f>IF($C31="","",'Constant Ecs GBP'!CK31*INDEX('Global Constants'!CD$24:CD$33,$F31))</f>
        <v/>
      </c>
      <c r="CL31" s="26" t="str">
        <f>IF($C31="","",'Constant Ecs GBP'!CL31*INDEX('Global Constants'!CE$24:CE$33,$F31))</f>
        <v/>
      </c>
      <c r="CM31" s="26" t="str">
        <f>IF($C31="","",'Constant Ecs GBP'!CM31*INDEX('Global Constants'!CF$24:CF$33,$F31))</f>
        <v/>
      </c>
      <c r="CN31" s="26" t="str">
        <f>IF($C31="","",'Constant Ecs GBP'!CN31*INDEX('Global Constants'!CG$24:CG$33,$F31))</f>
        <v/>
      </c>
      <c r="CO31" s="26" t="str">
        <f>IF($C31="","",'Constant Ecs GBP'!CO31*INDEX('Global Constants'!CH$24:CH$33,$F31))</f>
        <v/>
      </c>
      <c r="CP31" s="26" t="str">
        <f>IF($C31="","",'Constant Ecs GBP'!CP31*INDEX('Global Constants'!CI$24:CI$33,$F31))</f>
        <v/>
      </c>
      <c r="CQ31" s="26" t="str">
        <f>IF($C31="","",'Constant Ecs GBP'!CQ31*INDEX('Global Constants'!CJ$24:CJ$33,$F31))</f>
        <v/>
      </c>
      <c r="CR31" s="26" t="str">
        <f>IF($C31="","",'Constant Ecs GBP'!CR31*INDEX('Global Constants'!CK$24:CK$33,$F31))</f>
        <v/>
      </c>
      <c r="CS31" s="26" t="str">
        <f>IF($C31="","",'Constant Ecs GBP'!CS31*INDEX('Global Constants'!CL$24:CL$33,$F31))</f>
        <v/>
      </c>
      <c r="CT31" s="26" t="str">
        <f>IF($C31="","",'Constant Ecs GBP'!CT31*INDEX('Global Constants'!CM$24:CM$33,$F31))</f>
        <v/>
      </c>
      <c r="CU31" s="26" t="str">
        <f>IF($C31="","",'Constant Ecs GBP'!CU31*INDEX('Global Constants'!CN$24:CN$33,$F31))</f>
        <v/>
      </c>
      <c r="CV31" s="26" t="str">
        <f>IF($C31="","",'Constant Ecs GBP'!CV31*INDEX('Global Constants'!CO$24:CO$33,$F31))</f>
        <v/>
      </c>
      <c r="CW31" s="26" t="str">
        <f>IF($C31="","",'Constant Ecs GBP'!CW31*INDEX('Global Constants'!CP$24:CP$33,$F31))</f>
        <v/>
      </c>
      <c r="CX31" s="26" t="str">
        <f>IF($C31="","",'Constant Ecs GBP'!CX31*INDEX('Global Constants'!CQ$24:CQ$33,$F31))</f>
        <v/>
      </c>
      <c r="CZ31" s="26">
        <f t="shared" ca="1" si="1"/>
        <v>0</v>
      </c>
      <c r="DA31" s="26">
        <f t="shared" si="2"/>
        <v>0</v>
      </c>
    </row>
    <row r="32" spans="3:105" x14ac:dyDescent="0.3">
      <c r="C32" s="4" t="str">
        <f>IF('Cost &amp; Risk Inputs'!C33="","",'Cost &amp; Risk Inputs'!C33)</f>
        <v/>
      </c>
      <c r="D32" s="4" t="str">
        <f>IF(C32="","",'Cost &amp; Risk Inputs'!F33)</f>
        <v/>
      </c>
      <c r="F32" s="18" t="str">
        <f t="shared" si="0"/>
        <v/>
      </c>
      <c r="M32" s="26" t="str">
        <f>IF($C32="","",'Constant Ecs GBP'!M32*INDEX('Global Constants'!F$24:F$33,$F32))</f>
        <v/>
      </c>
      <c r="N32" s="26" t="str">
        <f>IF($C32="","",'Constant Ecs GBP'!N32*INDEX('Global Constants'!G$24:G$33,$F32))</f>
        <v/>
      </c>
      <c r="O32" s="26" t="str">
        <f>IF($C32="","",'Constant Ecs GBP'!O32*INDEX('Global Constants'!H$24:H$33,$F32))</f>
        <v/>
      </c>
      <c r="P32" s="26" t="str">
        <f>IF($C32="","",'Constant Ecs GBP'!P32*INDEX('Global Constants'!I$24:I$33,$F32))</f>
        <v/>
      </c>
      <c r="Q32" s="26" t="str">
        <f>IF($C32="","",'Constant Ecs GBP'!Q32*INDEX('Global Constants'!J$24:J$33,$F32))</f>
        <v/>
      </c>
      <c r="R32" s="26" t="str">
        <f>IF($C32="","",'Constant Ecs GBP'!R32*INDEX('Global Constants'!K$24:K$33,$F32))</f>
        <v/>
      </c>
      <c r="S32" s="26" t="str">
        <f>IF($C32="","",'Constant Ecs GBP'!S32*INDEX('Global Constants'!L$24:L$33,$F32))</f>
        <v/>
      </c>
      <c r="T32" s="26" t="str">
        <f>IF($C32="","",'Constant Ecs GBP'!T32*INDEX('Global Constants'!M$24:M$33,$F32))</f>
        <v/>
      </c>
      <c r="U32" s="26" t="str">
        <f>IF($C32="","",'Constant Ecs GBP'!U32*INDEX('Global Constants'!N$24:N$33,$F32))</f>
        <v/>
      </c>
      <c r="V32" s="26" t="str">
        <f>IF($C32="","",'Constant Ecs GBP'!V32*INDEX('Global Constants'!O$24:O$33,$F32))</f>
        <v/>
      </c>
      <c r="W32" s="26" t="str">
        <f>IF($C32="","",'Constant Ecs GBP'!W32*INDEX('Global Constants'!P$24:P$33,$F32))</f>
        <v/>
      </c>
      <c r="X32" s="26" t="str">
        <f>IF($C32="","",'Constant Ecs GBP'!X32*INDEX('Global Constants'!Q$24:Q$33,$F32))</f>
        <v/>
      </c>
      <c r="Y32" s="26" t="str">
        <f>IF($C32="","",'Constant Ecs GBP'!Y32*INDEX('Global Constants'!R$24:R$33,$F32))</f>
        <v/>
      </c>
      <c r="Z32" s="26" t="str">
        <f>IF($C32="","",'Constant Ecs GBP'!Z32*INDEX('Global Constants'!S$24:S$33,$F32))</f>
        <v/>
      </c>
      <c r="AA32" s="26" t="str">
        <f>IF($C32="","",'Constant Ecs GBP'!AA32*INDEX('Global Constants'!T$24:T$33,$F32))</f>
        <v/>
      </c>
      <c r="AB32" s="26" t="str">
        <f>IF($C32="","",'Constant Ecs GBP'!AB32*INDEX('Global Constants'!U$24:U$33,$F32))</f>
        <v/>
      </c>
      <c r="AC32" s="26" t="str">
        <f>IF($C32="","",'Constant Ecs GBP'!AC32*INDEX('Global Constants'!V$24:V$33,$F32))</f>
        <v/>
      </c>
      <c r="AD32" s="26" t="str">
        <f>IF($C32="","",'Constant Ecs GBP'!AD32*INDEX('Global Constants'!W$24:W$33,$F32))</f>
        <v/>
      </c>
      <c r="AE32" s="26" t="str">
        <f>IF($C32="","",'Constant Ecs GBP'!AE32*INDEX('Global Constants'!X$24:X$33,$F32))</f>
        <v/>
      </c>
      <c r="AF32" s="26" t="str">
        <f>IF($C32="","",'Constant Ecs GBP'!AF32*INDEX('Global Constants'!Y$24:Y$33,$F32))</f>
        <v/>
      </c>
      <c r="AG32" s="26" t="str">
        <f>IF($C32="","",'Constant Ecs GBP'!AG32*INDEX('Global Constants'!Z$24:Z$33,$F32))</f>
        <v/>
      </c>
      <c r="AH32" s="26" t="str">
        <f>IF($C32="","",'Constant Ecs GBP'!AH32*INDEX('Global Constants'!AA$24:AA$33,$F32))</f>
        <v/>
      </c>
      <c r="AI32" s="26" t="str">
        <f>IF($C32="","",'Constant Ecs GBP'!AI32*INDEX('Global Constants'!AB$24:AB$33,$F32))</f>
        <v/>
      </c>
      <c r="AJ32" s="26" t="str">
        <f>IF($C32="","",'Constant Ecs GBP'!AJ32*INDEX('Global Constants'!AC$24:AC$33,$F32))</f>
        <v/>
      </c>
      <c r="AK32" s="26" t="str">
        <f>IF($C32="","",'Constant Ecs GBP'!AK32*INDEX('Global Constants'!AD$24:AD$33,$F32))</f>
        <v/>
      </c>
      <c r="AL32" s="26" t="str">
        <f>IF($C32="","",'Constant Ecs GBP'!AL32*INDEX('Global Constants'!AE$24:AE$33,$F32))</f>
        <v/>
      </c>
      <c r="AM32" s="26" t="str">
        <f>IF($C32="","",'Constant Ecs GBP'!AM32*INDEX('Global Constants'!AF$24:AF$33,$F32))</f>
        <v/>
      </c>
      <c r="AN32" s="26" t="str">
        <f>IF($C32="","",'Constant Ecs GBP'!AN32*INDEX('Global Constants'!AG$24:AG$33,$F32))</f>
        <v/>
      </c>
      <c r="AO32" s="26" t="str">
        <f>IF($C32="","",'Constant Ecs GBP'!AO32*INDEX('Global Constants'!AH$24:AH$33,$F32))</f>
        <v/>
      </c>
      <c r="AP32" s="26" t="str">
        <f>IF($C32="","",'Constant Ecs GBP'!AP32*INDEX('Global Constants'!AI$24:AI$33,$F32))</f>
        <v/>
      </c>
      <c r="AQ32" s="26" t="str">
        <f>IF($C32="","",'Constant Ecs GBP'!AQ32*INDEX('Global Constants'!AJ$24:AJ$33,$F32))</f>
        <v/>
      </c>
      <c r="AR32" s="26" t="str">
        <f>IF($C32="","",'Constant Ecs GBP'!AR32*INDEX('Global Constants'!AK$24:AK$33,$F32))</f>
        <v/>
      </c>
      <c r="AS32" s="26" t="str">
        <f>IF($C32="","",'Constant Ecs GBP'!AS32*INDEX('Global Constants'!AL$24:AL$33,$F32))</f>
        <v/>
      </c>
      <c r="AT32" s="26" t="str">
        <f>IF($C32="","",'Constant Ecs GBP'!AT32*INDEX('Global Constants'!AM$24:AM$33,$F32))</f>
        <v/>
      </c>
      <c r="AU32" s="26" t="str">
        <f>IF($C32="","",'Constant Ecs GBP'!AU32*INDEX('Global Constants'!AN$24:AN$33,$F32))</f>
        <v/>
      </c>
      <c r="AV32" s="26" t="str">
        <f>IF($C32="","",'Constant Ecs GBP'!AV32*INDEX('Global Constants'!AO$24:AO$33,$F32))</f>
        <v/>
      </c>
      <c r="AW32" s="26" t="str">
        <f>IF($C32="","",'Constant Ecs GBP'!AW32*INDEX('Global Constants'!AP$24:AP$33,$F32))</f>
        <v/>
      </c>
      <c r="AX32" s="26" t="str">
        <f>IF($C32="","",'Constant Ecs GBP'!AX32*INDEX('Global Constants'!AQ$24:AQ$33,$F32))</f>
        <v/>
      </c>
      <c r="AY32" s="26" t="str">
        <f>IF($C32="","",'Constant Ecs GBP'!AY32*INDEX('Global Constants'!AR$24:AR$33,$F32))</f>
        <v/>
      </c>
      <c r="AZ32" s="26" t="str">
        <f>IF($C32="","",'Constant Ecs GBP'!AZ32*INDEX('Global Constants'!AS$24:AS$33,$F32))</f>
        <v/>
      </c>
      <c r="BA32" s="26" t="str">
        <f>IF($C32="","",'Constant Ecs GBP'!BA32*INDEX('Global Constants'!AT$24:AT$33,$F32))</f>
        <v/>
      </c>
      <c r="BB32" s="26" t="str">
        <f>IF($C32="","",'Constant Ecs GBP'!BB32*INDEX('Global Constants'!AU$24:AU$33,$F32))</f>
        <v/>
      </c>
      <c r="BC32" s="26" t="str">
        <f>IF($C32="","",'Constant Ecs GBP'!BC32*INDEX('Global Constants'!AV$24:AV$33,$F32))</f>
        <v/>
      </c>
      <c r="BD32" s="26" t="str">
        <f>IF($C32="","",'Constant Ecs GBP'!BD32*INDEX('Global Constants'!AW$24:AW$33,$F32))</f>
        <v/>
      </c>
      <c r="BE32" s="26" t="str">
        <f>IF($C32="","",'Constant Ecs GBP'!BE32*INDEX('Global Constants'!AX$24:AX$33,$F32))</f>
        <v/>
      </c>
      <c r="BF32" s="26" t="str">
        <f>IF($C32="","",'Constant Ecs GBP'!BF32*INDEX('Global Constants'!AY$24:AY$33,$F32))</f>
        <v/>
      </c>
      <c r="BG32" s="26" t="str">
        <f>IF($C32="","",'Constant Ecs GBP'!BG32*INDEX('Global Constants'!AZ$24:AZ$33,$F32))</f>
        <v/>
      </c>
      <c r="BH32" s="26" t="str">
        <f>IF($C32="","",'Constant Ecs GBP'!BH32*INDEX('Global Constants'!BA$24:BA$33,$F32))</f>
        <v/>
      </c>
      <c r="BI32" s="26" t="str">
        <f>IF($C32="","",'Constant Ecs GBP'!BI32*INDEX('Global Constants'!BB$24:BB$33,$F32))</f>
        <v/>
      </c>
      <c r="BJ32" s="26" t="str">
        <f>IF($C32="","",'Constant Ecs GBP'!BJ32*INDEX('Global Constants'!BC$24:BC$33,$F32))</f>
        <v/>
      </c>
      <c r="BK32" s="26" t="str">
        <f>IF($C32="","",'Constant Ecs GBP'!BK32*INDEX('Global Constants'!BD$24:BD$33,$F32))</f>
        <v/>
      </c>
      <c r="BL32" s="26" t="str">
        <f>IF($C32="","",'Constant Ecs GBP'!BL32*INDEX('Global Constants'!BE$24:BE$33,$F32))</f>
        <v/>
      </c>
      <c r="BM32" s="26" t="str">
        <f>IF($C32="","",'Constant Ecs GBP'!BM32*INDEX('Global Constants'!BF$24:BF$33,$F32))</f>
        <v/>
      </c>
      <c r="BN32" s="26" t="str">
        <f>IF($C32="","",'Constant Ecs GBP'!BN32*INDEX('Global Constants'!BG$24:BG$33,$F32))</f>
        <v/>
      </c>
      <c r="BO32" s="26" t="str">
        <f>IF($C32="","",'Constant Ecs GBP'!BO32*INDEX('Global Constants'!BH$24:BH$33,$F32))</f>
        <v/>
      </c>
      <c r="BP32" s="26" t="str">
        <f>IF($C32="","",'Constant Ecs GBP'!BP32*INDEX('Global Constants'!BI$24:BI$33,$F32))</f>
        <v/>
      </c>
      <c r="BQ32" s="26" t="str">
        <f>IF($C32="","",'Constant Ecs GBP'!BQ32*INDEX('Global Constants'!BJ$24:BJ$33,$F32))</f>
        <v/>
      </c>
      <c r="BR32" s="26" t="str">
        <f>IF($C32="","",'Constant Ecs GBP'!BR32*INDEX('Global Constants'!BK$24:BK$33,$F32))</f>
        <v/>
      </c>
      <c r="BS32" s="26" t="str">
        <f>IF($C32="","",'Constant Ecs GBP'!BS32*INDEX('Global Constants'!BL$24:BL$33,$F32))</f>
        <v/>
      </c>
      <c r="BT32" s="26" t="str">
        <f>IF($C32="","",'Constant Ecs GBP'!BT32*INDEX('Global Constants'!BM$24:BM$33,$F32))</f>
        <v/>
      </c>
      <c r="BU32" s="26" t="str">
        <f>IF($C32="","",'Constant Ecs GBP'!BU32*INDEX('Global Constants'!BN$24:BN$33,$F32))</f>
        <v/>
      </c>
      <c r="BV32" s="26" t="str">
        <f>IF($C32="","",'Constant Ecs GBP'!BV32*INDEX('Global Constants'!BO$24:BO$33,$F32))</f>
        <v/>
      </c>
      <c r="BW32" s="26" t="str">
        <f>IF($C32="","",'Constant Ecs GBP'!BW32*INDEX('Global Constants'!BP$24:BP$33,$F32))</f>
        <v/>
      </c>
      <c r="BX32" s="26" t="str">
        <f>IF($C32="","",'Constant Ecs GBP'!BX32*INDEX('Global Constants'!BQ$24:BQ$33,$F32))</f>
        <v/>
      </c>
      <c r="BY32" s="26" t="str">
        <f>IF($C32="","",'Constant Ecs GBP'!BY32*INDEX('Global Constants'!BR$24:BR$33,$F32))</f>
        <v/>
      </c>
      <c r="BZ32" s="26" t="str">
        <f>IF($C32="","",'Constant Ecs GBP'!BZ32*INDEX('Global Constants'!BS$24:BS$33,$F32))</f>
        <v/>
      </c>
      <c r="CA32" s="26" t="str">
        <f>IF($C32="","",'Constant Ecs GBP'!CA32*INDEX('Global Constants'!BT$24:BT$33,$F32))</f>
        <v/>
      </c>
      <c r="CB32" s="26" t="str">
        <f>IF($C32="","",'Constant Ecs GBP'!CB32*INDEX('Global Constants'!BU$24:BU$33,$F32))</f>
        <v/>
      </c>
      <c r="CC32" s="26" t="str">
        <f>IF($C32="","",'Constant Ecs GBP'!CC32*INDEX('Global Constants'!BV$24:BV$33,$F32))</f>
        <v/>
      </c>
      <c r="CD32" s="26" t="str">
        <f>IF($C32="","",'Constant Ecs GBP'!CD32*INDEX('Global Constants'!BW$24:BW$33,$F32))</f>
        <v/>
      </c>
      <c r="CE32" s="26" t="str">
        <f>IF($C32="","",'Constant Ecs GBP'!CE32*INDEX('Global Constants'!BX$24:BX$33,$F32))</f>
        <v/>
      </c>
      <c r="CF32" s="26" t="str">
        <f>IF($C32="","",'Constant Ecs GBP'!CF32*INDEX('Global Constants'!BY$24:BY$33,$F32))</f>
        <v/>
      </c>
      <c r="CG32" s="26" t="str">
        <f>IF($C32="","",'Constant Ecs GBP'!CG32*INDEX('Global Constants'!BZ$24:BZ$33,$F32))</f>
        <v/>
      </c>
      <c r="CH32" s="26" t="str">
        <f>IF($C32="","",'Constant Ecs GBP'!CH32*INDEX('Global Constants'!CA$24:CA$33,$F32))</f>
        <v/>
      </c>
      <c r="CI32" s="26" t="str">
        <f>IF($C32="","",'Constant Ecs GBP'!CI32*INDEX('Global Constants'!CB$24:CB$33,$F32))</f>
        <v/>
      </c>
      <c r="CJ32" s="26" t="str">
        <f>IF($C32="","",'Constant Ecs GBP'!CJ32*INDEX('Global Constants'!CC$24:CC$33,$F32))</f>
        <v/>
      </c>
      <c r="CK32" s="26" t="str">
        <f>IF($C32="","",'Constant Ecs GBP'!CK32*INDEX('Global Constants'!CD$24:CD$33,$F32))</f>
        <v/>
      </c>
      <c r="CL32" s="26" t="str">
        <f>IF($C32="","",'Constant Ecs GBP'!CL32*INDEX('Global Constants'!CE$24:CE$33,$F32))</f>
        <v/>
      </c>
      <c r="CM32" s="26" t="str">
        <f>IF($C32="","",'Constant Ecs GBP'!CM32*INDEX('Global Constants'!CF$24:CF$33,$F32))</f>
        <v/>
      </c>
      <c r="CN32" s="26" t="str">
        <f>IF($C32="","",'Constant Ecs GBP'!CN32*INDEX('Global Constants'!CG$24:CG$33,$F32))</f>
        <v/>
      </c>
      <c r="CO32" s="26" t="str">
        <f>IF($C32="","",'Constant Ecs GBP'!CO32*INDEX('Global Constants'!CH$24:CH$33,$F32))</f>
        <v/>
      </c>
      <c r="CP32" s="26" t="str">
        <f>IF($C32="","",'Constant Ecs GBP'!CP32*INDEX('Global Constants'!CI$24:CI$33,$F32))</f>
        <v/>
      </c>
      <c r="CQ32" s="26" t="str">
        <f>IF($C32="","",'Constant Ecs GBP'!CQ32*INDEX('Global Constants'!CJ$24:CJ$33,$F32))</f>
        <v/>
      </c>
      <c r="CR32" s="26" t="str">
        <f>IF($C32="","",'Constant Ecs GBP'!CR32*INDEX('Global Constants'!CK$24:CK$33,$F32))</f>
        <v/>
      </c>
      <c r="CS32" s="26" t="str">
        <f>IF($C32="","",'Constant Ecs GBP'!CS32*INDEX('Global Constants'!CL$24:CL$33,$F32))</f>
        <v/>
      </c>
      <c r="CT32" s="26" t="str">
        <f>IF($C32="","",'Constant Ecs GBP'!CT32*INDEX('Global Constants'!CM$24:CM$33,$F32))</f>
        <v/>
      </c>
      <c r="CU32" s="26" t="str">
        <f>IF($C32="","",'Constant Ecs GBP'!CU32*INDEX('Global Constants'!CN$24:CN$33,$F32))</f>
        <v/>
      </c>
      <c r="CV32" s="26" t="str">
        <f>IF($C32="","",'Constant Ecs GBP'!CV32*INDEX('Global Constants'!CO$24:CO$33,$F32))</f>
        <v/>
      </c>
      <c r="CW32" s="26" t="str">
        <f>IF($C32="","",'Constant Ecs GBP'!CW32*INDEX('Global Constants'!CP$24:CP$33,$F32))</f>
        <v/>
      </c>
      <c r="CX32" s="26" t="str">
        <f>IF($C32="","",'Constant Ecs GBP'!CX32*INDEX('Global Constants'!CQ$24:CQ$33,$F32))</f>
        <v/>
      </c>
      <c r="CZ32" s="26">
        <f t="shared" ca="1" si="1"/>
        <v>0</v>
      </c>
      <c r="DA32" s="26">
        <f t="shared" si="2"/>
        <v>0</v>
      </c>
    </row>
    <row r="33" spans="3:105" x14ac:dyDescent="0.3">
      <c r="C33" s="4" t="str">
        <f>IF('Cost &amp; Risk Inputs'!C34="","",'Cost &amp; Risk Inputs'!C34)</f>
        <v/>
      </c>
      <c r="D33" s="4" t="str">
        <f>IF(C33="","",'Cost &amp; Risk Inputs'!F34)</f>
        <v/>
      </c>
      <c r="F33" s="18" t="str">
        <f t="shared" si="0"/>
        <v/>
      </c>
      <c r="M33" s="26" t="str">
        <f>IF($C33="","",'Constant Ecs GBP'!M33*INDEX('Global Constants'!F$24:F$33,$F33))</f>
        <v/>
      </c>
      <c r="N33" s="26" t="str">
        <f>IF($C33="","",'Constant Ecs GBP'!N33*INDEX('Global Constants'!G$24:G$33,$F33))</f>
        <v/>
      </c>
      <c r="O33" s="26" t="str">
        <f>IF($C33="","",'Constant Ecs GBP'!O33*INDEX('Global Constants'!H$24:H$33,$F33))</f>
        <v/>
      </c>
      <c r="P33" s="26" t="str">
        <f>IF($C33="","",'Constant Ecs GBP'!P33*INDEX('Global Constants'!I$24:I$33,$F33))</f>
        <v/>
      </c>
      <c r="Q33" s="26" t="str">
        <f>IF($C33="","",'Constant Ecs GBP'!Q33*INDEX('Global Constants'!J$24:J$33,$F33))</f>
        <v/>
      </c>
      <c r="R33" s="26" t="str">
        <f>IF($C33="","",'Constant Ecs GBP'!R33*INDEX('Global Constants'!K$24:K$33,$F33))</f>
        <v/>
      </c>
      <c r="S33" s="26" t="str">
        <f>IF($C33="","",'Constant Ecs GBP'!S33*INDEX('Global Constants'!L$24:L$33,$F33))</f>
        <v/>
      </c>
      <c r="T33" s="26" t="str">
        <f>IF($C33="","",'Constant Ecs GBP'!T33*INDEX('Global Constants'!M$24:M$33,$F33))</f>
        <v/>
      </c>
      <c r="U33" s="26" t="str">
        <f>IF($C33="","",'Constant Ecs GBP'!U33*INDEX('Global Constants'!N$24:N$33,$F33))</f>
        <v/>
      </c>
      <c r="V33" s="26" t="str">
        <f>IF($C33="","",'Constant Ecs GBP'!V33*INDEX('Global Constants'!O$24:O$33,$F33))</f>
        <v/>
      </c>
      <c r="W33" s="26" t="str">
        <f>IF($C33="","",'Constant Ecs GBP'!W33*INDEX('Global Constants'!P$24:P$33,$F33))</f>
        <v/>
      </c>
      <c r="X33" s="26" t="str">
        <f>IF($C33="","",'Constant Ecs GBP'!X33*INDEX('Global Constants'!Q$24:Q$33,$F33))</f>
        <v/>
      </c>
      <c r="Y33" s="26" t="str">
        <f>IF($C33="","",'Constant Ecs GBP'!Y33*INDEX('Global Constants'!R$24:R$33,$F33))</f>
        <v/>
      </c>
      <c r="Z33" s="26" t="str">
        <f>IF($C33="","",'Constant Ecs GBP'!Z33*INDEX('Global Constants'!S$24:S$33,$F33))</f>
        <v/>
      </c>
      <c r="AA33" s="26" t="str">
        <f>IF($C33="","",'Constant Ecs GBP'!AA33*INDEX('Global Constants'!T$24:T$33,$F33))</f>
        <v/>
      </c>
      <c r="AB33" s="26" t="str">
        <f>IF($C33="","",'Constant Ecs GBP'!AB33*INDEX('Global Constants'!U$24:U$33,$F33))</f>
        <v/>
      </c>
      <c r="AC33" s="26" t="str">
        <f>IF($C33="","",'Constant Ecs GBP'!AC33*INDEX('Global Constants'!V$24:V$33,$F33))</f>
        <v/>
      </c>
      <c r="AD33" s="26" t="str">
        <f>IF($C33="","",'Constant Ecs GBP'!AD33*INDEX('Global Constants'!W$24:W$33,$F33))</f>
        <v/>
      </c>
      <c r="AE33" s="26" t="str">
        <f>IF($C33="","",'Constant Ecs GBP'!AE33*INDEX('Global Constants'!X$24:X$33,$F33))</f>
        <v/>
      </c>
      <c r="AF33" s="26" t="str">
        <f>IF($C33="","",'Constant Ecs GBP'!AF33*INDEX('Global Constants'!Y$24:Y$33,$F33))</f>
        <v/>
      </c>
      <c r="AG33" s="26" t="str">
        <f>IF($C33="","",'Constant Ecs GBP'!AG33*INDEX('Global Constants'!Z$24:Z$33,$F33))</f>
        <v/>
      </c>
      <c r="AH33" s="26" t="str">
        <f>IF($C33="","",'Constant Ecs GBP'!AH33*INDEX('Global Constants'!AA$24:AA$33,$F33))</f>
        <v/>
      </c>
      <c r="AI33" s="26" t="str">
        <f>IF($C33="","",'Constant Ecs GBP'!AI33*INDEX('Global Constants'!AB$24:AB$33,$F33))</f>
        <v/>
      </c>
      <c r="AJ33" s="26" t="str">
        <f>IF($C33="","",'Constant Ecs GBP'!AJ33*INDEX('Global Constants'!AC$24:AC$33,$F33))</f>
        <v/>
      </c>
      <c r="AK33" s="26" t="str">
        <f>IF($C33="","",'Constant Ecs GBP'!AK33*INDEX('Global Constants'!AD$24:AD$33,$F33))</f>
        <v/>
      </c>
      <c r="AL33" s="26" t="str">
        <f>IF($C33="","",'Constant Ecs GBP'!AL33*INDEX('Global Constants'!AE$24:AE$33,$F33))</f>
        <v/>
      </c>
      <c r="AM33" s="26" t="str">
        <f>IF($C33="","",'Constant Ecs GBP'!AM33*INDEX('Global Constants'!AF$24:AF$33,$F33))</f>
        <v/>
      </c>
      <c r="AN33" s="26" t="str">
        <f>IF($C33="","",'Constant Ecs GBP'!AN33*INDEX('Global Constants'!AG$24:AG$33,$F33))</f>
        <v/>
      </c>
      <c r="AO33" s="26" t="str">
        <f>IF($C33="","",'Constant Ecs GBP'!AO33*INDEX('Global Constants'!AH$24:AH$33,$F33))</f>
        <v/>
      </c>
      <c r="AP33" s="26" t="str">
        <f>IF($C33="","",'Constant Ecs GBP'!AP33*INDEX('Global Constants'!AI$24:AI$33,$F33))</f>
        <v/>
      </c>
      <c r="AQ33" s="26" t="str">
        <f>IF($C33="","",'Constant Ecs GBP'!AQ33*INDEX('Global Constants'!AJ$24:AJ$33,$F33))</f>
        <v/>
      </c>
      <c r="AR33" s="26" t="str">
        <f>IF($C33="","",'Constant Ecs GBP'!AR33*INDEX('Global Constants'!AK$24:AK$33,$F33))</f>
        <v/>
      </c>
      <c r="AS33" s="26" t="str">
        <f>IF($C33="","",'Constant Ecs GBP'!AS33*INDEX('Global Constants'!AL$24:AL$33,$F33))</f>
        <v/>
      </c>
      <c r="AT33" s="26" t="str">
        <f>IF($C33="","",'Constant Ecs GBP'!AT33*INDEX('Global Constants'!AM$24:AM$33,$F33))</f>
        <v/>
      </c>
      <c r="AU33" s="26" t="str">
        <f>IF($C33="","",'Constant Ecs GBP'!AU33*INDEX('Global Constants'!AN$24:AN$33,$F33))</f>
        <v/>
      </c>
      <c r="AV33" s="26" t="str">
        <f>IF($C33="","",'Constant Ecs GBP'!AV33*INDEX('Global Constants'!AO$24:AO$33,$F33))</f>
        <v/>
      </c>
      <c r="AW33" s="26" t="str">
        <f>IF($C33="","",'Constant Ecs GBP'!AW33*INDEX('Global Constants'!AP$24:AP$33,$F33))</f>
        <v/>
      </c>
      <c r="AX33" s="26" t="str">
        <f>IF($C33="","",'Constant Ecs GBP'!AX33*INDEX('Global Constants'!AQ$24:AQ$33,$F33))</f>
        <v/>
      </c>
      <c r="AY33" s="26" t="str">
        <f>IF($C33="","",'Constant Ecs GBP'!AY33*INDEX('Global Constants'!AR$24:AR$33,$F33))</f>
        <v/>
      </c>
      <c r="AZ33" s="26" t="str">
        <f>IF($C33="","",'Constant Ecs GBP'!AZ33*INDEX('Global Constants'!AS$24:AS$33,$F33))</f>
        <v/>
      </c>
      <c r="BA33" s="26" t="str">
        <f>IF($C33="","",'Constant Ecs GBP'!BA33*INDEX('Global Constants'!AT$24:AT$33,$F33))</f>
        <v/>
      </c>
      <c r="BB33" s="26" t="str">
        <f>IF($C33="","",'Constant Ecs GBP'!BB33*INDEX('Global Constants'!AU$24:AU$33,$F33))</f>
        <v/>
      </c>
      <c r="BC33" s="26" t="str">
        <f>IF($C33="","",'Constant Ecs GBP'!BC33*INDEX('Global Constants'!AV$24:AV$33,$F33))</f>
        <v/>
      </c>
      <c r="BD33" s="26" t="str">
        <f>IF($C33="","",'Constant Ecs GBP'!BD33*INDEX('Global Constants'!AW$24:AW$33,$F33))</f>
        <v/>
      </c>
      <c r="BE33" s="26" t="str">
        <f>IF($C33="","",'Constant Ecs GBP'!BE33*INDEX('Global Constants'!AX$24:AX$33,$F33))</f>
        <v/>
      </c>
      <c r="BF33" s="26" t="str">
        <f>IF($C33="","",'Constant Ecs GBP'!BF33*INDEX('Global Constants'!AY$24:AY$33,$F33))</f>
        <v/>
      </c>
      <c r="BG33" s="26" t="str">
        <f>IF($C33="","",'Constant Ecs GBP'!BG33*INDEX('Global Constants'!AZ$24:AZ$33,$F33))</f>
        <v/>
      </c>
      <c r="BH33" s="26" t="str">
        <f>IF($C33="","",'Constant Ecs GBP'!BH33*INDEX('Global Constants'!BA$24:BA$33,$F33))</f>
        <v/>
      </c>
      <c r="BI33" s="26" t="str">
        <f>IF($C33="","",'Constant Ecs GBP'!BI33*INDEX('Global Constants'!BB$24:BB$33,$F33))</f>
        <v/>
      </c>
      <c r="BJ33" s="26" t="str">
        <f>IF($C33="","",'Constant Ecs GBP'!BJ33*INDEX('Global Constants'!BC$24:BC$33,$F33))</f>
        <v/>
      </c>
      <c r="BK33" s="26" t="str">
        <f>IF($C33="","",'Constant Ecs GBP'!BK33*INDEX('Global Constants'!BD$24:BD$33,$F33))</f>
        <v/>
      </c>
      <c r="BL33" s="26" t="str">
        <f>IF($C33="","",'Constant Ecs GBP'!BL33*INDEX('Global Constants'!BE$24:BE$33,$F33))</f>
        <v/>
      </c>
      <c r="BM33" s="26" t="str">
        <f>IF($C33="","",'Constant Ecs GBP'!BM33*INDEX('Global Constants'!BF$24:BF$33,$F33))</f>
        <v/>
      </c>
      <c r="BN33" s="26" t="str">
        <f>IF($C33="","",'Constant Ecs GBP'!BN33*INDEX('Global Constants'!BG$24:BG$33,$F33))</f>
        <v/>
      </c>
      <c r="BO33" s="26" t="str">
        <f>IF($C33="","",'Constant Ecs GBP'!BO33*INDEX('Global Constants'!BH$24:BH$33,$F33))</f>
        <v/>
      </c>
      <c r="BP33" s="26" t="str">
        <f>IF($C33="","",'Constant Ecs GBP'!BP33*INDEX('Global Constants'!BI$24:BI$33,$F33))</f>
        <v/>
      </c>
      <c r="BQ33" s="26" t="str">
        <f>IF($C33="","",'Constant Ecs GBP'!BQ33*INDEX('Global Constants'!BJ$24:BJ$33,$F33))</f>
        <v/>
      </c>
      <c r="BR33" s="26" t="str">
        <f>IF($C33="","",'Constant Ecs GBP'!BR33*INDEX('Global Constants'!BK$24:BK$33,$F33))</f>
        <v/>
      </c>
      <c r="BS33" s="26" t="str">
        <f>IF($C33="","",'Constant Ecs GBP'!BS33*INDEX('Global Constants'!BL$24:BL$33,$F33))</f>
        <v/>
      </c>
      <c r="BT33" s="26" t="str">
        <f>IF($C33="","",'Constant Ecs GBP'!BT33*INDEX('Global Constants'!BM$24:BM$33,$F33))</f>
        <v/>
      </c>
      <c r="BU33" s="26" t="str">
        <f>IF($C33="","",'Constant Ecs GBP'!BU33*INDEX('Global Constants'!BN$24:BN$33,$F33))</f>
        <v/>
      </c>
      <c r="BV33" s="26" t="str">
        <f>IF($C33="","",'Constant Ecs GBP'!BV33*INDEX('Global Constants'!BO$24:BO$33,$F33))</f>
        <v/>
      </c>
      <c r="BW33" s="26" t="str">
        <f>IF($C33="","",'Constant Ecs GBP'!BW33*INDEX('Global Constants'!BP$24:BP$33,$F33))</f>
        <v/>
      </c>
      <c r="BX33" s="26" t="str">
        <f>IF($C33="","",'Constant Ecs GBP'!BX33*INDEX('Global Constants'!BQ$24:BQ$33,$F33))</f>
        <v/>
      </c>
      <c r="BY33" s="26" t="str">
        <f>IF($C33="","",'Constant Ecs GBP'!BY33*INDEX('Global Constants'!BR$24:BR$33,$F33))</f>
        <v/>
      </c>
      <c r="BZ33" s="26" t="str">
        <f>IF($C33="","",'Constant Ecs GBP'!BZ33*INDEX('Global Constants'!BS$24:BS$33,$F33))</f>
        <v/>
      </c>
      <c r="CA33" s="26" t="str">
        <f>IF($C33="","",'Constant Ecs GBP'!CA33*INDEX('Global Constants'!BT$24:BT$33,$F33))</f>
        <v/>
      </c>
      <c r="CB33" s="26" t="str">
        <f>IF($C33="","",'Constant Ecs GBP'!CB33*INDEX('Global Constants'!BU$24:BU$33,$F33))</f>
        <v/>
      </c>
      <c r="CC33" s="26" t="str">
        <f>IF($C33="","",'Constant Ecs GBP'!CC33*INDEX('Global Constants'!BV$24:BV$33,$F33))</f>
        <v/>
      </c>
      <c r="CD33" s="26" t="str">
        <f>IF($C33="","",'Constant Ecs GBP'!CD33*INDEX('Global Constants'!BW$24:BW$33,$F33))</f>
        <v/>
      </c>
      <c r="CE33" s="26" t="str">
        <f>IF($C33="","",'Constant Ecs GBP'!CE33*INDEX('Global Constants'!BX$24:BX$33,$F33))</f>
        <v/>
      </c>
      <c r="CF33" s="26" t="str">
        <f>IF($C33="","",'Constant Ecs GBP'!CF33*INDEX('Global Constants'!BY$24:BY$33,$F33))</f>
        <v/>
      </c>
      <c r="CG33" s="26" t="str">
        <f>IF($C33="","",'Constant Ecs GBP'!CG33*INDEX('Global Constants'!BZ$24:BZ$33,$F33))</f>
        <v/>
      </c>
      <c r="CH33" s="26" t="str">
        <f>IF($C33="","",'Constant Ecs GBP'!CH33*INDEX('Global Constants'!CA$24:CA$33,$F33))</f>
        <v/>
      </c>
      <c r="CI33" s="26" t="str">
        <f>IF($C33="","",'Constant Ecs GBP'!CI33*INDEX('Global Constants'!CB$24:CB$33,$F33))</f>
        <v/>
      </c>
      <c r="CJ33" s="26" t="str">
        <f>IF($C33="","",'Constant Ecs GBP'!CJ33*INDEX('Global Constants'!CC$24:CC$33,$F33))</f>
        <v/>
      </c>
      <c r="CK33" s="26" t="str">
        <f>IF($C33="","",'Constant Ecs GBP'!CK33*INDEX('Global Constants'!CD$24:CD$33,$F33))</f>
        <v/>
      </c>
      <c r="CL33" s="26" t="str">
        <f>IF($C33="","",'Constant Ecs GBP'!CL33*INDEX('Global Constants'!CE$24:CE$33,$F33))</f>
        <v/>
      </c>
      <c r="CM33" s="26" t="str">
        <f>IF($C33="","",'Constant Ecs GBP'!CM33*INDEX('Global Constants'!CF$24:CF$33,$F33))</f>
        <v/>
      </c>
      <c r="CN33" s="26" t="str">
        <f>IF($C33="","",'Constant Ecs GBP'!CN33*INDEX('Global Constants'!CG$24:CG$33,$F33))</f>
        <v/>
      </c>
      <c r="CO33" s="26" t="str">
        <f>IF($C33="","",'Constant Ecs GBP'!CO33*INDEX('Global Constants'!CH$24:CH$33,$F33))</f>
        <v/>
      </c>
      <c r="CP33" s="26" t="str">
        <f>IF($C33="","",'Constant Ecs GBP'!CP33*INDEX('Global Constants'!CI$24:CI$33,$F33))</f>
        <v/>
      </c>
      <c r="CQ33" s="26" t="str">
        <f>IF($C33="","",'Constant Ecs GBP'!CQ33*INDEX('Global Constants'!CJ$24:CJ$33,$F33))</f>
        <v/>
      </c>
      <c r="CR33" s="26" t="str">
        <f>IF($C33="","",'Constant Ecs GBP'!CR33*INDEX('Global Constants'!CK$24:CK$33,$F33))</f>
        <v/>
      </c>
      <c r="CS33" s="26" t="str">
        <f>IF($C33="","",'Constant Ecs GBP'!CS33*INDEX('Global Constants'!CL$24:CL$33,$F33))</f>
        <v/>
      </c>
      <c r="CT33" s="26" t="str">
        <f>IF($C33="","",'Constant Ecs GBP'!CT33*INDEX('Global Constants'!CM$24:CM$33,$F33))</f>
        <v/>
      </c>
      <c r="CU33" s="26" t="str">
        <f>IF($C33="","",'Constant Ecs GBP'!CU33*INDEX('Global Constants'!CN$24:CN$33,$F33))</f>
        <v/>
      </c>
      <c r="CV33" s="26" t="str">
        <f>IF($C33="","",'Constant Ecs GBP'!CV33*INDEX('Global Constants'!CO$24:CO$33,$F33))</f>
        <v/>
      </c>
      <c r="CW33" s="26" t="str">
        <f>IF($C33="","",'Constant Ecs GBP'!CW33*INDEX('Global Constants'!CP$24:CP$33,$F33))</f>
        <v/>
      </c>
      <c r="CX33" s="26" t="str">
        <f>IF($C33="","",'Constant Ecs GBP'!CX33*INDEX('Global Constants'!CQ$24:CQ$33,$F33))</f>
        <v/>
      </c>
      <c r="CZ33" s="26">
        <f t="shared" ca="1" si="1"/>
        <v>0</v>
      </c>
      <c r="DA33" s="26">
        <f t="shared" si="2"/>
        <v>0</v>
      </c>
    </row>
    <row r="34" spans="3:105" x14ac:dyDescent="0.3">
      <c r="C34" s="4" t="str">
        <f>IF('Cost &amp; Risk Inputs'!C35="","",'Cost &amp; Risk Inputs'!C35)</f>
        <v/>
      </c>
      <c r="D34" s="4" t="str">
        <f>IF(C34="","",'Cost &amp; Risk Inputs'!F35)</f>
        <v/>
      </c>
      <c r="F34" s="18" t="str">
        <f t="shared" si="0"/>
        <v/>
      </c>
      <c r="M34" s="26" t="str">
        <f>IF($C34="","",'Constant Ecs GBP'!M34*INDEX('Global Constants'!F$24:F$33,$F34))</f>
        <v/>
      </c>
      <c r="N34" s="26" t="str">
        <f>IF($C34="","",'Constant Ecs GBP'!N34*INDEX('Global Constants'!G$24:G$33,$F34))</f>
        <v/>
      </c>
      <c r="O34" s="26" t="str">
        <f>IF($C34="","",'Constant Ecs GBP'!O34*INDEX('Global Constants'!H$24:H$33,$F34))</f>
        <v/>
      </c>
      <c r="P34" s="26" t="str">
        <f>IF($C34="","",'Constant Ecs GBP'!P34*INDEX('Global Constants'!I$24:I$33,$F34))</f>
        <v/>
      </c>
      <c r="Q34" s="26" t="str">
        <f>IF($C34="","",'Constant Ecs GBP'!Q34*INDEX('Global Constants'!J$24:J$33,$F34))</f>
        <v/>
      </c>
      <c r="R34" s="26" t="str">
        <f>IF($C34="","",'Constant Ecs GBP'!R34*INDEX('Global Constants'!K$24:K$33,$F34))</f>
        <v/>
      </c>
      <c r="S34" s="26" t="str">
        <f>IF($C34="","",'Constant Ecs GBP'!S34*INDEX('Global Constants'!L$24:L$33,$F34))</f>
        <v/>
      </c>
      <c r="T34" s="26" t="str">
        <f>IF($C34="","",'Constant Ecs GBP'!T34*INDEX('Global Constants'!M$24:M$33,$F34))</f>
        <v/>
      </c>
      <c r="U34" s="26" t="str">
        <f>IF($C34="","",'Constant Ecs GBP'!U34*INDEX('Global Constants'!N$24:N$33,$F34))</f>
        <v/>
      </c>
      <c r="V34" s="26" t="str">
        <f>IF($C34="","",'Constant Ecs GBP'!V34*INDEX('Global Constants'!O$24:O$33,$F34))</f>
        <v/>
      </c>
      <c r="W34" s="26" t="str">
        <f>IF($C34="","",'Constant Ecs GBP'!W34*INDEX('Global Constants'!P$24:P$33,$F34))</f>
        <v/>
      </c>
      <c r="X34" s="26" t="str">
        <f>IF($C34="","",'Constant Ecs GBP'!X34*INDEX('Global Constants'!Q$24:Q$33,$F34))</f>
        <v/>
      </c>
      <c r="Y34" s="26" t="str">
        <f>IF($C34="","",'Constant Ecs GBP'!Y34*INDEX('Global Constants'!R$24:R$33,$F34))</f>
        <v/>
      </c>
      <c r="Z34" s="26" t="str">
        <f>IF($C34="","",'Constant Ecs GBP'!Z34*INDEX('Global Constants'!S$24:S$33,$F34))</f>
        <v/>
      </c>
      <c r="AA34" s="26" t="str">
        <f>IF($C34="","",'Constant Ecs GBP'!AA34*INDEX('Global Constants'!T$24:T$33,$F34))</f>
        <v/>
      </c>
      <c r="AB34" s="26" t="str">
        <f>IF($C34="","",'Constant Ecs GBP'!AB34*INDEX('Global Constants'!U$24:U$33,$F34))</f>
        <v/>
      </c>
      <c r="AC34" s="26" t="str">
        <f>IF($C34="","",'Constant Ecs GBP'!AC34*INDEX('Global Constants'!V$24:V$33,$F34))</f>
        <v/>
      </c>
      <c r="AD34" s="26" t="str">
        <f>IF($C34="","",'Constant Ecs GBP'!AD34*INDEX('Global Constants'!W$24:W$33,$F34))</f>
        <v/>
      </c>
      <c r="AE34" s="26" t="str">
        <f>IF($C34="","",'Constant Ecs GBP'!AE34*INDEX('Global Constants'!X$24:X$33,$F34))</f>
        <v/>
      </c>
      <c r="AF34" s="26" t="str">
        <f>IF($C34="","",'Constant Ecs GBP'!AF34*INDEX('Global Constants'!Y$24:Y$33,$F34))</f>
        <v/>
      </c>
      <c r="AG34" s="26" t="str">
        <f>IF($C34="","",'Constant Ecs GBP'!AG34*INDEX('Global Constants'!Z$24:Z$33,$F34))</f>
        <v/>
      </c>
      <c r="AH34" s="26" t="str">
        <f>IF($C34="","",'Constant Ecs GBP'!AH34*INDEX('Global Constants'!AA$24:AA$33,$F34))</f>
        <v/>
      </c>
      <c r="AI34" s="26" t="str">
        <f>IF($C34="","",'Constant Ecs GBP'!AI34*INDEX('Global Constants'!AB$24:AB$33,$F34))</f>
        <v/>
      </c>
      <c r="AJ34" s="26" t="str">
        <f>IF($C34="","",'Constant Ecs GBP'!AJ34*INDEX('Global Constants'!AC$24:AC$33,$F34))</f>
        <v/>
      </c>
      <c r="AK34" s="26" t="str">
        <f>IF($C34="","",'Constant Ecs GBP'!AK34*INDEX('Global Constants'!AD$24:AD$33,$F34))</f>
        <v/>
      </c>
      <c r="AL34" s="26" t="str">
        <f>IF($C34="","",'Constant Ecs GBP'!AL34*INDEX('Global Constants'!AE$24:AE$33,$F34))</f>
        <v/>
      </c>
      <c r="AM34" s="26" t="str">
        <f>IF($C34="","",'Constant Ecs GBP'!AM34*INDEX('Global Constants'!AF$24:AF$33,$F34))</f>
        <v/>
      </c>
      <c r="AN34" s="26" t="str">
        <f>IF($C34="","",'Constant Ecs GBP'!AN34*INDEX('Global Constants'!AG$24:AG$33,$F34))</f>
        <v/>
      </c>
      <c r="AO34" s="26" t="str">
        <f>IF($C34="","",'Constant Ecs GBP'!AO34*INDEX('Global Constants'!AH$24:AH$33,$F34))</f>
        <v/>
      </c>
      <c r="AP34" s="26" t="str">
        <f>IF($C34="","",'Constant Ecs GBP'!AP34*INDEX('Global Constants'!AI$24:AI$33,$F34))</f>
        <v/>
      </c>
      <c r="AQ34" s="26" t="str">
        <f>IF($C34="","",'Constant Ecs GBP'!AQ34*INDEX('Global Constants'!AJ$24:AJ$33,$F34))</f>
        <v/>
      </c>
      <c r="AR34" s="26" t="str">
        <f>IF($C34="","",'Constant Ecs GBP'!AR34*INDEX('Global Constants'!AK$24:AK$33,$F34))</f>
        <v/>
      </c>
      <c r="AS34" s="26" t="str">
        <f>IF($C34="","",'Constant Ecs GBP'!AS34*INDEX('Global Constants'!AL$24:AL$33,$F34))</f>
        <v/>
      </c>
      <c r="AT34" s="26" t="str">
        <f>IF($C34="","",'Constant Ecs GBP'!AT34*INDEX('Global Constants'!AM$24:AM$33,$F34))</f>
        <v/>
      </c>
      <c r="AU34" s="26" t="str">
        <f>IF($C34="","",'Constant Ecs GBP'!AU34*INDEX('Global Constants'!AN$24:AN$33,$F34))</f>
        <v/>
      </c>
      <c r="AV34" s="26" t="str">
        <f>IF($C34="","",'Constant Ecs GBP'!AV34*INDEX('Global Constants'!AO$24:AO$33,$F34))</f>
        <v/>
      </c>
      <c r="AW34" s="26" t="str">
        <f>IF($C34="","",'Constant Ecs GBP'!AW34*INDEX('Global Constants'!AP$24:AP$33,$F34))</f>
        <v/>
      </c>
      <c r="AX34" s="26" t="str">
        <f>IF($C34="","",'Constant Ecs GBP'!AX34*INDEX('Global Constants'!AQ$24:AQ$33,$F34))</f>
        <v/>
      </c>
      <c r="AY34" s="26" t="str">
        <f>IF($C34="","",'Constant Ecs GBP'!AY34*INDEX('Global Constants'!AR$24:AR$33,$F34))</f>
        <v/>
      </c>
      <c r="AZ34" s="26" t="str">
        <f>IF($C34="","",'Constant Ecs GBP'!AZ34*INDEX('Global Constants'!AS$24:AS$33,$F34))</f>
        <v/>
      </c>
      <c r="BA34" s="26" t="str">
        <f>IF($C34="","",'Constant Ecs GBP'!BA34*INDEX('Global Constants'!AT$24:AT$33,$F34))</f>
        <v/>
      </c>
      <c r="BB34" s="26" t="str">
        <f>IF($C34="","",'Constant Ecs GBP'!BB34*INDEX('Global Constants'!AU$24:AU$33,$F34))</f>
        <v/>
      </c>
      <c r="BC34" s="26" t="str">
        <f>IF($C34="","",'Constant Ecs GBP'!BC34*INDEX('Global Constants'!AV$24:AV$33,$F34))</f>
        <v/>
      </c>
      <c r="BD34" s="26" t="str">
        <f>IF($C34="","",'Constant Ecs GBP'!BD34*INDEX('Global Constants'!AW$24:AW$33,$F34))</f>
        <v/>
      </c>
      <c r="BE34" s="26" t="str">
        <f>IF($C34="","",'Constant Ecs GBP'!BE34*INDEX('Global Constants'!AX$24:AX$33,$F34))</f>
        <v/>
      </c>
      <c r="BF34" s="26" t="str">
        <f>IF($C34="","",'Constant Ecs GBP'!BF34*INDEX('Global Constants'!AY$24:AY$33,$F34))</f>
        <v/>
      </c>
      <c r="BG34" s="26" t="str">
        <f>IF($C34="","",'Constant Ecs GBP'!BG34*INDEX('Global Constants'!AZ$24:AZ$33,$F34))</f>
        <v/>
      </c>
      <c r="BH34" s="26" t="str">
        <f>IF($C34="","",'Constant Ecs GBP'!BH34*INDEX('Global Constants'!BA$24:BA$33,$F34))</f>
        <v/>
      </c>
      <c r="BI34" s="26" t="str">
        <f>IF($C34="","",'Constant Ecs GBP'!BI34*INDEX('Global Constants'!BB$24:BB$33,$F34))</f>
        <v/>
      </c>
      <c r="BJ34" s="26" t="str">
        <f>IF($C34="","",'Constant Ecs GBP'!BJ34*INDEX('Global Constants'!BC$24:BC$33,$F34))</f>
        <v/>
      </c>
      <c r="BK34" s="26" t="str">
        <f>IF($C34="","",'Constant Ecs GBP'!BK34*INDEX('Global Constants'!BD$24:BD$33,$F34))</f>
        <v/>
      </c>
      <c r="BL34" s="26" t="str">
        <f>IF($C34="","",'Constant Ecs GBP'!BL34*INDEX('Global Constants'!BE$24:BE$33,$F34))</f>
        <v/>
      </c>
      <c r="BM34" s="26" t="str">
        <f>IF($C34="","",'Constant Ecs GBP'!BM34*INDEX('Global Constants'!BF$24:BF$33,$F34))</f>
        <v/>
      </c>
      <c r="BN34" s="26" t="str">
        <f>IF($C34="","",'Constant Ecs GBP'!BN34*INDEX('Global Constants'!BG$24:BG$33,$F34))</f>
        <v/>
      </c>
      <c r="BO34" s="26" t="str">
        <f>IF($C34="","",'Constant Ecs GBP'!BO34*INDEX('Global Constants'!BH$24:BH$33,$F34))</f>
        <v/>
      </c>
      <c r="BP34" s="26" t="str">
        <f>IF($C34="","",'Constant Ecs GBP'!BP34*INDEX('Global Constants'!BI$24:BI$33,$F34))</f>
        <v/>
      </c>
      <c r="BQ34" s="26" t="str">
        <f>IF($C34="","",'Constant Ecs GBP'!BQ34*INDEX('Global Constants'!BJ$24:BJ$33,$F34))</f>
        <v/>
      </c>
      <c r="BR34" s="26" t="str">
        <f>IF($C34="","",'Constant Ecs GBP'!BR34*INDEX('Global Constants'!BK$24:BK$33,$F34))</f>
        <v/>
      </c>
      <c r="BS34" s="26" t="str">
        <f>IF($C34="","",'Constant Ecs GBP'!BS34*INDEX('Global Constants'!BL$24:BL$33,$F34))</f>
        <v/>
      </c>
      <c r="BT34" s="26" t="str">
        <f>IF($C34="","",'Constant Ecs GBP'!BT34*INDEX('Global Constants'!BM$24:BM$33,$F34))</f>
        <v/>
      </c>
      <c r="BU34" s="26" t="str">
        <f>IF($C34="","",'Constant Ecs GBP'!BU34*INDEX('Global Constants'!BN$24:BN$33,$F34))</f>
        <v/>
      </c>
      <c r="BV34" s="26" t="str">
        <f>IF($C34="","",'Constant Ecs GBP'!BV34*INDEX('Global Constants'!BO$24:BO$33,$F34))</f>
        <v/>
      </c>
      <c r="BW34" s="26" t="str">
        <f>IF($C34="","",'Constant Ecs GBP'!BW34*INDEX('Global Constants'!BP$24:BP$33,$F34))</f>
        <v/>
      </c>
      <c r="BX34" s="26" t="str">
        <f>IF($C34="","",'Constant Ecs GBP'!BX34*INDEX('Global Constants'!BQ$24:BQ$33,$F34))</f>
        <v/>
      </c>
      <c r="BY34" s="26" t="str">
        <f>IF($C34="","",'Constant Ecs GBP'!BY34*INDEX('Global Constants'!BR$24:BR$33,$F34))</f>
        <v/>
      </c>
      <c r="BZ34" s="26" t="str">
        <f>IF($C34="","",'Constant Ecs GBP'!BZ34*INDEX('Global Constants'!BS$24:BS$33,$F34))</f>
        <v/>
      </c>
      <c r="CA34" s="26" t="str">
        <f>IF($C34="","",'Constant Ecs GBP'!CA34*INDEX('Global Constants'!BT$24:BT$33,$F34))</f>
        <v/>
      </c>
      <c r="CB34" s="26" t="str">
        <f>IF($C34="","",'Constant Ecs GBP'!CB34*INDEX('Global Constants'!BU$24:BU$33,$F34))</f>
        <v/>
      </c>
      <c r="CC34" s="26" t="str">
        <f>IF($C34="","",'Constant Ecs GBP'!CC34*INDEX('Global Constants'!BV$24:BV$33,$F34))</f>
        <v/>
      </c>
      <c r="CD34" s="26" t="str">
        <f>IF($C34="","",'Constant Ecs GBP'!CD34*INDEX('Global Constants'!BW$24:BW$33,$F34))</f>
        <v/>
      </c>
      <c r="CE34" s="26" t="str">
        <f>IF($C34="","",'Constant Ecs GBP'!CE34*INDEX('Global Constants'!BX$24:BX$33,$F34))</f>
        <v/>
      </c>
      <c r="CF34" s="26" t="str">
        <f>IF($C34="","",'Constant Ecs GBP'!CF34*INDEX('Global Constants'!BY$24:BY$33,$F34))</f>
        <v/>
      </c>
      <c r="CG34" s="26" t="str">
        <f>IF($C34="","",'Constant Ecs GBP'!CG34*INDEX('Global Constants'!BZ$24:BZ$33,$F34))</f>
        <v/>
      </c>
      <c r="CH34" s="26" t="str">
        <f>IF($C34="","",'Constant Ecs GBP'!CH34*INDEX('Global Constants'!CA$24:CA$33,$F34))</f>
        <v/>
      </c>
      <c r="CI34" s="26" t="str">
        <f>IF($C34="","",'Constant Ecs GBP'!CI34*INDEX('Global Constants'!CB$24:CB$33,$F34))</f>
        <v/>
      </c>
      <c r="CJ34" s="26" t="str">
        <f>IF($C34="","",'Constant Ecs GBP'!CJ34*INDEX('Global Constants'!CC$24:CC$33,$F34))</f>
        <v/>
      </c>
      <c r="CK34" s="26" t="str">
        <f>IF($C34="","",'Constant Ecs GBP'!CK34*INDEX('Global Constants'!CD$24:CD$33,$F34))</f>
        <v/>
      </c>
      <c r="CL34" s="26" t="str">
        <f>IF($C34="","",'Constant Ecs GBP'!CL34*INDEX('Global Constants'!CE$24:CE$33,$F34))</f>
        <v/>
      </c>
      <c r="CM34" s="26" t="str">
        <f>IF($C34="","",'Constant Ecs GBP'!CM34*INDEX('Global Constants'!CF$24:CF$33,$F34))</f>
        <v/>
      </c>
      <c r="CN34" s="26" t="str">
        <f>IF($C34="","",'Constant Ecs GBP'!CN34*INDEX('Global Constants'!CG$24:CG$33,$F34))</f>
        <v/>
      </c>
      <c r="CO34" s="26" t="str">
        <f>IF($C34="","",'Constant Ecs GBP'!CO34*INDEX('Global Constants'!CH$24:CH$33,$F34))</f>
        <v/>
      </c>
      <c r="CP34" s="26" t="str">
        <f>IF($C34="","",'Constant Ecs GBP'!CP34*INDEX('Global Constants'!CI$24:CI$33,$F34))</f>
        <v/>
      </c>
      <c r="CQ34" s="26" t="str">
        <f>IF($C34="","",'Constant Ecs GBP'!CQ34*INDEX('Global Constants'!CJ$24:CJ$33,$F34))</f>
        <v/>
      </c>
      <c r="CR34" s="26" t="str">
        <f>IF($C34="","",'Constant Ecs GBP'!CR34*INDEX('Global Constants'!CK$24:CK$33,$F34))</f>
        <v/>
      </c>
      <c r="CS34" s="26" t="str">
        <f>IF($C34="","",'Constant Ecs GBP'!CS34*INDEX('Global Constants'!CL$24:CL$33,$F34))</f>
        <v/>
      </c>
      <c r="CT34" s="26" t="str">
        <f>IF($C34="","",'Constant Ecs GBP'!CT34*INDEX('Global Constants'!CM$24:CM$33,$F34))</f>
        <v/>
      </c>
      <c r="CU34" s="26" t="str">
        <f>IF($C34="","",'Constant Ecs GBP'!CU34*INDEX('Global Constants'!CN$24:CN$33,$F34))</f>
        <v/>
      </c>
      <c r="CV34" s="26" t="str">
        <f>IF($C34="","",'Constant Ecs GBP'!CV34*INDEX('Global Constants'!CO$24:CO$33,$F34))</f>
        <v/>
      </c>
      <c r="CW34" s="26" t="str">
        <f>IF($C34="","",'Constant Ecs GBP'!CW34*INDEX('Global Constants'!CP$24:CP$33,$F34))</f>
        <v/>
      </c>
      <c r="CX34" s="26" t="str">
        <f>IF($C34="","",'Constant Ecs GBP'!CX34*INDEX('Global Constants'!CQ$24:CQ$33,$F34))</f>
        <v/>
      </c>
      <c r="CZ34" s="26">
        <f t="shared" ca="1" si="1"/>
        <v>0</v>
      </c>
      <c r="DA34" s="26">
        <f t="shared" si="2"/>
        <v>0</v>
      </c>
    </row>
    <row r="35" spans="3:105" x14ac:dyDescent="0.3">
      <c r="C35" s="4" t="str">
        <f>IF('Cost &amp; Risk Inputs'!C36="","",'Cost &amp; Risk Inputs'!C36)</f>
        <v/>
      </c>
      <c r="D35" s="4" t="str">
        <f>IF(C35="","",'Cost &amp; Risk Inputs'!F36)</f>
        <v/>
      </c>
      <c r="F35" s="18" t="str">
        <f t="shared" si="0"/>
        <v/>
      </c>
      <c r="M35" s="26" t="str">
        <f>IF($C35="","",'Constant Ecs GBP'!M35*INDEX('Global Constants'!F$24:F$33,$F35))</f>
        <v/>
      </c>
      <c r="N35" s="26" t="str">
        <f>IF($C35="","",'Constant Ecs GBP'!N35*INDEX('Global Constants'!G$24:G$33,$F35))</f>
        <v/>
      </c>
      <c r="O35" s="26" t="str">
        <f>IF($C35="","",'Constant Ecs GBP'!O35*INDEX('Global Constants'!H$24:H$33,$F35))</f>
        <v/>
      </c>
      <c r="P35" s="26" t="str">
        <f>IF($C35="","",'Constant Ecs GBP'!P35*INDEX('Global Constants'!I$24:I$33,$F35))</f>
        <v/>
      </c>
      <c r="Q35" s="26" t="str">
        <f>IF($C35="","",'Constant Ecs GBP'!Q35*INDEX('Global Constants'!J$24:J$33,$F35))</f>
        <v/>
      </c>
      <c r="R35" s="26" t="str">
        <f>IF($C35="","",'Constant Ecs GBP'!R35*INDEX('Global Constants'!K$24:K$33,$F35))</f>
        <v/>
      </c>
      <c r="S35" s="26" t="str">
        <f>IF($C35="","",'Constant Ecs GBP'!S35*INDEX('Global Constants'!L$24:L$33,$F35))</f>
        <v/>
      </c>
      <c r="T35" s="26" t="str">
        <f>IF($C35="","",'Constant Ecs GBP'!T35*INDEX('Global Constants'!M$24:M$33,$F35))</f>
        <v/>
      </c>
      <c r="U35" s="26" t="str">
        <f>IF($C35="","",'Constant Ecs GBP'!U35*INDEX('Global Constants'!N$24:N$33,$F35))</f>
        <v/>
      </c>
      <c r="V35" s="26" t="str">
        <f>IF($C35="","",'Constant Ecs GBP'!V35*INDEX('Global Constants'!O$24:O$33,$F35))</f>
        <v/>
      </c>
      <c r="W35" s="26" t="str">
        <f>IF($C35="","",'Constant Ecs GBP'!W35*INDEX('Global Constants'!P$24:P$33,$F35))</f>
        <v/>
      </c>
      <c r="X35" s="26" t="str">
        <f>IF($C35="","",'Constant Ecs GBP'!X35*INDEX('Global Constants'!Q$24:Q$33,$F35))</f>
        <v/>
      </c>
      <c r="Y35" s="26" t="str">
        <f>IF($C35="","",'Constant Ecs GBP'!Y35*INDEX('Global Constants'!R$24:R$33,$F35))</f>
        <v/>
      </c>
      <c r="Z35" s="26" t="str">
        <f>IF($C35="","",'Constant Ecs GBP'!Z35*INDEX('Global Constants'!S$24:S$33,$F35))</f>
        <v/>
      </c>
      <c r="AA35" s="26" t="str">
        <f>IF($C35="","",'Constant Ecs GBP'!AA35*INDEX('Global Constants'!T$24:T$33,$F35))</f>
        <v/>
      </c>
      <c r="AB35" s="26" t="str">
        <f>IF($C35="","",'Constant Ecs GBP'!AB35*INDEX('Global Constants'!U$24:U$33,$F35))</f>
        <v/>
      </c>
      <c r="AC35" s="26" t="str">
        <f>IF($C35="","",'Constant Ecs GBP'!AC35*INDEX('Global Constants'!V$24:V$33,$F35))</f>
        <v/>
      </c>
      <c r="AD35" s="26" t="str">
        <f>IF($C35="","",'Constant Ecs GBP'!AD35*INDEX('Global Constants'!W$24:W$33,$F35))</f>
        <v/>
      </c>
      <c r="AE35" s="26" t="str">
        <f>IF($C35="","",'Constant Ecs GBP'!AE35*INDEX('Global Constants'!X$24:X$33,$F35))</f>
        <v/>
      </c>
      <c r="AF35" s="26" t="str">
        <f>IF($C35="","",'Constant Ecs GBP'!AF35*INDEX('Global Constants'!Y$24:Y$33,$F35))</f>
        <v/>
      </c>
      <c r="AG35" s="26" t="str">
        <f>IF($C35="","",'Constant Ecs GBP'!AG35*INDEX('Global Constants'!Z$24:Z$33,$F35))</f>
        <v/>
      </c>
      <c r="AH35" s="26" t="str">
        <f>IF($C35="","",'Constant Ecs GBP'!AH35*INDEX('Global Constants'!AA$24:AA$33,$F35))</f>
        <v/>
      </c>
      <c r="AI35" s="26" t="str">
        <f>IF($C35="","",'Constant Ecs GBP'!AI35*INDEX('Global Constants'!AB$24:AB$33,$F35))</f>
        <v/>
      </c>
      <c r="AJ35" s="26" t="str">
        <f>IF($C35="","",'Constant Ecs GBP'!AJ35*INDEX('Global Constants'!AC$24:AC$33,$F35))</f>
        <v/>
      </c>
      <c r="AK35" s="26" t="str">
        <f>IF($C35="","",'Constant Ecs GBP'!AK35*INDEX('Global Constants'!AD$24:AD$33,$F35))</f>
        <v/>
      </c>
      <c r="AL35" s="26" t="str">
        <f>IF($C35="","",'Constant Ecs GBP'!AL35*INDEX('Global Constants'!AE$24:AE$33,$F35))</f>
        <v/>
      </c>
      <c r="AM35" s="26" t="str">
        <f>IF($C35="","",'Constant Ecs GBP'!AM35*INDEX('Global Constants'!AF$24:AF$33,$F35))</f>
        <v/>
      </c>
      <c r="AN35" s="26" t="str">
        <f>IF($C35="","",'Constant Ecs GBP'!AN35*INDEX('Global Constants'!AG$24:AG$33,$F35))</f>
        <v/>
      </c>
      <c r="AO35" s="26" t="str">
        <f>IF($C35="","",'Constant Ecs GBP'!AO35*INDEX('Global Constants'!AH$24:AH$33,$F35))</f>
        <v/>
      </c>
      <c r="AP35" s="26" t="str">
        <f>IF($C35="","",'Constant Ecs GBP'!AP35*INDEX('Global Constants'!AI$24:AI$33,$F35))</f>
        <v/>
      </c>
      <c r="AQ35" s="26" t="str">
        <f>IF($C35="","",'Constant Ecs GBP'!AQ35*INDEX('Global Constants'!AJ$24:AJ$33,$F35))</f>
        <v/>
      </c>
      <c r="AR35" s="26" t="str">
        <f>IF($C35="","",'Constant Ecs GBP'!AR35*INDEX('Global Constants'!AK$24:AK$33,$F35))</f>
        <v/>
      </c>
      <c r="AS35" s="26" t="str">
        <f>IF($C35="","",'Constant Ecs GBP'!AS35*INDEX('Global Constants'!AL$24:AL$33,$F35))</f>
        <v/>
      </c>
      <c r="AT35" s="26" t="str">
        <f>IF($C35="","",'Constant Ecs GBP'!AT35*INDEX('Global Constants'!AM$24:AM$33,$F35))</f>
        <v/>
      </c>
      <c r="AU35" s="26" t="str">
        <f>IF($C35="","",'Constant Ecs GBP'!AU35*INDEX('Global Constants'!AN$24:AN$33,$F35))</f>
        <v/>
      </c>
      <c r="AV35" s="26" t="str">
        <f>IF($C35="","",'Constant Ecs GBP'!AV35*INDEX('Global Constants'!AO$24:AO$33,$F35))</f>
        <v/>
      </c>
      <c r="AW35" s="26" t="str">
        <f>IF($C35="","",'Constant Ecs GBP'!AW35*INDEX('Global Constants'!AP$24:AP$33,$F35))</f>
        <v/>
      </c>
      <c r="AX35" s="26" t="str">
        <f>IF($C35="","",'Constant Ecs GBP'!AX35*INDEX('Global Constants'!AQ$24:AQ$33,$F35))</f>
        <v/>
      </c>
      <c r="AY35" s="26" t="str">
        <f>IF($C35="","",'Constant Ecs GBP'!AY35*INDEX('Global Constants'!AR$24:AR$33,$F35))</f>
        <v/>
      </c>
      <c r="AZ35" s="26" t="str">
        <f>IF($C35="","",'Constant Ecs GBP'!AZ35*INDEX('Global Constants'!AS$24:AS$33,$F35))</f>
        <v/>
      </c>
      <c r="BA35" s="26" t="str">
        <f>IF($C35="","",'Constant Ecs GBP'!BA35*INDEX('Global Constants'!AT$24:AT$33,$F35))</f>
        <v/>
      </c>
      <c r="BB35" s="26" t="str">
        <f>IF($C35="","",'Constant Ecs GBP'!BB35*INDEX('Global Constants'!AU$24:AU$33,$F35))</f>
        <v/>
      </c>
      <c r="BC35" s="26" t="str">
        <f>IF($C35="","",'Constant Ecs GBP'!BC35*INDEX('Global Constants'!AV$24:AV$33,$F35))</f>
        <v/>
      </c>
      <c r="BD35" s="26" t="str">
        <f>IF($C35="","",'Constant Ecs GBP'!BD35*INDEX('Global Constants'!AW$24:AW$33,$F35))</f>
        <v/>
      </c>
      <c r="BE35" s="26" t="str">
        <f>IF($C35="","",'Constant Ecs GBP'!BE35*INDEX('Global Constants'!AX$24:AX$33,$F35))</f>
        <v/>
      </c>
      <c r="BF35" s="26" t="str">
        <f>IF($C35="","",'Constant Ecs GBP'!BF35*INDEX('Global Constants'!AY$24:AY$33,$F35))</f>
        <v/>
      </c>
      <c r="BG35" s="26" t="str">
        <f>IF($C35="","",'Constant Ecs GBP'!BG35*INDEX('Global Constants'!AZ$24:AZ$33,$F35))</f>
        <v/>
      </c>
      <c r="BH35" s="26" t="str">
        <f>IF($C35="","",'Constant Ecs GBP'!BH35*INDEX('Global Constants'!BA$24:BA$33,$F35))</f>
        <v/>
      </c>
      <c r="BI35" s="26" t="str">
        <f>IF($C35="","",'Constant Ecs GBP'!BI35*INDEX('Global Constants'!BB$24:BB$33,$F35))</f>
        <v/>
      </c>
      <c r="BJ35" s="26" t="str">
        <f>IF($C35="","",'Constant Ecs GBP'!BJ35*INDEX('Global Constants'!BC$24:BC$33,$F35))</f>
        <v/>
      </c>
      <c r="BK35" s="26" t="str">
        <f>IF($C35="","",'Constant Ecs GBP'!BK35*INDEX('Global Constants'!BD$24:BD$33,$F35))</f>
        <v/>
      </c>
      <c r="BL35" s="26" t="str">
        <f>IF($C35="","",'Constant Ecs GBP'!BL35*INDEX('Global Constants'!BE$24:BE$33,$F35))</f>
        <v/>
      </c>
      <c r="BM35" s="26" t="str">
        <f>IF($C35="","",'Constant Ecs GBP'!BM35*INDEX('Global Constants'!BF$24:BF$33,$F35))</f>
        <v/>
      </c>
      <c r="BN35" s="26" t="str">
        <f>IF($C35="","",'Constant Ecs GBP'!BN35*INDEX('Global Constants'!BG$24:BG$33,$F35))</f>
        <v/>
      </c>
      <c r="BO35" s="26" t="str">
        <f>IF($C35="","",'Constant Ecs GBP'!BO35*INDEX('Global Constants'!BH$24:BH$33,$F35))</f>
        <v/>
      </c>
      <c r="BP35" s="26" t="str">
        <f>IF($C35="","",'Constant Ecs GBP'!BP35*INDEX('Global Constants'!BI$24:BI$33,$F35))</f>
        <v/>
      </c>
      <c r="BQ35" s="26" t="str">
        <f>IF($C35="","",'Constant Ecs GBP'!BQ35*INDEX('Global Constants'!BJ$24:BJ$33,$F35))</f>
        <v/>
      </c>
      <c r="BR35" s="26" t="str">
        <f>IF($C35="","",'Constant Ecs GBP'!BR35*INDEX('Global Constants'!BK$24:BK$33,$F35))</f>
        <v/>
      </c>
      <c r="BS35" s="26" t="str">
        <f>IF($C35="","",'Constant Ecs GBP'!BS35*INDEX('Global Constants'!BL$24:BL$33,$F35))</f>
        <v/>
      </c>
      <c r="BT35" s="26" t="str">
        <f>IF($C35="","",'Constant Ecs GBP'!BT35*INDEX('Global Constants'!BM$24:BM$33,$F35))</f>
        <v/>
      </c>
      <c r="BU35" s="26" t="str">
        <f>IF($C35="","",'Constant Ecs GBP'!BU35*INDEX('Global Constants'!BN$24:BN$33,$F35))</f>
        <v/>
      </c>
      <c r="BV35" s="26" t="str">
        <f>IF($C35="","",'Constant Ecs GBP'!BV35*INDEX('Global Constants'!BO$24:BO$33,$F35))</f>
        <v/>
      </c>
      <c r="BW35" s="26" t="str">
        <f>IF($C35="","",'Constant Ecs GBP'!BW35*INDEX('Global Constants'!BP$24:BP$33,$F35))</f>
        <v/>
      </c>
      <c r="BX35" s="26" t="str">
        <f>IF($C35="","",'Constant Ecs GBP'!BX35*INDEX('Global Constants'!BQ$24:BQ$33,$F35))</f>
        <v/>
      </c>
      <c r="BY35" s="26" t="str">
        <f>IF($C35="","",'Constant Ecs GBP'!BY35*INDEX('Global Constants'!BR$24:BR$33,$F35))</f>
        <v/>
      </c>
      <c r="BZ35" s="26" t="str">
        <f>IF($C35="","",'Constant Ecs GBP'!BZ35*INDEX('Global Constants'!BS$24:BS$33,$F35))</f>
        <v/>
      </c>
      <c r="CA35" s="26" t="str">
        <f>IF($C35="","",'Constant Ecs GBP'!CA35*INDEX('Global Constants'!BT$24:BT$33,$F35))</f>
        <v/>
      </c>
      <c r="CB35" s="26" t="str">
        <f>IF($C35="","",'Constant Ecs GBP'!CB35*INDEX('Global Constants'!BU$24:BU$33,$F35))</f>
        <v/>
      </c>
      <c r="CC35" s="26" t="str">
        <f>IF($C35="","",'Constant Ecs GBP'!CC35*INDEX('Global Constants'!BV$24:BV$33,$F35))</f>
        <v/>
      </c>
      <c r="CD35" s="26" t="str">
        <f>IF($C35="","",'Constant Ecs GBP'!CD35*INDEX('Global Constants'!BW$24:BW$33,$F35))</f>
        <v/>
      </c>
      <c r="CE35" s="26" t="str">
        <f>IF($C35="","",'Constant Ecs GBP'!CE35*INDEX('Global Constants'!BX$24:BX$33,$F35))</f>
        <v/>
      </c>
      <c r="CF35" s="26" t="str">
        <f>IF($C35="","",'Constant Ecs GBP'!CF35*INDEX('Global Constants'!BY$24:BY$33,$F35))</f>
        <v/>
      </c>
      <c r="CG35" s="26" t="str">
        <f>IF($C35="","",'Constant Ecs GBP'!CG35*INDEX('Global Constants'!BZ$24:BZ$33,$F35))</f>
        <v/>
      </c>
      <c r="CH35" s="26" t="str">
        <f>IF($C35="","",'Constant Ecs GBP'!CH35*INDEX('Global Constants'!CA$24:CA$33,$F35))</f>
        <v/>
      </c>
      <c r="CI35" s="26" t="str">
        <f>IF($C35="","",'Constant Ecs GBP'!CI35*INDEX('Global Constants'!CB$24:CB$33,$F35))</f>
        <v/>
      </c>
      <c r="CJ35" s="26" t="str">
        <f>IF($C35="","",'Constant Ecs GBP'!CJ35*INDEX('Global Constants'!CC$24:CC$33,$F35))</f>
        <v/>
      </c>
      <c r="CK35" s="26" t="str">
        <f>IF($C35="","",'Constant Ecs GBP'!CK35*INDEX('Global Constants'!CD$24:CD$33,$F35))</f>
        <v/>
      </c>
      <c r="CL35" s="26" t="str">
        <f>IF($C35="","",'Constant Ecs GBP'!CL35*INDEX('Global Constants'!CE$24:CE$33,$F35))</f>
        <v/>
      </c>
      <c r="CM35" s="26" t="str">
        <f>IF($C35="","",'Constant Ecs GBP'!CM35*INDEX('Global Constants'!CF$24:CF$33,$F35))</f>
        <v/>
      </c>
      <c r="CN35" s="26" t="str">
        <f>IF($C35="","",'Constant Ecs GBP'!CN35*INDEX('Global Constants'!CG$24:CG$33,$F35))</f>
        <v/>
      </c>
      <c r="CO35" s="26" t="str">
        <f>IF($C35="","",'Constant Ecs GBP'!CO35*INDEX('Global Constants'!CH$24:CH$33,$F35))</f>
        <v/>
      </c>
      <c r="CP35" s="26" t="str">
        <f>IF($C35="","",'Constant Ecs GBP'!CP35*INDEX('Global Constants'!CI$24:CI$33,$F35))</f>
        <v/>
      </c>
      <c r="CQ35" s="26" t="str">
        <f>IF($C35="","",'Constant Ecs GBP'!CQ35*INDEX('Global Constants'!CJ$24:CJ$33,$F35))</f>
        <v/>
      </c>
      <c r="CR35" s="26" t="str">
        <f>IF($C35="","",'Constant Ecs GBP'!CR35*INDEX('Global Constants'!CK$24:CK$33,$F35))</f>
        <v/>
      </c>
      <c r="CS35" s="26" t="str">
        <f>IF($C35="","",'Constant Ecs GBP'!CS35*INDEX('Global Constants'!CL$24:CL$33,$F35))</f>
        <v/>
      </c>
      <c r="CT35" s="26" t="str">
        <f>IF($C35="","",'Constant Ecs GBP'!CT35*INDEX('Global Constants'!CM$24:CM$33,$F35))</f>
        <v/>
      </c>
      <c r="CU35" s="26" t="str">
        <f>IF($C35="","",'Constant Ecs GBP'!CU35*INDEX('Global Constants'!CN$24:CN$33,$F35))</f>
        <v/>
      </c>
      <c r="CV35" s="26" t="str">
        <f>IF($C35="","",'Constant Ecs GBP'!CV35*INDEX('Global Constants'!CO$24:CO$33,$F35))</f>
        <v/>
      </c>
      <c r="CW35" s="26" t="str">
        <f>IF($C35="","",'Constant Ecs GBP'!CW35*INDEX('Global Constants'!CP$24:CP$33,$F35))</f>
        <v/>
      </c>
      <c r="CX35" s="26" t="str">
        <f>IF($C35="","",'Constant Ecs GBP'!CX35*INDEX('Global Constants'!CQ$24:CQ$33,$F35))</f>
        <v/>
      </c>
      <c r="CZ35" s="26">
        <f t="shared" ca="1" si="1"/>
        <v>0</v>
      </c>
      <c r="DA35" s="26">
        <f t="shared" si="2"/>
        <v>0</v>
      </c>
    </row>
    <row r="36" spans="3:105" x14ac:dyDescent="0.3">
      <c r="C36" s="4" t="str">
        <f>IF('Cost &amp; Risk Inputs'!C37="","",'Cost &amp; Risk Inputs'!C37)</f>
        <v/>
      </c>
      <c r="D36" s="4" t="str">
        <f>IF(C36="","",'Cost &amp; Risk Inputs'!F37)</f>
        <v/>
      </c>
      <c r="F36" s="18" t="str">
        <f t="shared" si="0"/>
        <v/>
      </c>
      <c r="M36" s="26" t="str">
        <f>IF($C36="","",'Constant Ecs GBP'!M36*INDEX('Global Constants'!F$24:F$33,$F36))</f>
        <v/>
      </c>
      <c r="N36" s="26" t="str">
        <f>IF($C36="","",'Constant Ecs GBP'!N36*INDEX('Global Constants'!G$24:G$33,$F36))</f>
        <v/>
      </c>
      <c r="O36" s="26" t="str">
        <f>IF($C36="","",'Constant Ecs GBP'!O36*INDEX('Global Constants'!H$24:H$33,$F36))</f>
        <v/>
      </c>
      <c r="P36" s="26" t="str">
        <f>IF($C36="","",'Constant Ecs GBP'!P36*INDEX('Global Constants'!I$24:I$33,$F36))</f>
        <v/>
      </c>
      <c r="Q36" s="26" t="str">
        <f>IF($C36="","",'Constant Ecs GBP'!Q36*INDEX('Global Constants'!J$24:J$33,$F36))</f>
        <v/>
      </c>
      <c r="R36" s="26" t="str">
        <f>IF($C36="","",'Constant Ecs GBP'!R36*INDEX('Global Constants'!K$24:K$33,$F36))</f>
        <v/>
      </c>
      <c r="S36" s="26" t="str">
        <f>IF($C36="","",'Constant Ecs GBP'!S36*INDEX('Global Constants'!L$24:L$33,$F36))</f>
        <v/>
      </c>
      <c r="T36" s="26" t="str">
        <f>IF($C36="","",'Constant Ecs GBP'!T36*INDEX('Global Constants'!M$24:M$33,$F36))</f>
        <v/>
      </c>
      <c r="U36" s="26" t="str">
        <f>IF($C36="","",'Constant Ecs GBP'!U36*INDEX('Global Constants'!N$24:N$33,$F36))</f>
        <v/>
      </c>
      <c r="V36" s="26" t="str">
        <f>IF($C36="","",'Constant Ecs GBP'!V36*INDEX('Global Constants'!O$24:O$33,$F36))</f>
        <v/>
      </c>
      <c r="W36" s="26" t="str">
        <f>IF($C36="","",'Constant Ecs GBP'!W36*INDEX('Global Constants'!P$24:P$33,$F36))</f>
        <v/>
      </c>
      <c r="X36" s="26" t="str">
        <f>IF($C36="","",'Constant Ecs GBP'!X36*INDEX('Global Constants'!Q$24:Q$33,$F36))</f>
        <v/>
      </c>
      <c r="Y36" s="26" t="str">
        <f>IF($C36="","",'Constant Ecs GBP'!Y36*INDEX('Global Constants'!R$24:R$33,$F36))</f>
        <v/>
      </c>
      <c r="Z36" s="26" t="str">
        <f>IF($C36="","",'Constant Ecs GBP'!Z36*INDEX('Global Constants'!S$24:S$33,$F36))</f>
        <v/>
      </c>
      <c r="AA36" s="26" t="str">
        <f>IF($C36="","",'Constant Ecs GBP'!AA36*INDEX('Global Constants'!T$24:T$33,$F36))</f>
        <v/>
      </c>
      <c r="AB36" s="26" t="str">
        <f>IF($C36="","",'Constant Ecs GBP'!AB36*INDEX('Global Constants'!U$24:U$33,$F36))</f>
        <v/>
      </c>
      <c r="AC36" s="26" t="str">
        <f>IF($C36="","",'Constant Ecs GBP'!AC36*INDEX('Global Constants'!V$24:V$33,$F36))</f>
        <v/>
      </c>
      <c r="AD36" s="26" t="str">
        <f>IF($C36="","",'Constant Ecs GBP'!AD36*INDEX('Global Constants'!W$24:W$33,$F36))</f>
        <v/>
      </c>
      <c r="AE36" s="26" t="str">
        <f>IF($C36="","",'Constant Ecs GBP'!AE36*INDEX('Global Constants'!X$24:X$33,$F36))</f>
        <v/>
      </c>
      <c r="AF36" s="26" t="str">
        <f>IF($C36="","",'Constant Ecs GBP'!AF36*INDEX('Global Constants'!Y$24:Y$33,$F36))</f>
        <v/>
      </c>
      <c r="AG36" s="26" t="str">
        <f>IF($C36="","",'Constant Ecs GBP'!AG36*INDEX('Global Constants'!Z$24:Z$33,$F36))</f>
        <v/>
      </c>
      <c r="AH36" s="26" t="str">
        <f>IF($C36="","",'Constant Ecs GBP'!AH36*INDEX('Global Constants'!AA$24:AA$33,$F36))</f>
        <v/>
      </c>
      <c r="AI36" s="26" t="str">
        <f>IF($C36="","",'Constant Ecs GBP'!AI36*INDEX('Global Constants'!AB$24:AB$33,$F36))</f>
        <v/>
      </c>
      <c r="AJ36" s="26" t="str">
        <f>IF($C36="","",'Constant Ecs GBP'!AJ36*INDEX('Global Constants'!AC$24:AC$33,$F36))</f>
        <v/>
      </c>
      <c r="AK36" s="26" t="str">
        <f>IF($C36="","",'Constant Ecs GBP'!AK36*INDEX('Global Constants'!AD$24:AD$33,$F36))</f>
        <v/>
      </c>
      <c r="AL36" s="26" t="str">
        <f>IF($C36="","",'Constant Ecs GBP'!AL36*INDEX('Global Constants'!AE$24:AE$33,$F36))</f>
        <v/>
      </c>
      <c r="AM36" s="26" t="str">
        <f>IF($C36="","",'Constant Ecs GBP'!AM36*INDEX('Global Constants'!AF$24:AF$33,$F36))</f>
        <v/>
      </c>
      <c r="AN36" s="26" t="str">
        <f>IF($C36="","",'Constant Ecs GBP'!AN36*INDEX('Global Constants'!AG$24:AG$33,$F36))</f>
        <v/>
      </c>
      <c r="AO36" s="26" t="str">
        <f>IF($C36="","",'Constant Ecs GBP'!AO36*INDEX('Global Constants'!AH$24:AH$33,$F36))</f>
        <v/>
      </c>
      <c r="AP36" s="26" t="str">
        <f>IF($C36="","",'Constant Ecs GBP'!AP36*INDEX('Global Constants'!AI$24:AI$33,$F36))</f>
        <v/>
      </c>
      <c r="AQ36" s="26" t="str">
        <f>IF($C36="","",'Constant Ecs GBP'!AQ36*INDEX('Global Constants'!AJ$24:AJ$33,$F36))</f>
        <v/>
      </c>
      <c r="AR36" s="26" t="str">
        <f>IF($C36="","",'Constant Ecs GBP'!AR36*INDEX('Global Constants'!AK$24:AK$33,$F36))</f>
        <v/>
      </c>
      <c r="AS36" s="26" t="str">
        <f>IF($C36="","",'Constant Ecs GBP'!AS36*INDEX('Global Constants'!AL$24:AL$33,$F36))</f>
        <v/>
      </c>
      <c r="AT36" s="26" t="str">
        <f>IF($C36="","",'Constant Ecs GBP'!AT36*INDEX('Global Constants'!AM$24:AM$33,$F36))</f>
        <v/>
      </c>
      <c r="AU36" s="26" t="str">
        <f>IF($C36="","",'Constant Ecs GBP'!AU36*INDEX('Global Constants'!AN$24:AN$33,$F36))</f>
        <v/>
      </c>
      <c r="AV36" s="26" t="str">
        <f>IF($C36="","",'Constant Ecs GBP'!AV36*INDEX('Global Constants'!AO$24:AO$33,$F36))</f>
        <v/>
      </c>
      <c r="AW36" s="26" t="str">
        <f>IF($C36="","",'Constant Ecs GBP'!AW36*INDEX('Global Constants'!AP$24:AP$33,$F36))</f>
        <v/>
      </c>
      <c r="AX36" s="26" t="str">
        <f>IF($C36="","",'Constant Ecs GBP'!AX36*INDEX('Global Constants'!AQ$24:AQ$33,$F36))</f>
        <v/>
      </c>
      <c r="AY36" s="26" t="str">
        <f>IF($C36="","",'Constant Ecs GBP'!AY36*INDEX('Global Constants'!AR$24:AR$33,$F36))</f>
        <v/>
      </c>
      <c r="AZ36" s="26" t="str">
        <f>IF($C36="","",'Constant Ecs GBP'!AZ36*INDEX('Global Constants'!AS$24:AS$33,$F36))</f>
        <v/>
      </c>
      <c r="BA36" s="26" t="str">
        <f>IF($C36="","",'Constant Ecs GBP'!BA36*INDEX('Global Constants'!AT$24:AT$33,$F36))</f>
        <v/>
      </c>
      <c r="BB36" s="26" t="str">
        <f>IF($C36="","",'Constant Ecs GBP'!BB36*INDEX('Global Constants'!AU$24:AU$33,$F36))</f>
        <v/>
      </c>
      <c r="BC36" s="26" t="str">
        <f>IF($C36="","",'Constant Ecs GBP'!BC36*INDEX('Global Constants'!AV$24:AV$33,$F36))</f>
        <v/>
      </c>
      <c r="BD36" s="26" t="str">
        <f>IF($C36="","",'Constant Ecs GBP'!BD36*INDEX('Global Constants'!AW$24:AW$33,$F36))</f>
        <v/>
      </c>
      <c r="BE36" s="26" t="str">
        <f>IF($C36="","",'Constant Ecs GBP'!BE36*INDEX('Global Constants'!AX$24:AX$33,$F36))</f>
        <v/>
      </c>
      <c r="BF36" s="26" t="str">
        <f>IF($C36="","",'Constant Ecs GBP'!BF36*INDEX('Global Constants'!AY$24:AY$33,$F36))</f>
        <v/>
      </c>
      <c r="BG36" s="26" t="str">
        <f>IF($C36="","",'Constant Ecs GBP'!BG36*INDEX('Global Constants'!AZ$24:AZ$33,$F36))</f>
        <v/>
      </c>
      <c r="BH36" s="26" t="str">
        <f>IF($C36="","",'Constant Ecs GBP'!BH36*INDEX('Global Constants'!BA$24:BA$33,$F36))</f>
        <v/>
      </c>
      <c r="BI36" s="26" t="str">
        <f>IF($C36="","",'Constant Ecs GBP'!BI36*INDEX('Global Constants'!BB$24:BB$33,$F36))</f>
        <v/>
      </c>
      <c r="BJ36" s="26" t="str">
        <f>IF($C36="","",'Constant Ecs GBP'!BJ36*INDEX('Global Constants'!BC$24:BC$33,$F36))</f>
        <v/>
      </c>
      <c r="BK36" s="26" t="str">
        <f>IF($C36="","",'Constant Ecs GBP'!BK36*INDEX('Global Constants'!BD$24:BD$33,$F36))</f>
        <v/>
      </c>
      <c r="BL36" s="26" t="str">
        <f>IF($C36="","",'Constant Ecs GBP'!BL36*INDEX('Global Constants'!BE$24:BE$33,$F36))</f>
        <v/>
      </c>
      <c r="BM36" s="26" t="str">
        <f>IF($C36="","",'Constant Ecs GBP'!BM36*INDEX('Global Constants'!BF$24:BF$33,$F36))</f>
        <v/>
      </c>
      <c r="BN36" s="26" t="str">
        <f>IF($C36="","",'Constant Ecs GBP'!BN36*INDEX('Global Constants'!BG$24:BG$33,$F36))</f>
        <v/>
      </c>
      <c r="BO36" s="26" t="str">
        <f>IF($C36="","",'Constant Ecs GBP'!BO36*INDEX('Global Constants'!BH$24:BH$33,$F36))</f>
        <v/>
      </c>
      <c r="BP36" s="26" t="str">
        <f>IF($C36="","",'Constant Ecs GBP'!BP36*INDEX('Global Constants'!BI$24:BI$33,$F36))</f>
        <v/>
      </c>
      <c r="BQ36" s="26" t="str">
        <f>IF($C36="","",'Constant Ecs GBP'!BQ36*INDEX('Global Constants'!BJ$24:BJ$33,$F36))</f>
        <v/>
      </c>
      <c r="BR36" s="26" t="str">
        <f>IF($C36="","",'Constant Ecs GBP'!BR36*INDEX('Global Constants'!BK$24:BK$33,$F36))</f>
        <v/>
      </c>
      <c r="BS36" s="26" t="str">
        <f>IF($C36="","",'Constant Ecs GBP'!BS36*INDEX('Global Constants'!BL$24:BL$33,$F36))</f>
        <v/>
      </c>
      <c r="BT36" s="26" t="str">
        <f>IF($C36="","",'Constant Ecs GBP'!BT36*INDEX('Global Constants'!BM$24:BM$33,$F36))</f>
        <v/>
      </c>
      <c r="BU36" s="26" t="str">
        <f>IF($C36="","",'Constant Ecs GBP'!BU36*INDEX('Global Constants'!BN$24:BN$33,$F36))</f>
        <v/>
      </c>
      <c r="BV36" s="26" t="str">
        <f>IF($C36="","",'Constant Ecs GBP'!BV36*INDEX('Global Constants'!BO$24:BO$33,$F36))</f>
        <v/>
      </c>
      <c r="BW36" s="26" t="str">
        <f>IF($C36="","",'Constant Ecs GBP'!BW36*INDEX('Global Constants'!BP$24:BP$33,$F36))</f>
        <v/>
      </c>
      <c r="BX36" s="26" t="str">
        <f>IF($C36="","",'Constant Ecs GBP'!BX36*INDEX('Global Constants'!BQ$24:BQ$33,$F36))</f>
        <v/>
      </c>
      <c r="BY36" s="26" t="str">
        <f>IF($C36="","",'Constant Ecs GBP'!BY36*INDEX('Global Constants'!BR$24:BR$33,$F36))</f>
        <v/>
      </c>
      <c r="BZ36" s="26" t="str">
        <f>IF($C36="","",'Constant Ecs GBP'!BZ36*INDEX('Global Constants'!BS$24:BS$33,$F36))</f>
        <v/>
      </c>
      <c r="CA36" s="26" t="str">
        <f>IF($C36="","",'Constant Ecs GBP'!CA36*INDEX('Global Constants'!BT$24:BT$33,$F36))</f>
        <v/>
      </c>
      <c r="CB36" s="26" t="str">
        <f>IF($C36="","",'Constant Ecs GBP'!CB36*INDEX('Global Constants'!BU$24:BU$33,$F36))</f>
        <v/>
      </c>
      <c r="CC36" s="26" t="str">
        <f>IF($C36="","",'Constant Ecs GBP'!CC36*INDEX('Global Constants'!BV$24:BV$33,$F36))</f>
        <v/>
      </c>
      <c r="CD36" s="26" t="str">
        <f>IF($C36="","",'Constant Ecs GBP'!CD36*INDEX('Global Constants'!BW$24:BW$33,$F36))</f>
        <v/>
      </c>
      <c r="CE36" s="26" t="str">
        <f>IF($C36="","",'Constant Ecs GBP'!CE36*INDEX('Global Constants'!BX$24:BX$33,$F36))</f>
        <v/>
      </c>
      <c r="CF36" s="26" t="str">
        <f>IF($C36="","",'Constant Ecs GBP'!CF36*INDEX('Global Constants'!BY$24:BY$33,$F36))</f>
        <v/>
      </c>
      <c r="CG36" s="26" t="str">
        <f>IF($C36="","",'Constant Ecs GBP'!CG36*INDEX('Global Constants'!BZ$24:BZ$33,$F36))</f>
        <v/>
      </c>
      <c r="CH36" s="26" t="str">
        <f>IF($C36="","",'Constant Ecs GBP'!CH36*INDEX('Global Constants'!CA$24:CA$33,$F36))</f>
        <v/>
      </c>
      <c r="CI36" s="26" t="str">
        <f>IF($C36="","",'Constant Ecs GBP'!CI36*INDEX('Global Constants'!CB$24:CB$33,$F36))</f>
        <v/>
      </c>
      <c r="CJ36" s="26" t="str">
        <f>IF($C36="","",'Constant Ecs GBP'!CJ36*INDEX('Global Constants'!CC$24:CC$33,$F36))</f>
        <v/>
      </c>
      <c r="CK36" s="26" t="str">
        <f>IF($C36="","",'Constant Ecs GBP'!CK36*INDEX('Global Constants'!CD$24:CD$33,$F36))</f>
        <v/>
      </c>
      <c r="CL36" s="26" t="str">
        <f>IF($C36="","",'Constant Ecs GBP'!CL36*INDEX('Global Constants'!CE$24:CE$33,$F36))</f>
        <v/>
      </c>
      <c r="CM36" s="26" t="str">
        <f>IF($C36="","",'Constant Ecs GBP'!CM36*INDEX('Global Constants'!CF$24:CF$33,$F36))</f>
        <v/>
      </c>
      <c r="CN36" s="26" t="str">
        <f>IF($C36="","",'Constant Ecs GBP'!CN36*INDEX('Global Constants'!CG$24:CG$33,$F36))</f>
        <v/>
      </c>
      <c r="CO36" s="26" t="str">
        <f>IF($C36="","",'Constant Ecs GBP'!CO36*INDEX('Global Constants'!CH$24:CH$33,$F36))</f>
        <v/>
      </c>
      <c r="CP36" s="26" t="str">
        <f>IF($C36="","",'Constant Ecs GBP'!CP36*INDEX('Global Constants'!CI$24:CI$33,$F36))</f>
        <v/>
      </c>
      <c r="CQ36" s="26" t="str">
        <f>IF($C36="","",'Constant Ecs GBP'!CQ36*INDEX('Global Constants'!CJ$24:CJ$33,$F36))</f>
        <v/>
      </c>
      <c r="CR36" s="26" t="str">
        <f>IF($C36="","",'Constant Ecs GBP'!CR36*INDEX('Global Constants'!CK$24:CK$33,$F36))</f>
        <v/>
      </c>
      <c r="CS36" s="26" t="str">
        <f>IF($C36="","",'Constant Ecs GBP'!CS36*INDEX('Global Constants'!CL$24:CL$33,$F36))</f>
        <v/>
      </c>
      <c r="CT36" s="26" t="str">
        <f>IF($C36="","",'Constant Ecs GBP'!CT36*INDEX('Global Constants'!CM$24:CM$33,$F36))</f>
        <v/>
      </c>
      <c r="CU36" s="26" t="str">
        <f>IF($C36="","",'Constant Ecs GBP'!CU36*INDEX('Global Constants'!CN$24:CN$33,$F36))</f>
        <v/>
      </c>
      <c r="CV36" s="26" t="str">
        <f>IF($C36="","",'Constant Ecs GBP'!CV36*INDEX('Global Constants'!CO$24:CO$33,$F36))</f>
        <v/>
      </c>
      <c r="CW36" s="26" t="str">
        <f>IF($C36="","",'Constant Ecs GBP'!CW36*INDEX('Global Constants'!CP$24:CP$33,$F36))</f>
        <v/>
      </c>
      <c r="CX36" s="26" t="str">
        <f>IF($C36="","",'Constant Ecs GBP'!CX36*INDEX('Global Constants'!CQ$24:CQ$33,$F36))</f>
        <v/>
      </c>
      <c r="CZ36" s="26">
        <f t="shared" ca="1" si="1"/>
        <v>0</v>
      </c>
      <c r="DA36" s="26">
        <f t="shared" si="2"/>
        <v>0</v>
      </c>
    </row>
    <row r="37" spans="3:105" x14ac:dyDescent="0.3">
      <c r="C37" s="4" t="str">
        <f>IF('Cost &amp; Risk Inputs'!C38="","",'Cost &amp; Risk Inputs'!C38)</f>
        <v/>
      </c>
      <c r="D37" s="4" t="str">
        <f>IF(C37="","",'Cost &amp; Risk Inputs'!F38)</f>
        <v/>
      </c>
      <c r="F37" s="18" t="str">
        <f t="shared" si="0"/>
        <v/>
      </c>
      <c r="M37" s="26" t="str">
        <f>IF($C37="","",'Constant Ecs GBP'!M37*INDEX('Global Constants'!F$24:F$33,$F37))</f>
        <v/>
      </c>
      <c r="N37" s="26" t="str">
        <f>IF($C37="","",'Constant Ecs GBP'!N37*INDEX('Global Constants'!G$24:G$33,$F37))</f>
        <v/>
      </c>
      <c r="O37" s="26" t="str">
        <f>IF($C37="","",'Constant Ecs GBP'!O37*INDEX('Global Constants'!H$24:H$33,$F37))</f>
        <v/>
      </c>
      <c r="P37" s="26" t="str">
        <f>IF($C37="","",'Constant Ecs GBP'!P37*INDEX('Global Constants'!I$24:I$33,$F37))</f>
        <v/>
      </c>
      <c r="Q37" s="26" t="str">
        <f>IF($C37="","",'Constant Ecs GBP'!Q37*INDEX('Global Constants'!J$24:J$33,$F37))</f>
        <v/>
      </c>
      <c r="R37" s="26" t="str">
        <f>IF($C37="","",'Constant Ecs GBP'!R37*INDEX('Global Constants'!K$24:K$33,$F37))</f>
        <v/>
      </c>
      <c r="S37" s="26" t="str">
        <f>IF($C37="","",'Constant Ecs GBP'!S37*INDEX('Global Constants'!L$24:L$33,$F37))</f>
        <v/>
      </c>
      <c r="T37" s="26" t="str">
        <f>IF($C37="","",'Constant Ecs GBP'!T37*INDEX('Global Constants'!M$24:M$33,$F37))</f>
        <v/>
      </c>
      <c r="U37" s="26" t="str">
        <f>IF($C37="","",'Constant Ecs GBP'!U37*INDEX('Global Constants'!N$24:N$33,$F37))</f>
        <v/>
      </c>
      <c r="V37" s="26" t="str">
        <f>IF($C37="","",'Constant Ecs GBP'!V37*INDEX('Global Constants'!O$24:O$33,$F37))</f>
        <v/>
      </c>
      <c r="W37" s="26" t="str">
        <f>IF($C37="","",'Constant Ecs GBP'!W37*INDEX('Global Constants'!P$24:P$33,$F37))</f>
        <v/>
      </c>
      <c r="X37" s="26" t="str">
        <f>IF($C37="","",'Constant Ecs GBP'!X37*INDEX('Global Constants'!Q$24:Q$33,$F37))</f>
        <v/>
      </c>
      <c r="Y37" s="26" t="str">
        <f>IF($C37="","",'Constant Ecs GBP'!Y37*INDEX('Global Constants'!R$24:R$33,$F37))</f>
        <v/>
      </c>
      <c r="Z37" s="26" t="str">
        <f>IF($C37="","",'Constant Ecs GBP'!Z37*INDEX('Global Constants'!S$24:S$33,$F37))</f>
        <v/>
      </c>
      <c r="AA37" s="26" t="str">
        <f>IF($C37="","",'Constant Ecs GBP'!AA37*INDEX('Global Constants'!T$24:T$33,$F37))</f>
        <v/>
      </c>
      <c r="AB37" s="26" t="str">
        <f>IF($C37="","",'Constant Ecs GBP'!AB37*INDEX('Global Constants'!U$24:U$33,$F37))</f>
        <v/>
      </c>
      <c r="AC37" s="26" t="str">
        <f>IF($C37="","",'Constant Ecs GBP'!AC37*INDEX('Global Constants'!V$24:V$33,$F37))</f>
        <v/>
      </c>
      <c r="AD37" s="26" t="str">
        <f>IF($C37="","",'Constant Ecs GBP'!AD37*INDEX('Global Constants'!W$24:W$33,$F37))</f>
        <v/>
      </c>
      <c r="AE37" s="26" t="str">
        <f>IF($C37="","",'Constant Ecs GBP'!AE37*INDEX('Global Constants'!X$24:X$33,$F37))</f>
        <v/>
      </c>
      <c r="AF37" s="26" t="str">
        <f>IF($C37="","",'Constant Ecs GBP'!AF37*INDEX('Global Constants'!Y$24:Y$33,$F37))</f>
        <v/>
      </c>
      <c r="AG37" s="26" t="str">
        <f>IF($C37="","",'Constant Ecs GBP'!AG37*INDEX('Global Constants'!Z$24:Z$33,$F37))</f>
        <v/>
      </c>
      <c r="AH37" s="26" t="str">
        <f>IF($C37="","",'Constant Ecs GBP'!AH37*INDEX('Global Constants'!AA$24:AA$33,$F37))</f>
        <v/>
      </c>
      <c r="AI37" s="26" t="str">
        <f>IF($C37="","",'Constant Ecs GBP'!AI37*INDEX('Global Constants'!AB$24:AB$33,$F37))</f>
        <v/>
      </c>
      <c r="AJ37" s="26" t="str">
        <f>IF($C37="","",'Constant Ecs GBP'!AJ37*INDEX('Global Constants'!AC$24:AC$33,$F37))</f>
        <v/>
      </c>
      <c r="AK37" s="26" t="str">
        <f>IF($C37="","",'Constant Ecs GBP'!AK37*INDEX('Global Constants'!AD$24:AD$33,$F37))</f>
        <v/>
      </c>
      <c r="AL37" s="26" t="str">
        <f>IF($C37="","",'Constant Ecs GBP'!AL37*INDEX('Global Constants'!AE$24:AE$33,$F37))</f>
        <v/>
      </c>
      <c r="AM37" s="26" t="str">
        <f>IF($C37="","",'Constant Ecs GBP'!AM37*INDEX('Global Constants'!AF$24:AF$33,$F37))</f>
        <v/>
      </c>
      <c r="AN37" s="26" t="str">
        <f>IF($C37="","",'Constant Ecs GBP'!AN37*INDEX('Global Constants'!AG$24:AG$33,$F37))</f>
        <v/>
      </c>
      <c r="AO37" s="26" t="str">
        <f>IF($C37="","",'Constant Ecs GBP'!AO37*INDEX('Global Constants'!AH$24:AH$33,$F37))</f>
        <v/>
      </c>
      <c r="AP37" s="26" t="str">
        <f>IF($C37="","",'Constant Ecs GBP'!AP37*INDEX('Global Constants'!AI$24:AI$33,$F37))</f>
        <v/>
      </c>
      <c r="AQ37" s="26" t="str">
        <f>IF($C37="","",'Constant Ecs GBP'!AQ37*INDEX('Global Constants'!AJ$24:AJ$33,$F37))</f>
        <v/>
      </c>
      <c r="AR37" s="26" t="str">
        <f>IF($C37="","",'Constant Ecs GBP'!AR37*INDEX('Global Constants'!AK$24:AK$33,$F37))</f>
        <v/>
      </c>
      <c r="AS37" s="26" t="str">
        <f>IF($C37="","",'Constant Ecs GBP'!AS37*INDEX('Global Constants'!AL$24:AL$33,$F37))</f>
        <v/>
      </c>
      <c r="AT37" s="26" t="str">
        <f>IF($C37="","",'Constant Ecs GBP'!AT37*INDEX('Global Constants'!AM$24:AM$33,$F37))</f>
        <v/>
      </c>
      <c r="AU37" s="26" t="str">
        <f>IF($C37="","",'Constant Ecs GBP'!AU37*INDEX('Global Constants'!AN$24:AN$33,$F37))</f>
        <v/>
      </c>
      <c r="AV37" s="26" t="str">
        <f>IF($C37="","",'Constant Ecs GBP'!AV37*INDEX('Global Constants'!AO$24:AO$33,$F37))</f>
        <v/>
      </c>
      <c r="AW37" s="26" t="str">
        <f>IF($C37="","",'Constant Ecs GBP'!AW37*INDEX('Global Constants'!AP$24:AP$33,$F37))</f>
        <v/>
      </c>
      <c r="AX37" s="26" t="str">
        <f>IF($C37="","",'Constant Ecs GBP'!AX37*INDEX('Global Constants'!AQ$24:AQ$33,$F37))</f>
        <v/>
      </c>
      <c r="AY37" s="26" t="str">
        <f>IF($C37="","",'Constant Ecs GBP'!AY37*INDEX('Global Constants'!AR$24:AR$33,$F37))</f>
        <v/>
      </c>
      <c r="AZ37" s="26" t="str">
        <f>IF($C37="","",'Constant Ecs GBP'!AZ37*INDEX('Global Constants'!AS$24:AS$33,$F37))</f>
        <v/>
      </c>
      <c r="BA37" s="26" t="str">
        <f>IF($C37="","",'Constant Ecs GBP'!BA37*INDEX('Global Constants'!AT$24:AT$33,$F37))</f>
        <v/>
      </c>
      <c r="BB37" s="26" t="str">
        <f>IF($C37="","",'Constant Ecs GBP'!BB37*INDEX('Global Constants'!AU$24:AU$33,$F37))</f>
        <v/>
      </c>
      <c r="BC37" s="26" t="str">
        <f>IF($C37="","",'Constant Ecs GBP'!BC37*INDEX('Global Constants'!AV$24:AV$33,$F37))</f>
        <v/>
      </c>
      <c r="BD37" s="26" t="str">
        <f>IF($C37="","",'Constant Ecs GBP'!BD37*INDEX('Global Constants'!AW$24:AW$33,$F37))</f>
        <v/>
      </c>
      <c r="BE37" s="26" t="str">
        <f>IF($C37="","",'Constant Ecs GBP'!BE37*INDEX('Global Constants'!AX$24:AX$33,$F37))</f>
        <v/>
      </c>
      <c r="BF37" s="26" t="str">
        <f>IF($C37="","",'Constant Ecs GBP'!BF37*INDEX('Global Constants'!AY$24:AY$33,$F37))</f>
        <v/>
      </c>
      <c r="BG37" s="26" t="str">
        <f>IF($C37="","",'Constant Ecs GBP'!BG37*INDEX('Global Constants'!AZ$24:AZ$33,$F37))</f>
        <v/>
      </c>
      <c r="BH37" s="26" t="str">
        <f>IF($C37="","",'Constant Ecs GBP'!BH37*INDEX('Global Constants'!BA$24:BA$33,$F37))</f>
        <v/>
      </c>
      <c r="BI37" s="26" t="str">
        <f>IF($C37="","",'Constant Ecs GBP'!BI37*INDEX('Global Constants'!BB$24:BB$33,$F37))</f>
        <v/>
      </c>
      <c r="BJ37" s="26" t="str">
        <f>IF($C37="","",'Constant Ecs GBP'!BJ37*INDEX('Global Constants'!BC$24:BC$33,$F37))</f>
        <v/>
      </c>
      <c r="BK37" s="26" t="str">
        <f>IF($C37="","",'Constant Ecs GBP'!BK37*INDEX('Global Constants'!BD$24:BD$33,$F37))</f>
        <v/>
      </c>
      <c r="BL37" s="26" t="str">
        <f>IF($C37="","",'Constant Ecs GBP'!BL37*INDEX('Global Constants'!BE$24:BE$33,$F37))</f>
        <v/>
      </c>
      <c r="BM37" s="26" t="str">
        <f>IF($C37="","",'Constant Ecs GBP'!BM37*INDEX('Global Constants'!BF$24:BF$33,$F37))</f>
        <v/>
      </c>
      <c r="BN37" s="26" t="str">
        <f>IF($C37="","",'Constant Ecs GBP'!BN37*INDEX('Global Constants'!BG$24:BG$33,$F37))</f>
        <v/>
      </c>
      <c r="BO37" s="26" t="str">
        <f>IF($C37="","",'Constant Ecs GBP'!BO37*INDEX('Global Constants'!BH$24:BH$33,$F37))</f>
        <v/>
      </c>
      <c r="BP37" s="26" t="str">
        <f>IF($C37="","",'Constant Ecs GBP'!BP37*INDEX('Global Constants'!BI$24:BI$33,$F37))</f>
        <v/>
      </c>
      <c r="BQ37" s="26" t="str">
        <f>IF($C37="","",'Constant Ecs GBP'!BQ37*INDEX('Global Constants'!BJ$24:BJ$33,$F37))</f>
        <v/>
      </c>
      <c r="BR37" s="26" t="str">
        <f>IF($C37="","",'Constant Ecs GBP'!BR37*INDEX('Global Constants'!BK$24:BK$33,$F37))</f>
        <v/>
      </c>
      <c r="BS37" s="26" t="str">
        <f>IF($C37="","",'Constant Ecs GBP'!BS37*INDEX('Global Constants'!BL$24:BL$33,$F37))</f>
        <v/>
      </c>
      <c r="BT37" s="26" t="str">
        <f>IF($C37="","",'Constant Ecs GBP'!BT37*INDEX('Global Constants'!BM$24:BM$33,$F37))</f>
        <v/>
      </c>
      <c r="BU37" s="26" t="str">
        <f>IF($C37="","",'Constant Ecs GBP'!BU37*INDEX('Global Constants'!BN$24:BN$33,$F37))</f>
        <v/>
      </c>
      <c r="BV37" s="26" t="str">
        <f>IF($C37="","",'Constant Ecs GBP'!BV37*INDEX('Global Constants'!BO$24:BO$33,$F37))</f>
        <v/>
      </c>
      <c r="BW37" s="26" t="str">
        <f>IF($C37="","",'Constant Ecs GBP'!BW37*INDEX('Global Constants'!BP$24:BP$33,$F37))</f>
        <v/>
      </c>
      <c r="BX37" s="26" t="str">
        <f>IF($C37="","",'Constant Ecs GBP'!BX37*INDEX('Global Constants'!BQ$24:BQ$33,$F37))</f>
        <v/>
      </c>
      <c r="BY37" s="26" t="str">
        <f>IF($C37="","",'Constant Ecs GBP'!BY37*INDEX('Global Constants'!BR$24:BR$33,$F37))</f>
        <v/>
      </c>
      <c r="BZ37" s="26" t="str">
        <f>IF($C37="","",'Constant Ecs GBP'!BZ37*INDEX('Global Constants'!BS$24:BS$33,$F37))</f>
        <v/>
      </c>
      <c r="CA37" s="26" t="str">
        <f>IF($C37="","",'Constant Ecs GBP'!CA37*INDEX('Global Constants'!BT$24:BT$33,$F37))</f>
        <v/>
      </c>
      <c r="CB37" s="26" t="str">
        <f>IF($C37="","",'Constant Ecs GBP'!CB37*INDEX('Global Constants'!BU$24:BU$33,$F37))</f>
        <v/>
      </c>
      <c r="CC37" s="26" t="str">
        <f>IF($C37="","",'Constant Ecs GBP'!CC37*INDEX('Global Constants'!BV$24:BV$33,$F37))</f>
        <v/>
      </c>
      <c r="CD37" s="26" t="str">
        <f>IF($C37="","",'Constant Ecs GBP'!CD37*INDEX('Global Constants'!BW$24:BW$33,$F37))</f>
        <v/>
      </c>
      <c r="CE37" s="26" t="str">
        <f>IF($C37="","",'Constant Ecs GBP'!CE37*INDEX('Global Constants'!BX$24:BX$33,$F37))</f>
        <v/>
      </c>
      <c r="CF37" s="26" t="str">
        <f>IF($C37="","",'Constant Ecs GBP'!CF37*INDEX('Global Constants'!BY$24:BY$33,$F37))</f>
        <v/>
      </c>
      <c r="CG37" s="26" t="str">
        <f>IF($C37="","",'Constant Ecs GBP'!CG37*INDEX('Global Constants'!BZ$24:BZ$33,$F37))</f>
        <v/>
      </c>
      <c r="CH37" s="26" t="str">
        <f>IF($C37="","",'Constant Ecs GBP'!CH37*INDEX('Global Constants'!CA$24:CA$33,$F37))</f>
        <v/>
      </c>
      <c r="CI37" s="26" t="str">
        <f>IF($C37="","",'Constant Ecs GBP'!CI37*INDEX('Global Constants'!CB$24:CB$33,$F37))</f>
        <v/>
      </c>
      <c r="CJ37" s="26" t="str">
        <f>IF($C37="","",'Constant Ecs GBP'!CJ37*INDEX('Global Constants'!CC$24:CC$33,$F37))</f>
        <v/>
      </c>
      <c r="CK37" s="26" t="str">
        <f>IF($C37="","",'Constant Ecs GBP'!CK37*INDEX('Global Constants'!CD$24:CD$33,$F37))</f>
        <v/>
      </c>
      <c r="CL37" s="26" t="str">
        <f>IF($C37="","",'Constant Ecs GBP'!CL37*INDEX('Global Constants'!CE$24:CE$33,$F37))</f>
        <v/>
      </c>
      <c r="CM37" s="26" t="str">
        <f>IF($C37="","",'Constant Ecs GBP'!CM37*INDEX('Global Constants'!CF$24:CF$33,$F37))</f>
        <v/>
      </c>
      <c r="CN37" s="26" t="str">
        <f>IF($C37="","",'Constant Ecs GBP'!CN37*INDEX('Global Constants'!CG$24:CG$33,$F37))</f>
        <v/>
      </c>
      <c r="CO37" s="26" t="str">
        <f>IF($C37="","",'Constant Ecs GBP'!CO37*INDEX('Global Constants'!CH$24:CH$33,$F37))</f>
        <v/>
      </c>
      <c r="CP37" s="26" t="str">
        <f>IF($C37="","",'Constant Ecs GBP'!CP37*INDEX('Global Constants'!CI$24:CI$33,$F37))</f>
        <v/>
      </c>
      <c r="CQ37" s="26" t="str">
        <f>IF($C37="","",'Constant Ecs GBP'!CQ37*INDEX('Global Constants'!CJ$24:CJ$33,$F37))</f>
        <v/>
      </c>
      <c r="CR37" s="26" t="str">
        <f>IF($C37="","",'Constant Ecs GBP'!CR37*INDEX('Global Constants'!CK$24:CK$33,$F37))</f>
        <v/>
      </c>
      <c r="CS37" s="26" t="str">
        <f>IF($C37="","",'Constant Ecs GBP'!CS37*INDEX('Global Constants'!CL$24:CL$33,$F37))</f>
        <v/>
      </c>
      <c r="CT37" s="26" t="str">
        <f>IF($C37="","",'Constant Ecs GBP'!CT37*INDEX('Global Constants'!CM$24:CM$33,$F37))</f>
        <v/>
      </c>
      <c r="CU37" s="26" t="str">
        <f>IF($C37="","",'Constant Ecs GBP'!CU37*INDEX('Global Constants'!CN$24:CN$33,$F37))</f>
        <v/>
      </c>
      <c r="CV37" s="26" t="str">
        <f>IF($C37="","",'Constant Ecs GBP'!CV37*INDEX('Global Constants'!CO$24:CO$33,$F37))</f>
        <v/>
      </c>
      <c r="CW37" s="26" t="str">
        <f>IF($C37="","",'Constant Ecs GBP'!CW37*INDEX('Global Constants'!CP$24:CP$33,$F37))</f>
        <v/>
      </c>
      <c r="CX37" s="26" t="str">
        <f>IF($C37="","",'Constant Ecs GBP'!CX37*INDEX('Global Constants'!CQ$24:CQ$33,$F37))</f>
        <v/>
      </c>
      <c r="CZ37" s="26">
        <f t="shared" ca="1" si="1"/>
        <v>0</v>
      </c>
      <c r="DA37" s="26">
        <f t="shared" si="2"/>
        <v>0</v>
      </c>
    </row>
    <row r="38" spans="3:105" x14ac:dyDescent="0.3">
      <c r="C38" s="4" t="str">
        <f>IF('Cost &amp; Risk Inputs'!C39="","",'Cost &amp; Risk Inputs'!C39)</f>
        <v/>
      </c>
      <c r="D38" s="4" t="str">
        <f>IF(C38="","",'Cost &amp; Risk Inputs'!F39)</f>
        <v/>
      </c>
      <c r="F38" s="18" t="str">
        <f t="shared" si="0"/>
        <v/>
      </c>
      <c r="M38" s="26" t="str">
        <f>IF($C38="","",'Constant Ecs GBP'!M38*INDEX('Global Constants'!F$24:F$33,$F38))</f>
        <v/>
      </c>
      <c r="N38" s="26" t="str">
        <f>IF($C38="","",'Constant Ecs GBP'!N38*INDEX('Global Constants'!G$24:G$33,$F38))</f>
        <v/>
      </c>
      <c r="O38" s="26" t="str">
        <f>IF($C38="","",'Constant Ecs GBP'!O38*INDEX('Global Constants'!H$24:H$33,$F38))</f>
        <v/>
      </c>
      <c r="P38" s="26" t="str">
        <f>IF($C38="","",'Constant Ecs GBP'!P38*INDEX('Global Constants'!I$24:I$33,$F38))</f>
        <v/>
      </c>
      <c r="Q38" s="26" t="str">
        <f>IF($C38="","",'Constant Ecs GBP'!Q38*INDEX('Global Constants'!J$24:J$33,$F38))</f>
        <v/>
      </c>
      <c r="R38" s="26" t="str">
        <f>IF($C38="","",'Constant Ecs GBP'!R38*INDEX('Global Constants'!K$24:K$33,$F38))</f>
        <v/>
      </c>
      <c r="S38" s="26" t="str">
        <f>IF($C38="","",'Constant Ecs GBP'!S38*INDEX('Global Constants'!L$24:L$33,$F38))</f>
        <v/>
      </c>
      <c r="T38" s="26" t="str">
        <f>IF($C38="","",'Constant Ecs GBP'!T38*INDEX('Global Constants'!M$24:M$33,$F38))</f>
        <v/>
      </c>
      <c r="U38" s="26" t="str">
        <f>IF($C38="","",'Constant Ecs GBP'!U38*INDEX('Global Constants'!N$24:N$33,$F38))</f>
        <v/>
      </c>
      <c r="V38" s="26" t="str">
        <f>IF($C38="","",'Constant Ecs GBP'!V38*INDEX('Global Constants'!O$24:O$33,$F38))</f>
        <v/>
      </c>
      <c r="W38" s="26" t="str">
        <f>IF($C38="","",'Constant Ecs GBP'!W38*INDEX('Global Constants'!P$24:P$33,$F38))</f>
        <v/>
      </c>
      <c r="X38" s="26" t="str">
        <f>IF($C38="","",'Constant Ecs GBP'!X38*INDEX('Global Constants'!Q$24:Q$33,$F38))</f>
        <v/>
      </c>
      <c r="Y38" s="26" t="str">
        <f>IF($C38="","",'Constant Ecs GBP'!Y38*INDEX('Global Constants'!R$24:R$33,$F38))</f>
        <v/>
      </c>
      <c r="Z38" s="26" t="str">
        <f>IF($C38="","",'Constant Ecs GBP'!Z38*INDEX('Global Constants'!S$24:S$33,$F38))</f>
        <v/>
      </c>
      <c r="AA38" s="26" t="str">
        <f>IF($C38="","",'Constant Ecs GBP'!AA38*INDEX('Global Constants'!T$24:T$33,$F38))</f>
        <v/>
      </c>
      <c r="AB38" s="26" t="str">
        <f>IF($C38="","",'Constant Ecs GBP'!AB38*INDEX('Global Constants'!U$24:U$33,$F38))</f>
        <v/>
      </c>
      <c r="AC38" s="26" t="str">
        <f>IF($C38="","",'Constant Ecs GBP'!AC38*INDEX('Global Constants'!V$24:V$33,$F38))</f>
        <v/>
      </c>
      <c r="AD38" s="26" t="str">
        <f>IF($C38="","",'Constant Ecs GBP'!AD38*INDEX('Global Constants'!W$24:W$33,$F38))</f>
        <v/>
      </c>
      <c r="AE38" s="26" t="str">
        <f>IF($C38="","",'Constant Ecs GBP'!AE38*INDEX('Global Constants'!X$24:X$33,$F38))</f>
        <v/>
      </c>
      <c r="AF38" s="26" t="str">
        <f>IF($C38="","",'Constant Ecs GBP'!AF38*INDEX('Global Constants'!Y$24:Y$33,$F38))</f>
        <v/>
      </c>
      <c r="AG38" s="26" t="str">
        <f>IF($C38="","",'Constant Ecs GBP'!AG38*INDEX('Global Constants'!Z$24:Z$33,$F38))</f>
        <v/>
      </c>
      <c r="AH38" s="26" t="str">
        <f>IF($C38="","",'Constant Ecs GBP'!AH38*INDEX('Global Constants'!AA$24:AA$33,$F38))</f>
        <v/>
      </c>
      <c r="AI38" s="26" t="str">
        <f>IF($C38="","",'Constant Ecs GBP'!AI38*INDEX('Global Constants'!AB$24:AB$33,$F38))</f>
        <v/>
      </c>
      <c r="AJ38" s="26" t="str">
        <f>IF($C38="","",'Constant Ecs GBP'!AJ38*INDEX('Global Constants'!AC$24:AC$33,$F38))</f>
        <v/>
      </c>
      <c r="AK38" s="26" t="str">
        <f>IF($C38="","",'Constant Ecs GBP'!AK38*INDEX('Global Constants'!AD$24:AD$33,$F38))</f>
        <v/>
      </c>
      <c r="AL38" s="26" t="str">
        <f>IF($C38="","",'Constant Ecs GBP'!AL38*INDEX('Global Constants'!AE$24:AE$33,$F38))</f>
        <v/>
      </c>
      <c r="AM38" s="26" t="str">
        <f>IF($C38="","",'Constant Ecs GBP'!AM38*INDEX('Global Constants'!AF$24:AF$33,$F38))</f>
        <v/>
      </c>
      <c r="AN38" s="26" t="str">
        <f>IF($C38="","",'Constant Ecs GBP'!AN38*INDEX('Global Constants'!AG$24:AG$33,$F38))</f>
        <v/>
      </c>
      <c r="AO38" s="26" t="str">
        <f>IF($C38="","",'Constant Ecs GBP'!AO38*INDEX('Global Constants'!AH$24:AH$33,$F38))</f>
        <v/>
      </c>
      <c r="AP38" s="26" t="str">
        <f>IF($C38="","",'Constant Ecs GBP'!AP38*INDEX('Global Constants'!AI$24:AI$33,$F38))</f>
        <v/>
      </c>
      <c r="AQ38" s="26" t="str">
        <f>IF($C38="","",'Constant Ecs GBP'!AQ38*INDEX('Global Constants'!AJ$24:AJ$33,$F38))</f>
        <v/>
      </c>
      <c r="AR38" s="26" t="str">
        <f>IF($C38="","",'Constant Ecs GBP'!AR38*INDEX('Global Constants'!AK$24:AK$33,$F38))</f>
        <v/>
      </c>
      <c r="AS38" s="26" t="str">
        <f>IF($C38="","",'Constant Ecs GBP'!AS38*INDEX('Global Constants'!AL$24:AL$33,$F38))</f>
        <v/>
      </c>
      <c r="AT38" s="26" t="str">
        <f>IF($C38="","",'Constant Ecs GBP'!AT38*INDEX('Global Constants'!AM$24:AM$33,$F38))</f>
        <v/>
      </c>
      <c r="AU38" s="26" t="str">
        <f>IF($C38="","",'Constant Ecs GBP'!AU38*INDEX('Global Constants'!AN$24:AN$33,$F38))</f>
        <v/>
      </c>
      <c r="AV38" s="26" t="str">
        <f>IF($C38="","",'Constant Ecs GBP'!AV38*INDEX('Global Constants'!AO$24:AO$33,$F38))</f>
        <v/>
      </c>
      <c r="AW38" s="26" t="str">
        <f>IF($C38="","",'Constant Ecs GBP'!AW38*INDEX('Global Constants'!AP$24:AP$33,$F38))</f>
        <v/>
      </c>
      <c r="AX38" s="26" t="str">
        <f>IF($C38="","",'Constant Ecs GBP'!AX38*INDEX('Global Constants'!AQ$24:AQ$33,$F38))</f>
        <v/>
      </c>
      <c r="AY38" s="26" t="str">
        <f>IF($C38="","",'Constant Ecs GBP'!AY38*INDEX('Global Constants'!AR$24:AR$33,$F38))</f>
        <v/>
      </c>
      <c r="AZ38" s="26" t="str">
        <f>IF($C38="","",'Constant Ecs GBP'!AZ38*INDEX('Global Constants'!AS$24:AS$33,$F38))</f>
        <v/>
      </c>
      <c r="BA38" s="26" t="str">
        <f>IF($C38="","",'Constant Ecs GBP'!BA38*INDEX('Global Constants'!AT$24:AT$33,$F38))</f>
        <v/>
      </c>
      <c r="BB38" s="26" t="str">
        <f>IF($C38="","",'Constant Ecs GBP'!BB38*INDEX('Global Constants'!AU$24:AU$33,$F38))</f>
        <v/>
      </c>
      <c r="BC38" s="26" t="str">
        <f>IF($C38="","",'Constant Ecs GBP'!BC38*INDEX('Global Constants'!AV$24:AV$33,$F38))</f>
        <v/>
      </c>
      <c r="BD38" s="26" t="str">
        <f>IF($C38="","",'Constant Ecs GBP'!BD38*INDEX('Global Constants'!AW$24:AW$33,$F38))</f>
        <v/>
      </c>
      <c r="BE38" s="26" t="str">
        <f>IF($C38="","",'Constant Ecs GBP'!BE38*INDEX('Global Constants'!AX$24:AX$33,$F38))</f>
        <v/>
      </c>
      <c r="BF38" s="26" t="str">
        <f>IF($C38="","",'Constant Ecs GBP'!BF38*INDEX('Global Constants'!AY$24:AY$33,$F38))</f>
        <v/>
      </c>
      <c r="BG38" s="26" t="str">
        <f>IF($C38="","",'Constant Ecs GBP'!BG38*INDEX('Global Constants'!AZ$24:AZ$33,$F38))</f>
        <v/>
      </c>
      <c r="BH38" s="26" t="str">
        <f>IF($C38="","",'Constant Ecs GBP'!BH38*INDEX('Global Constants'!BA$24:BA$33,$F38))</f>
        <v/>
      </c>
      <c r="BI38" s="26" t="str">
        <f>IF($C38="","",'Constant Ecs GBP'!BI38*INDEX('Global Constants'!BB$24:BB$33,$F38))</f>
        <v/>
      </c>
      <c r="BJ38" s="26" t="str">
        <f>IF($C38="","",'Constant Ecs GBP'!BJ38*INDEX('Global Constants'!BC$24:BC$33,$F38))</f>
        <v/>
      </c>
      <c r="BK38" s="26" t="str">
        <f>IF($C38="","",'Constant Ecs GBP'!BK38*INDEX('Global Constants'!BD$24:BD$33,$F38))</f>
        <v/>
      </c>
      <c r="BL38" s="26" t="str">
        <f>IF($C38="","",'Constant Ecs GBP'!BL38*INDEX('Global Constants'!BE$24:BE$33,$F38))</f>
        <v/>
      </c>
      <c r="BM38" s="26" t="str">
        <f>IF($C38="","",'Constant Ecs GBP'!BM38*INDEX('Global Constants'!BF$24:BF$33,$F38))</f>
        <v/>
      </c>
      <c r="BN38" s="26" t="str">
        <f>IF($C38="","",'Constant Ecs GBP'!BN38*INDEX('Global Constants'!BG$24:BG$33,$F38))</f>
        <v/>
      </c>
      <c r="BO38" s="26" t="str">
        <f>IF($C38="","",'Constant Ecs GBP'!BO38*INDEX('Global Constants'!BH$24:BH$33,$F38))</f>
        <v/>
      </c>
      <c r="BP38" s="26" t="str">
        <f>IF($C38="","",'Constant Ecs GBP'!BP38*INDEX('Global Constants'!BI$24:BI$33,$F38))</f>
        <v/>
      </c>
      <c r="BQ38" s="26" t="str">
        <f>IF($C38="","",'Constant Ecs GBP'!BQ38*INDEX('Global Constants'!BJ$24:BJ$33,$F38))</f>
        <v/>
      </c>
      <c r="BR38" s="26" t="str">
        <f>IF($C38="","",'Constant Ecs GBP'!BR38*INDEX('Global Constants'!BK$24:BK$33,$F38))</f>
        <v/>
      </c>
      <c r="BS38" s="26" t="str">
        <f>IF($C38="","",'Constant Ecs GBP'!BS38*INDEX('Global Constants'!BL$24:BL$33,$F38))</f>
        <v/>
      </c>
      <c r="BT38" s="26" t="str">
        <f>IF($C38="","",'Constant Ecs GBP'!BT38*INDEX('Global Constants'!BM$24:BM$33,$F38))</f>
        <v/>
      </c>
      <c r="BU38" s="26" t="str">
        <f>IF($C38="","",'Constant Ecs GBP'!BU38*INDEX('Global Constants'!BN$24:BN$33,$F38))</f>
        <v/>
      </c>
      <c r="BV38" s="26" t="str">
        <f>IF($C38="","",'Constant Ecs GBP'!BV38*INDEX('Global Constants'!BO$24:BO$33,$F38))</f>
        <v/>
      </c>
      <c r="BW38" s="26" t="str">
        <f>IF($C38="","",'Constant Ecs GBP'!BW38*INDEX('Global Constants'!BP$24:BP$33,$F38))</f>
        <v/>
      </c>
      <c r="BX38" s="26" t="str">
        <f>IF($C38="","",'Constant Ecs GBP'!BX38*INDEX('Global Constants'!BQ$24:BQ$33,$F38))</f>
        <v/>
      </c>
      <c r="BY38" s="26" t="str">
        <f>IF($C38="","",'Constant Ecs GBP'!BY38*INDEX('Global Constants'!BR$24:BR$33,$F38))</f>
        <v/>
      </c>
      <c r="BZ38" s="26" t="str">
        <f>IF($C38="","",'Constant Ecs GBP'!BZ38*INDEX('Global Constants'!BS$24:BS$33,$F38))</f>
        <v/>
      </c>
      <c r="CA38" s="26" t="str">
        <f>IF($C38="","",'Constant Ecs GBP'!CA38*INDEX('Global Constants'!BT$24:BT$33,$F38))</f>
        <v/>
      </c>
      <c r="CB38" s="26" t="str">
        <f>IF($C38="","",'Constant Ecs GBP'!CB38*INDEX('Global Constants'!BU$24:BU$33,$F38))</f>
        <v/>
      </c>
      <c r="CC38" s="26" t="str">
        <f>IF($C38="","",'Constant Ecs GBP'!CC38*INDEX('Global Constants'!BV$24:BV$33,$F38))</f>
        <v/>
      </c>
      <c r="CD38" s="26" t="str">
        <f>IF($C38="","",'Constant Ecs GBP'!CD38*INDEX('Global Constants'!BW$24:BW$33,$F38))</f>
        <v/>
      </c>
      <c r="CE38" s="26" t="str">
        <f>IF($C38="","",'Constant Ecs GBP'!CE38*INDEX('Global Constants'!BX$24:BX$33,$F38))</f>
        <v/>
      </c>
      <c r="CF38" s="26" t="str">
        <f>IF($C38="","",'Constant Ecs GBP'!CF38*INDEX('Global Constants'!BY$24:BY$33,$F38))</f>
        <v/>
      </c>
      <c r="CG38" s="26" t="str">
        <f>IF($C38="","",'Constant Ecs GBP'!CG38*INDEX('Global Constants'!BZ$24:BZ$33,$F38))</f>
        <v/>
      </c>
      <c r="CH38" s="26" t="str">
        <f>IF($C38="","",'Constant Ecs GBP'!CH38*INDEX('Global Constants'!CA$24:CA$33,$F38))</f>
        <v/>
      </c>
      <c r="CI38" s="26" t="str">
        <f>IF($C38="","",'Constant Ecs GBP'!CI38*INDEX('Global Constants'!CB$24:CB$33,$F38))</f>
        <v/>
      </c>
      <c r="CJ38" s="26" t="str">
        <f>IF($C38="","",'Constant Ecs GBP'!CJ38*INDEX('Global Constants'!CC$24:CC$33,$F38))</f>
        <v/>
      </c>
      <c r="CK38" s="26" t="str">
        <f>IF($C38="","",'Constant Ecs GBP'!CK38*INDEX('Global Constants'!CD$24:CD$33,$F38))</f>
        <v/>
      </c>
      <c r="CL38" s="26" t="str">
        <f>IF($C38="","",'Constant Ecs GBP'!CL38*INDEX('Global Constants'!CE$24:CE$33,$F38))</f>
        <v/>
      </c>
      <c r="CM38" s="26" t="str">
        <f>IF($C38="","",'Constant Ecs GBP'!CM38*INDEX('Global Constants'!CF$24:CF$33,$F38))</f>
        <v/>
      </c>
      <c r="CN38" s="26" t="str">
        <f>IF($C38="","",'Constant Ecs GBP'!CN38*INDEX('Global Constants'!CG$24:CG$33,$F38))</f>
        <v/>
      </c>
      <c r="CO38" s="26" t="str">
        <f>IF($C38="","",'Constant Ecs GBP'!CO38*INDEX('Global Constants'!CH$24:CH$33,$F38))</f>
        <v/>
      </c>
      <c r="CP38" s="26" t="str">
        <f>IF($C38="","",'Constant Ecs GBP'!CP38*INDEX('Global Constants'!CI$24:CI$33,$F38))</f>
        <v/>
      </c>
      <c r="CQ38" s="26" t="str">
        <f>IF($C38="","",'Constant Ecs GBP'!CQ38*INDEX('Global Constants'!CJ$24:CJ$33,$F38))</f>
        <v/>
      </c>
      <c r="CR38" s="26" t="str">
        <f>IF($C38="","",'Constant Ecs GBP'!CR38*INDEX('Global Constants'!CK$24:CK$33,$F38))</f>
        <v/>
      </c>
      <c r="CS38" s="26" t="str">
        <f>IF($C38="","",'Constant Ecs GBP'!CS38*INDEX('Global Constants'!CL$24:CL$33,$F38))</f>
        <v/>
      </c>
      <c r="CT38" s="26" t="str">
        <f>IF($C38="","",'Constant Ecs GBP'!CT38*INDEX('Global Constants'!CM$24:CM$33,$F38))</f>
        <v/>
      </c>
      <c r="CU38" s="26" t="str">
        <f>IF($C38="","",'Constant Ecs GBP'!CU38*INDEX('Global Constants'!CN$24:CN$33,$F38))</f>
        <v/>
      </c>
      <c r="CV38" s="26" t="str">
        <f>IF($C38="","",'Constant Ecs GBP'!CV38*INDEX('Global Constants'!CO$24:CO$33,$F38))</f>
        <v/>
      </c>
      <c r="CW38" s="26" t="str">
        <f>IF($C38="","",'Constant Ecs GBP'!CW38*INDEX('Global Constants'!CP$24:CP$33,$F38))</f>
        <v/>
      </c>
      <c r="CX38" s="26" t="str">
        <f>IF($C38="","",'Constant Ecs GBP'!CX38*INDEX('Global Constants'!CQ$24:CQ$33,$F38))</f>
        <v/>
      </c>
      <c r="CZ38" s="26">
        <f t="shared" ca="1" si="1"/>
        <v>0</v>
      </c>
      <c r="DA38" s="26">
        <f t="shared" si="2"/>
        <v>0</v>
      </c>
    </row>
  </sheetData>
  <conditionalFormatting sqref="A1">
    <cfRule type="cellIs" dxfId="13" priority="2" operator="equal">
      <formula>1</formula>
    </cfRule>
  </conditionalFormatting>
  <conditionalFormatting sqref="D1">
    <cfRule type="cellIs" dxfId="12" priority="1" operator="equal">
      <formula>"Error"</formula>
    </cfRule>
  </conditionalFormatting>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79998168889431442"/>
  </sheetPr>
  <dimension ref="A1:DA38"/>
  <sheetViews>
    <sheetView showGridLines="0" workbookViewId="0">
      <pane xSplit="3" ySplit="8" topLeftCell="D9" activePane="bottomRight" state="frozenSplit"/>
      <selection pane="topRight" activeCell="D1" sqref="D1"/>
      <selection pane="bottomLeft" activeCell="A9" sqref="A9"/>
      <selection pane="bottomRight"/>
    </sheetView>
  </sheetViews>
  <sheetFormatPr defaultRowHeight="14.4" x14ac:dyDescent="0.3"/>
  <cols>
    <col min="1" max="2" width="2.77734375" customWidth="1"/>
    <col min="3" max="3" width="22.77734375" bestFit="1" customWidth="1"/>
    <col min="4" max="4" width="11.5546875" bestFit="1" customWidth="1"/>
    <col min="5" max="5" width="11.5546875" customWidth="1"/>
    <col min="6" max="6" width="10.21875" bestFit="1" customWidth="1"/>
    <col min="7" max="7" width="2.77734375" customWidth="1"/>
    <col min="8" max="8" width="14" bestFit="1" customWidth="1"/>
    <col min="9" max="9" width="2.77734375" customWidth="1"/>
    <col min="10" max="10" width="2.77734375" hidden="1" customWidth="1"/>
    <col min="11" max="11" width="13.6640625" hidden="1" customWidth="1"/>
    <col min="12" max="12" width="14" hidden="1" customWidth="1"/>
    <col min="13" max="14" width="10.5546875" customWidth="1"/>
    <col min="15" max="16" width="10.5546875" bestFit="1" customWidth="1"/>
    <col min="17" max="17" width="10.5546875" customWidth="1"/>
    <col min="18" max="30" width="10.5546875" bestFit="1" customWidth="1"/>
    <col min="31" max="34" width="10.88671875" bestFit="1" customWidth="1"/>
    <col min="35" max="102" width="10.5546875" bestFit="1" customWidth="1"/>
    <col min="104" max="104" width="11.88671875" bestFit="1" customWidth="1"/>
    <col min="105" max="105" width="9.33203125" bestFit="1" customWidth="1"/>
  </cols>
  <sheetData>
    <row r="1" spans="1:105" x14ac:dyDescent="0.3">
      <c r="A1" s="33">
        <f ca="1">IF(ISERROR(SUM(C6:DA38)),1,0)</f>
        <v>0</v>
      </c>
      <c r="C1" t="s">
        <v>79</v>
      </c>
      <c r="D1" s="33" t="str">
        <f ca="1">Model_Health</f>
        <v>OK</v>
      </c>
    </row>
    <row r="3" spans="1:105" ht="21" x14ac:dyDescent="0.4">
      <c r="C3" s="3" t="s">
        <v>62</v>
      </c>
      <c r="D3" s="3"/>
      <c r="E3" s="3"/>
    </row>
    <row r="4" spans="1:105" x14ac:dyDescent="0.3">
      <c r="C4" s="65" t="s">
        <v>152</v>
      </c>
    </row>
    <row r="6" spans="1:105" x14ac:dyDescent="0.3">
      <c r="C6" t="s">
        <v>98</v>
      </c>
      <c r="M6" s="22" t="str">
        <f>Timeline!F14</f>
        <v>19/20</v>
      </c>
      <c r="N6" s="22" t="str">
        <f>Timeline!G14</f>
        <v>20/21</v>
      </c>
      <c r="O6" s="22" t="str">
        <f>Timeline!H14</f>
        <v>21/22</v>
      </c>
      <c r="P6" s="22" t="str">
        <f>Timeline!I14</f>
        <v>22/23</v>
      </c>
      <c r="Q6" s="22" t="str">
        <f>Timeline!J14</f>
        <v>23/24</v>
      </c>
      <c r="R6" s="22" t="str">
        <f>Timeline!K14</f>
        <v>24/25</v>
      </c>
      <c r="S6" s="22" t="str">
        <f>Timeline!L14</f>
        <v>25/26</v>
      </c>
      <c r="T6" s="22" t="str">
        <f>Timeline!M14</f>
        <v>26/27</v>
      </c>
      <c r="U6" s="22" t="str">
        <f>Timeline!N14</f>
        <v>27/28</v>
      </c>
      <c r="V6" s="22" t="str">
        <f>Timeline!O14</f>
        <v>28/29</v>
      </c>
      <c r="W6" s="22" t="str">
        <f>Timeline!P14</f>
        <v>29/30</v>
      </c>
      <c r="X6" s="22" t="str">
        <f>Timeline!Q14</f>
        <v>30/31</v>
      </c>
      <c r="Y6" s="22" t="str">
        <f>Timeline!R14</f>
        <v>31/32</v>
      </c>
      <c r="Z6" s="22" t="str">
        <f>Timeline!S14</f>
        <v>32/33</v>
      </c>
      <c r="AA6" s="22" t="str">
        <f>Timeline!T14</f>
        <v>33/34</v>
      </c>
      <c r="AB6" s="22" t="str">
        <f>Timeline!U14</f>
        <v>34/35</v>
      </c>
      <c r="AC6" s="22" t="str">
        <f>Timeline!V14</f>
        <v>35/36</v>
      </c>
      <c r="AD6" s="22" t="str">
        <f>Timeline!W14</f>
        <v>36/37</v>
      </c>
      <c r="AE6" s="22" t="str">
        <f>Timeline!X14</f>
        <v>37/38</v>
      </c>
      <c r="AF6" s="22" t="str">
        <f>Timeline!Y14</f>
        <v>38/39</v>
      </c>
      <c r="AG6" s="22" t="str">
        <f>Timeline!Z14</f>
        <v>39/40</v>
      </c>
      <c r="AH6" s="22" t="str">
        <f>Timeline!AA14</f>
        <v>40/41</v>
      </c>
      <c r="AI6" s="22" t="str">
        <f>Timeline!AB14</f>
        <v>41/42</v>
      </c>
      <c r="AJ6" s="22" t="str">
        <f>Timeline!AC14</f>
        <v>42/43</v>
      </c>
      <c r="AK6" s="22" t="str">
        <f>Timeline!AD14</f>
        <v>43/44</v>
      </c>
      <c r="AL6" s="22" t="str">
        <f>Timeline!AE14</f>
        <v>44/45</v>
      </c>
      <c r="AM6" s="22" t="str">
        <f>Timeline!AF14</f>
        <v>45/46</v>
      </c>
      <c r="AN6" s="22" t="str">
        <f>Timeline!AG14</f>
        <v>46/47</v>
      </c>
      <c r="AO6" s="22" t="str">
        <f>Timeline!AH14</f>
        <v>47/48</v>
      </c>
      <c r="AP6" s="22" t="str">
        <f>Timeline!AI14</f>
        <v>48/49</v>
      </c>
      <c r="AQ6" s="22" t="str">
        <f>Timeline!AJ14</f>
        <v>49/50</v>
      </c>
      <c r="AR6" s="22" t="str">
        <f>Timeline!AK14</f>
        <v>50/51</v>
      </c>
      <c r="AS6" s="22" t="str">
        <f>Timeline!AL14</f>
        <v>51/52</v>
      </c>
      <c r="AT6" s="22" t="str">
        <f>Timeline!AM14</f>
        <v>52/53</v>
      </c>
      <c r="AU6" s="22" t="str">
        <f>Timeline!AN14</f>
        <v>53/54</v>
      </c>
      <c r="AV6" s="22" t="str">
        <f>Timeline!AO14</f>
        <v>54/55</v>
      </c>
      <c r="AW6" s="22" t="str">
        <f>Timeline!AP14</f>
        <v>55/56</v>
      </c>
      <c r="AX6" s="22" t="str">
        <f>Timeline!AQ14</f>
        <v>56/57</v>
      </c>
      <c r="AY6" s="22" t="str">
        <f>Timeline!AR14</f>
        <v>57/58</v>
      </c>
      <c r="AZ6" s="22" t="str">
        <f>Timeline!AS14</f>
        <v>58/59</v>
      </c>
      <c r="BA6" s="22" t="str">
        <f>Timeline!AT14</f>
        <v>59/60</v>
      </c>
      <c r="BB6" s="22" t="str">
        <f>Timeline!AU14</f>
        <v>60/61</v>
      </c>
      <c r="BC6" s="22" t="str">
        <f>Timeline!AV14</f>
        <v>61/62</v>
      </c>
      <c r="BD6" s="22" t="str">
        <f>Timeline!AW14</f>
        <v>62/63</v>
      </c>
      <c r="BE6" s="22" t="str">
        <f>Timeline!AX14</f>
        <v>63/64</v>
      </c>
      <c r="BF6" s="22" t="str">
        <f>Timeline!AY14</f>
        <v>64/65</v>
      </c>
      <c r="BG6" s="22" t="str">
        <f>Timeline!AZ14</f>
        <v>65/66</v>
      </c>
      <c r="BH6" s="22" t="str">
        <f>Timeline!BA14</f>
        <v>66/67</v>
      </c>
      <c r="BI6" s="22" t="str">
        <f>Timeline!BB14</f>
        <v>67/68</v>
      </c>
      <c r="BJ6" s="22" t="str">
        <f>Timeline!BC14</f>
        <v>68/69</v>
      </c>
      <c r="BK6" s="22" t="str">
        <f>Timeline!BD14</f>
        <v>69/70</v>
      </c>
      <c r="BL6" s="22" t="str">
        <f>Timeline!BE14</f>
        <v>70/71</v>
      </c>
      <c r="BM6" s="22" t="str">
        <f>Timeline!BF14</f>
        <v>71/72</v>
      </c>
      <c r="BN6" s="22" t="str">
        <f>Timeline!BG14</f>
        <v>72/73</v>
      </c>
      <c r="BO6" s="22" t="str">
        <f>Timeline!BH14</f>
        <v>73/74</v>
      </c>
      <c r="BP6" s="22" t="str">
        <f>Timeline!BI14</f>
        <v>74/75</v>
      </c>
      <c r="BQ6" s="22" t="str">
        <f>Timeline!BJ14</f>
        <v>75/76</v>
      </c>
      <c r="BR6" s="22" t="str">
        <f>Timeline!BK14</f>
        <v>76/77</v>
      </c>
      <c r="BS6" s="22" t="str">
        <f>Timeline!BL14</f>
        <v>77/78</v>
      </c>
      <c r="BT6" s="22" t="str">
        <f>Timeline!BM14</f>
        <v>78/79</v>
      </c>
      <c r="BU6" s="22" t="str">
        <f>Timeline!BN14</f>
        <v>79/80</v>
      </c>
      <c r="BV6" s="22" t="str">
        <f>Timeline!BO14</f>
        <v>80/81</v>
      </c>
      <c r="BW6" s="22" t="str">
        <f>Timeline!BP14</f>
        <v>81/82</v>
      </c>
      <c r="BX6" s="22" t="str">
        <f>Timeline!BQ14</f>
        <v>82/83</v>
      </c>
      <c r="BY6" s="22" t="str">
        <f>Timeline!BR14</f>
        <v>83/84</v>
      </c>
      <c r="BZ6" s="22" t="str">
        <f>Timeline!BS14</f>
        <v>84/85</v>
      </c>
      <c r="CA6" s="22" t="str">
        <f>Timeline!BT14</f>
        <v>85/86</v>
      </c>
      <c r="CB6" s="22" t="str">
        <f>Timeline!BU14</f>
        <v>86/87</v>
      </c>
      <c r="CC6" s="22" t="str">
        <f>Timeline!BV14</f>
        <v>87/88</v>
      </c>
      <c r="CD6" s="22" t="str">
        <f>Timeline!BW14</f>
        <v>88/89</v>
      </c>
      <c r="CE6" s="22" t="str">
        <f>Timeline!BX14</f>
        <v>89/90</v>
      </c>
      <c r="CF6" s="22" t="str">
        <f>Timeline!BY14</f>
        <v>90/91</v>
      </c>
      <c r="CG6" s="22" t="str">
        <f>Timeline!BZ14</f>
        <v>91/92</v>
      </c>
      <c r="CH6" s="22" t="str">
        <f>Timeline!CA14</f>
        <v>92/93</v>
      </c>
      <c r="CI6" s="22" t="str">
        <f>Timeline!CB14</f>
        <v>93/94</v>
      </c>
      <c r="CJ6" s="22" t="str">
        <f>Timeline!CC14</f>
        <v>94/95</v>
      </c>
      <c r="CK6" s="22" t="str">
        <f>Timeline!CD14</f>
        <v>95/96</v>
      </c>
      <c r="CL6" s="22" t="str">
        <f>Timeline!CE14</f>
        <v>96/97</v>
      </c>
      <c r="CM6" s="22" t="str">
        <f>Timeline!CF14</f>
        <v>97/98</v>
      </c>
      <c r="CN6" s="22" t="str">
        <f>Timeline!CG14</f>
        <v>98/99</v>
      </c>
      <c r="CO6" s="22" t="str">
        <f>Timeline!CH14</f>
        <v>99/00</v>
      </c>
      <c r="CP6" s="22" t="str">
        <f>Timeline!CI14</f>
        <v>00/01</v>
      </c>
      <c r="CQ6" s="22" t="str">
        <f>Timeline!CJ14</f>
        <v>01/02</v>
      </c>
      <c r="CR6" s="22" t="str">
        <f>Timeline!CK14</f>
        <v>02/03</v>
      </c>
      <c r="CS6" s="22" t="str">
        <f>Timeline!CL14</f>
        <v>03/04</v>
      </c>
      <c r="CT6" s="22" t="str">
        <f>Timeline!CM14</f>
        <v>04/05</v>
      </c>
      <c r="CU6" s="22" t="str">
        <f>Timeline!CN14</f>
        <v>05/06</v>
      </c>
      <c r="CV6" s="22" t="str">
        <f>Timeline!CO14</f>
        <v>06/07</v>
      </c>
      <c r="CW6" s="22" t="str">
        <f>Timeline!CP14</f>
        <v>07/08</v>
      </c>
      <c r="CX6" s="22" t="str">
        <f>Timeline!CQ14</f>
        <v>08/09</v>
      </c>
    </row>
    <row r="7" spans="1:105" x14ac:dyDescent="0.3">
      <c r="M7" s="21">
        <f>Timeline!F15</f>
        <v>43556</v>
      </c>
      <c r="N7" s="21">
        <f>Timeline!G15</f>
        <v>43922</v>
      </c>
      <c r="O7" s="21">
        <f>Timeline!H15</f>
        <v>44287</v>
      </c>
      <c r="P7" s="21">
        <f>Timeline!I15</f>
        <v>44652</v>
      </c>
      <c r="Q7" s="21">
        <f>Timeline!J15</f>
        <v>45017</v>
      </c>
      <c r="R7" s="21">
        <f>Timeline!K15</f>
        <v>45383</v>
      </c>
      <c r="S7" s="21">
        <f>Timeline!L15</f>
        <v>45748</v>
      </c>
      <c r="T7" s="21">
        <f>Timeline!M15</f>
        <v>46113</v>
      </c>
      <c r="U7" s="21">
        <f>Timeline!N15</f>
        <v>46478</v>
      </c>
      <c r="V7" s="21">
        <f>Timeline!O15</f>
        <v>46844</v>
      </c>
      <c r="W7" s="21">
        <f>Timeline!P15</f>
        <v>47209</v>
      </c>
      <c r="X7" s="21">
        <f>Timeline!Q15</f>
        <v>47574</v>
      </c>
      <c r="Y7" s="21">
        <f>Timeline!R15</f>
        <v>47939</v>
      </c>
      <c r="Z7" s="21">
        <f>Timeline!S15</f>
        <v>48305</v>
      </c>
      <c r="AA7" s="21">
        <f>Timeline!T15</f>
        <v>48670</v>
      </c>
      <c r="AB7" s="21">
        <f>Timeline!U15</f>
        <v>49035</v>
      </c>
      <c r="AC7" s="21">
        <f>Timeline!V15</f>
        <v>49400</v>
      </c>
      <c r="AD7" s="21">
        <f>Timeline!W15</f>
        <v>49766</v>
      </c>
      <c r="AE7" s="21">
        <f>Timeline!X15</f>
        <v>50131</v>
      </c>
      <c r="AF7" s="21">
        <f>Timeline!Y15</f>
        <v>50496</v>
      </c>
      <c r="AG7" s="21">
        <f>Timeline!Z15</f>
        <v>50861</v>
      </c>
      <c r="AH7" s="21">
        <f>Timeline!AA15</f>
        <v>51227</v>
      </c>
      <c r="AI7" s="21">
        <f>Timeline!AB15</f>
        <v>51592</v>
      </c>
      <c r="AJ7" s="21">
        <f>Timeline!AC15</f>
        <v>51957</v>
      </c>
      <c r="AK7" s="21">
        <f>Timeline!AD15</f>
        <v>52322</v>
      </c>
      <c r="AL7" s="21">
        <f>Timeline!AE15</f>
        <v>52688</v>
      </c>
      <c r="AM7" s="21">
        <f>Timeline!AF15</f>
        <v>53053</v>
      </c>
      <c r="AN7" s="21">
        <f>Timeline!AG15</f>
        <v>53418</v>
      </c>
      <c r="AO7" s="21">
        <f>Timeline!AH15</f>
        <v>53783</v>
      </c>
      <c r="AP7" s="21">
        <f>Timeline!AI15</f>
        <v>54149</v>
      </c>
      <c r="AQ7" s="21">
        <f>Timeline!AJ15</f>
        <v>54514</v>
      </c>
      <c r="AR7" s="21">
        <f>Timeline!AK15</f>
        <v>54879</v>
      </c>
      <c r="AS7" s="21">
        <f>Timeline!AL15</f>
        <v>55244</v>
      </c>
      <c r="AT7" s="21">
        <f>Timeline!AM15</f>
        <v>55610</v>
      </c>
      <c r="AU7" s="21">
        <f>Timeline!AN15</f>
        <v>55975</v>
      </c>
      <c r="AV7" s="21">
        <f>Timeline!AO15</f>
        <v>56340</v>
      </c>
      <c r="AW7" s="21">
        <f>Timeline!AP15</f>
        <v>56705</v>
      </c>
      <c r="AX7" s="21">
        <f>Timeline!AQ15</f>
        <v>57071</v>
      </c>
      <c r="AY7" s="21">
        <f>Timeline!AR15</f>
        <v>57436</v>
      </c>
      <c r="AZ7" s="21">
        <f>Timeline!AS15</f>
        <v>57801</v>
      </c>
      <c r="BA7" s="21">
        <f>Timeline!AT15</f>
        <v>58166</v>
      </c>
      <c r="BB7" s="21">
        <f>Timeline!AU15</f>
        <v>58532</v>
      </c>
      <c r="BC7" s="21">
        <f>Timeline!AV15</f>
        <v>58897</v>
      </c>
      <c r="BD7" s="21">
        <f>Timeline!AW15</f>
        <v>59262</v>
      </c>
      <c r="BE7" s="21">
        <f>Timeline!AX15</f>
        <v>59627</v>
      </c>
      <c r="BF7" s="21">
        <f>Timeline!AY15</f>
        <v>59993</v>
      </c>
      <c r="BG7" s="21">
        <f>Timeline!AZ15</f>
        <v>60358</v>
      </c>
      <c r="BH7" s="21">
        <f>Timeline!BA15</f>
        <v>60723</v>
      </c>
      <c r="BI7" s="21">
        <f>Timeline!BB15</f>
        <v>61088</v>
      </c>
      <c r="BJ7" s="21">
        <f>Timeline!BC15</f>
        <v>61454</v>
      </c>
      <c r="BK7" s="21">
        <f>Timeline!BD15</f>
        <v>61819</v>
      </c>
      <c r="BL7" s="21">
        <f>Timeline!BE15</f>
        <v>62184</v>
      </c>
      <c r="BM7" s="21">
        <f>Timeline!BF15</f>
        <v>62549</v>
      </c>
      <c r="BN7" s="21">
        <f>Timeline!BG15</f>
        <v>62915</v>
      </c>
      <c r="BO7" s="21">
        <f>Timeline!BH15</f>
        <v>63280</v>
      </c>
      <c r="BP7" s="21">
        <f>Timeline!BI15</f>
        <v>63645</v>
      </c>
      <c r="BQ7" s="21">
        <f>Timeline!BJ15</f>
        <v>64010</v>
      </c>
      <c r="BR7" s="21">
        <f>Timeline!BK15</f>
        <v>64376</v>
      </c>
      <c r="BS7" s="21">
        <f>Timeline!BL15</f>
        <v>64741</v>
      </c>
      <c r="BT7" s="21">
        <f>Timeline!BM15</f>
        <v>65106</v>
      </c>
      <c r="BU7" s="21">
        <f>Timeline!BN15</f>
        <v>65471</v>
      </c>
      <c r="BV7" s="21">
        <f>Timeline!BO15</f>
        <v>65837</v>
      </c>
      <c r="BW7" s="21">
        <f>Timeline!BP15</f>
        <v>66202</v>
      </c>
      <c r="BX7" s="21">
        <f>Timeline!BQ15</f>
        <v>66567</v>
      </c>
      <c r="BY7" s="21">
        <f>Timeline!BR15</f>
        <v>66932</v>
      </c>
      <c r="BZ7" s="21">
        <f>Timeline!BS15</f>
        <v>67298</v>
      </c>
      <c r="CA7" s="21">
        <f>Timeline!BT15</f>
        <v>67663</v>
      </c>
      <c r="CB7" s="21">
        <f>Timeline!BU15</f>
        <v>68028</v>
      </c>
      <c r="CC7" s="21">
        <f>Timeline!BV15</f>
        <v>68393</v>
      </c>
      <c r="CD7" s="21">
        <f>Timeline!BW15</f>
        <v>68759</v>
      </c>
      <c r="CE7" s="21">
        <f>Timeline!BX15</f>
        <v>69124</v>
      </c>
      <c r="CF7" s="21">
        <f>Timeline!BY15</f>
        <v>69489</v>
      </c>
      <c r="CG7" s="21">
        <f>Timeline!BZ15</f>
        <v>69854</v>
      </c>
      <c r="CH7" s="21">
        <f>Timeline!CA15</f>
        <v>70220</v>
      </c>
      <c r="CI7" s="21">
        <f>Timeline!CB15</f>
        <v>70585</v>
      </c>
      <c r="CJ7" s="21">
        <f>Timeline!CC15</f>
        <v>70950</v>
      </c>
      <c r="CK7" s="21">
        <f>Timeline!CD15</f>
        <v>71315</v>
      </c>
      <c r="CL7" s="21">
        <f>Timeline!CE15</f>
        <v>71681</v>
      </c>
      <c r="CM7" s="21">
        <f>Timeline!CF15</f>
        <v>72046</v>
      </c>
      <c r="CN7" s="21">
        <f>Timeline!CG15</f>
        <v>72411</v>
      </c>
      <c r="CO7" s="21">
        <f>Timeline!CH15</f>
        <v>72776</v>
      </c>
      <c r="CP7" s="21">
        <f>Timeline!CI15</f>
        <v>73141</v>
      </c>
      <c r="CQ7" s="21">
        <f>Timeline!CJ15</f>
        <v>73506</v>
      </c>
      <c r="CR7" s="21">
        <f>Timeline!CK15</f>
        <v>73871</v>
      </c>
      <c r="CS7" s="21">
        <f>Timeline!CL15</f>
        <v>74236</v>
      </c>
      <c r="CT7" s="21">
        <f>Timeline!CM15</f>
        <v>74602</v>
      </c>
      <c r="CU7" s="21">
        <f>Timeline!CN15</f>
        <v>74967</v>
      </c>
      <c r="CV7" s="21">
        <f>Timeline!CO15</f>
        <v>75332</v>
      </c>
      <c r="CW7" s="21">
        <f>Timeline!CP15</f>
        <v>75697</v>
      </c>
      <c r="CX7" s="21">
        <f>Timeline!CQ15</f>
        <v>76063</v>
      </c>
    </row>
    <row r="8" spans="1:105" x14ac:dyDescent="0.3">
      <c r="C8" s="11" t="s">
        <v>22</v>
      </c>
      <c r="D8" s="11" t="s">
        <v>5</v>
      </c>
      <c r="E8" s="11" t="s">
        <v>24</v>
      </c>
      <c r="F8" s="11" t="s">
        <v>7</v>
      </c>
      <c r="H8" s="12" t="s">
        <v>173</v>
      </c>
      <c r="M8" s="21">
        <f>Timeline!F16</f>
        <v>43921</v>
      </c>
      <c r="N8" s="21">
        <f>Timeline!G16</f>
        <v>44286</v>
      </c>
      <c r="O8" s="21">
        <f>Timeline!H16</f>
        <v>44651</v>
      </c>
      <c r="P8" s="21">
        <f>Timeline!I16</f>
        <v>45016</v>
      </c>
      <c r="Q8" s="21">
        <f>Timeline!J16</f>
        <v>45382</v>
      </c>
      <c r="R8" s="21">
        <f>Timeline!K16</f>
        <v>45747</v>
      </c>
      <c r="S8" s="21">
        <f>Timeline!L16</f>
        <v>46112</v>
      </c>
      <c r="T8" s="21">
        <f>Timeline!M16</f>
        <v>46477</v>
      </c>
      <c r="U8" s="21">
        <f>Timeline!N16</f>
        <v>46843</v>
      </c>
      <c r="V8" s="21">
        <f>Timeline!O16</f>
        <v>47208</v>
      </c>
      <c r="W8" s="21">
        <f>Timeline!P16</f>
        <v>47573</v>
      </c>
      <c r="X8" s="21">
        <f>Timeline!Q16</f>
        <v>47938</v>
      </c>
      <c r="Y8" s="21">
        <f>Timeline!R16</f>
        <v>48304</v>
      </c>
      <c r="Z8" s="21">
        <f>Timeline!S16</f>
        <v>48669</v>
      </c>
      <c r="AA8" s="21">
        <f>Timeline!T16</f>
        <v>49034</v>
      </c>
      <c r="AB8" s="21">
        <f>Timeline!U16</f>
        <v>49399</v>
      </c>
      <c r="AC8" s="21">
        <f>Timeline!V16</f>
        <v>49765</v>
      </c>
      <c r="AD8" s="21">
        <f>Timeline!W16</f>
        <v>50130</v>
      </c>
      <c r="AE8" s="21">
        <f>Timeline!X16</f>
        <v>50495</v>
      </c>
      <c r="AF8" s="21">
        <f>Timeline!Y16</f>
        <v>50860</v>
      </c>
      <c r="AG8" s="21">
        <f>Timeline!Z16</f>
        <v>51226</v>
      </c>
      <c r="AH8" s="21">
        <f>Timeline!AA16</f>
        <v>51591</v>
      </c>
      <c r="AI8" s="21">
        <f>Timeline!AB16</f>
        <v>51956</v>
      </c>
      <c r="AJ8" s="21">
        <f>Timeline!AC16</f>
        <v>52321</v>
      </c>
      <c r="AK8" s="21">
        <f>Timeline!AD16</f>
        <v>52687</v>
      </c>
      <c r="AL8" s="21">
        <f>Timeline!AE16</f>
        <v>53052</v>
      </c>
      <c r="AM8" s="21">
        <f>Timeline!AF16</f>
        <v>53417</v>
      </c>
      <c r="AN8" s="21">
        <f>Timeline!AG16</f>
        <v>53782</v>
      </c>
      <c r="AO8" s="21">
        <f>Timeline!AH16</f>
        <v>54148</v>
      </c>
      <c r="AP8" s="21">
        <f>Timeline!AI16</f>
        <v>54513</v>
      </c>
      <c r="AQ8" s="21">
        <f>Timeline!AJ16</f>
        <v>54878</v>
      </c>
      <c r="AR8" s="21">
        <f>Timeline!AK16</f>
        <v>55243</v>
      </c>
      <c r="AS8" s="21">
        <f>Timeline!AL16</f>
        <v>55609</v>
      </c>
      <c r="AT8" s="21">
        <f>Timeline!AM16</f>
        <v>55974</v>
      </c>
      <c r="AU8" s="21">
        <f>Timeline!AN16</f>
        <v>56339</v>
      </c>
      <c r="AV8" s="21">
        <f>Timeline!AO16</f>
        <v>56704</v>
      </c>
      <c r="AW8" s="21">
        <f>Timeline!AP16</f>
        <v>57070</v>
      </c>
      <c r="AX8" s="21">
        <f>Timeline!AQ16</f>
        <v>57435</v>
      </c>
      <c r="AY8" s="21">
        <f>Timeline!AR16</f>
        <v>57800</v>
      </c>
      <c r="AZ8" s="21">
        <f>Timeline!AS16</f>
        <v>58165</v>
      </c>
      <c r="BA8" s="21">
        <f>Timeline!AT16</f>
        <v>58531</v>
      </c>
      <c r="BB8" s="21">
        <f>Timeline!AU16</f>
        <v>58896</v>
      </c>
      <c r="BC8" s="21">
        <f>Timeline!AV16</f>
        <v>59261</v>
      </c>
      <c r="BD8" s="21">
        <f>Timeline!AW16</f>
        <v>59626</v>
      </c>
      <c r="BE8" s="21">
        <f>Timeline!AX16</f>
        <v>59992</v>
      </c>
      <c r="BF8" s="21">
        <f>Timeline!AY16</f>
        <v>60357</v>
      </c>
      <c r="BG8" s="21">
        <f>Timeline!AZ16</f>
        <v>60722</v>
      </c>
      <c r="BH8" s="21">
        <f>Timeline!BA16</f>
        <v>61087</v>
      </c>
      <c r="BI8" s="21">
        <f>Timeline!BB16</f>
        <v>61453</v>
      </c>
      <c r="BJ8" s="21">
        <f>Timeline!BC16</f>
        <v>61818</v>
      </c>
      <c r="BK8" s="21">
        <f>Timeline!BD16</f>
        <v>62183</v>
      </c>
      <c r="BL8" s="21">
        <f>Timeline!BE16</f>
        <v>62548</v>
      </c>
      <c r="BM8" s="21">
        <f>Timeline!BF16</f>
        <v>62914</v>
      </c>
      <c r="BN8" s="21">
        <f>Timeline!BG16</f>
        <v>63279</v>
      </c>
      <c r="BO8" s="21">
        <f>Timeline!BH16</f>
        <v>63644</v>
      </c>
      <c r="BP8" s="21">
        <f>Timeline!BI16</f>
        <v>64009</v>
      </c>
      <c r="BQ8" s="21">
        <f>Timeline!BJ16</f>
        <v>64375</v>
      </c>
      <c r="BR8" s="21">
        <f>Timeline!BK16</f>
        <v>64740</v>
      </c>
      <c r="BS8" s="21">
        <f>Timeline!BL16</f>
        <v>65105</v>
      </c>
      <c r="BT8" s="21">
        <f>Timeline!BM16</f>
        <v>65470</v>
      </c>
      <c r="BU8" s="21">
        <f>Timeline!BN16</f>
        <v>65836</v>
      </c>
      <c r="BV8" s="21">
        <f>Timeline!BO16</f>
        <v>66201</v>
      </c>
      <c r="BW8" s="21">
        <f>Timeline!BP16</f>
        <v>66566</v>
      </c>
      <c r="BX8" s="21">
        <f>Timeline!BQ16</f>
        <v>66931</v>
      </c>
      <c r="BY8" s="21">
        <f>Timeline!BR16</f>
        <v>67297</v>
      </c>
      <c r="BZ8" s="21">
        <f>Timeline!BS16</f>
        <v>67662</v>
      </c>
      <c r="CA8" s="21">
        <f>Timeline!BT16</f>
        <v>68027</v>
      </c>
      <c r="CB8" s="21">
        <f>Timeline!BU16</f>
        <v>68392</v>
      </c>
      <c r="CC8" s="21">
        <f>Timeline!BV16</f>
        <v>68758</v>
      </c>
      <c r="CD8" s="21">
        <f>Timeline!BW16</f>
        <v>69123</v>
      </c>
      <c r="CE8" s="21">
        <f>Timeline!BX16</f>
        <v>69488</v>
      </c>
      <c r="CF8" s="21">
        <f>Timeline!BY16</f>
        <v>69853</v>
      </c>
      <c r="CG8" s="21">
        <f>Timeline!BZ16</f>
        <v>70219</v>
      </c>
      <c r="CH8" s="21">
        <f>Timeline!CA16</f>
        <v>70584</v>
      </c>
      <c r="CI8" s="21">
        <f>Timeline!CB16</f>
        <v>70949</v>
      </c>
      <c r="CJ8" s="21">
        <f>Timeline!CC16</f>
        <v>71314</v>
      </c>
      <c r="CK8" s="21">
        <f>Timeline!CD16</f>
        <v>71680</v>
      </c>
      <c r="CL8" s="21">
        <f>Timeline!CE16</f>
        <v>72045</v>
      </c>
      <c r="CM8" s="21">
        <f>Timeline!CF16</f>
        <v>72410</v>
      </c>
      <c r="CN8" s="21">
        <f>Timeline!CG16</f>
        <v>72775</v>
      </c>
      <c r="CO8" s="21">
        <f>Timeline!CH16</f>
        <v>73140</v>
      </c>
      <c r="CP8" s="21">
        <f>Timeline!CI16</f>
        <v>73505</v>
      </c>
      <c r="CQ8" s="21">
        <f>Timeline!CJ16</f>
        <v>73870</v>
      </c>
      <c r="CR8" s="21">
        <f>Timeline!CK16</f>
        <v>74235</v>
      </c>
      <c r="CS8" s="21">
        <f>Timeline!CL16</f>
        <v>74601</v>
      </c>
      <c r="CT8" s="21">
        <f>Timeline!CM16</f>
        <v>74966</v>
      </c>
      <c r="CU8" s="21">
        <f>Timeline!CN16</f>
        <v>75331</v>
      </c>
      <c r="CV8" s="21">
        <f>Timeline!CO16</f>
        <v>75696</v>
      </c>
      <c r="CW8" s="21">
        <f>Timeline!CP16</f>
        <v>76062</v>
      </c>
      <c r="CX8" s="21">
        <f>Timeline!CQ16</f>
        <v>76427</v>
      </c>
      <c r="CZ8" s="6" t="s">
        <v>64</v>
      </c>
      <c r="DA8" s="6" t="s">
        <v>65</v>
      </c>
    </row>
    <row r="9" spans="1:105" x14ac:dyDescent="0.3">
      <c r="C9" s="4" t="str">
        <f>IF('Cost &amp; Risk Inputs'!C10="","",'Cost &amp; Risk Inputs'!C10)</f>
        <v>Test 1</v>
      </c>
      <c r="D9" s="4" t="str">
        <f>IF(C9="","",'Cost &amp; Risk Inputs'!H10)</f>
        <v>Concept</v>
      </c>
      <c r="E9" s="4" t="str">
        <f>IF(C9="","",'Cost &amp; Risk Inputs'!I10)</f>
        <v>Training</v>
      </c>
      <c r="F9" s="4" t="str">
        <f>IF(C9="","",'Cost &amp; Risk Inputs'!E10)</f>
        <v>UK VAT</v>
      </c>
      <c r="H9" s="18">
        <f t="shared" ref="H9:H38" si="0">IF(C9="","",MATCH(F9,VAT_List,0))</f>
        <v>2</v>
      </c>
      <c r="M9" s="26">
        <f ca="1">IF($C9="","",'Outturn ex VAT'!M9*INDEX('Global Constants'!F$45:F$49,$H9))</f>
        <v>0</v>
      </c>
      <c r="N9" s="26">
        <f ca="1">IF($C9="","",'Outturn ex VAT'!N9*INDEX('Global Constants'!G$45:G$49,$H9))</f>
        <v>0</v>
      </c>
      <c r="O9" s="26">
        <f ca="1">IF($C9="","",'Outturn ex VAT'!O9*INDEX('Global Constants'!H$45:H$49,$H9))</f>
        <v>0</v>
      </c>
      <c r="P9" s="26">
        <f ca="1">IF($C9="","",'Outturn ex VAT'!P9*INDEX('Global Constants'!I$45:I$49,$H9))</f>
        <v>0</v>
      </c>
      <c r="Q9" s="26">
        <f ca="1">IF($C9="","",'Outturn ex VAT'!Q9*INDEX('Global Constants'!J$45:J$49,$H9))</f>
        <v>0</v>
      </c>
      <c r="R9" s="26">
        <f ca="1">IF($C9="","",'Outturn ex VAT'!R9*INDEX('Global Constants'!K$45:K$49,$H9))</f>
        <v>0</v>
      </c>
      <c r="S9" s="26">
        <f ca="1">IF($C9="","",'Outturn ex VAT'!S9*INDEX('Global Constants'!L$45:L$49,$H9))</f>
        <v>0</v>
      </c>
      <c r="T9" s="26">
        <f ca="1">IF($C9="","",'Outturn ex VAT'!T9*INDEX('Global Constants'!M$45:M$49,$H9))</f>
        <v>0</v>
      </c>
      <c r="U9" s="26">
        <f ca="1">IF($C9="","",'Outturn ex VAT'!U9*INDEX('Global Constants'!N$45:N$49,$H9))</f>
        <v>0</v>
      </c>
      <c r="V9" s="26">
        <f ca="1">IF($C9="","",'Outturn ex VAT'!V9*INDEX('Global Constants'!O$45:O$49,$H9))</f>
        <v>0</v>
      </c>
      <c r="W9" s="26">
        <f ca="1">IF($C9="","",'Outturn ex VAT'!W9*INDEX('Global Constants'!P$45:P$49,$H9))</f>
        <v>0</v>
      </c>
      <c r="X9" s="26">
        <f ca="1">IF($C9="","",'Outturn ex VAT'!X9*INDEX('Global Constants'!Q$45:Q$49,$H9))</f>
        <v>0</v>
      </c>
      <c r="Y9" s="26">
        <f ca="1">IF($C9="","",'Outturn ex VAT'!Y9*INDEX('Global Constants'!R$45:R$49,$H9))</f>
        <v>0</v>
      </c>
      <c r="Z9" s="26">
        <f ca="1">IF($C9="","",'Outturn ex VAT'!Z9*INDEX('Global Constants'!S$45:S$49,$H9))</f>
        <v>0</v>
      </c>
      <c r="AA9" s="26">
        <f ca="1">IF($C9="","",'Outturn ex VAT'!AA9*INDEX('Global Constants'!T$45:T$49,$H9))</f>
        <v>0</v>
      </c>
      <c r="AB9" s="26">
        <f ca="1">IF($C9="","",'Outturn ex VAT'!AB9*INDEX('Global Constants'!U$45:U$49,$H9))</f>
        <v>0</v>
      </c>
      <c r="AC9" s="26">
        <f ca="1">IF($C9="","",'Outturn ex VAT'!AC9*INDEX('Global Constants'!V$45:V$49,$H9))</f>
        <v>0</v>
      </c>
      <c r="AD9" s="26">
        <f ca="1">IF($C9="","",'Outturn ex VAT'!AD9*INDEX('Global Constants'!W$45:W$49,$H9))</f>
        <v>1882.2806025493921</v>
      </c>
      <c r="AE9" s="26">
        <f ca="1">IF($C9="","",'Outturn ex VAT'!AE9*INDEX('Global Constants'!X$45:X$49,$H9))</f>
        <v>0</v>
      </c>
      <c r="AF9" s="26">
        <f ca="1">IF($C9="","",'Outturn ex VAT'!AF9*INDEX('Global Constants'!Y$45:Y$49,$H9))</f>
        <v>0</v>
      </c>
      <c r="AG9" s="26">
        <f ca="1">IF($C9="","",'Outturn ex VAT'!AG9*INDEX('Global Constants'!Z$45:Z$49,$H9))</f>
        <v>0</v>
      </c>
      <c r="AH9" s="26">
        <f ca="1">IF($C9="","",'Outturn ex VAT'!AH9*INDEX('Global Constants'!AA$45:AA$49,$H9))</f>
        <v>0</v>
      </c>
      <c r="AI9" s="26">
        <f ca="1">IF($C9="","",'Outturn ex VAT'!AI9*INDEX('Global Constants'!AB$45:AB$49,$H9))</f>
        <v>0</v>
      </c>
      <c r="AJ9" s="26">
        <f ca="1">IF($C9="","",'Outturn ex VAT'!AJ9*INDEX('Global Constants'!AC$45:AC$49,$H9))</f>
        <v>0</v>
      </c>
      <c r="AK9" s="26">
        <f ca="1">IF($C9="","",'Outturn ex VAT'!AK9*INDEX('Global Constants'!AD$45:AD$49,$H9))</f>
        <v>0</v>
      </c>
      <c r="AL9" s="26">
        <f ca="1">IF($C9="","",'Outturn ex VAT'!AL9*INDEX('Global Constants'!AE$45:AE$49,$H9))</f>
        <v>0</v>
      </c>
      <c r="AM9" s="26">
        <f ca="1">IF($C9="","",'Outturn ex VAT'!AM9*INDEX('Global Constants'!AF$45:AF$49,$H9))</f>
        <v>0</v>
      </c>
      <c r="AN9" s="26">
        <f ca="1">IF($C9="","",'Outturn ex VAT'!AN9*INDEX('Global Constants'!AG$45:AG$49,$H9))</f>
        <v>0</v>
      </c>
      <c r="AO9" s="26">
        <f ca="1">IF($C9="","",'Outturn ex VAT'!AO9*INDEX('Global Constants'!AH$45:AH$49,$H9))</f>
        <v>0</v>
      </c>
      <c r="AP9" s="26">
        <f ca="1">IF($C9="","",'Outturn ex VAT'!AP9*INDEX('Global Constants'!AI$45:AI$49,$H9))</f>
        <v>0</v>
      </c>
      <c r="AQ9" s="26">
        <f ca="1">IF($C9="","",'Outturn ex VAT'!AQ9*INDEX('Global Constants'!AJ$45:AJ$49,$H9))</f>
        <v>0</v>
      </c>
      <c r="AR9" s="26">
        <f ca="1">IF($C9="","",'Outturn ex VAT'!AR9*INDEX('Global Constants'!AK$45:AK$49,$H9))</f>
        <v>0</v>
      </c>
      <c r="AS9" s="26">
        <f ca="1">IF($C9="","",'Outturn ex VAT'!AS9*INDEX('Global Constants'!AL$45:AL$49,$H9))</f>
        <v>0</v>
      </c>
      <c r="AT9" s="26">
        <f ca="1">IF($C9="","",'Outturn ex VAT'!AT9*INDEX('Global Constants'!AM$45:AM$49,$H9))</f>
        <v>0</v>
      </c>
      <c r="AU9" s="26">
        <f ca="1">IF($C9="","",'Outturn ex VAT'!AU9*INDEX('Global Constants'!AN$45:AN$49,$H9))</f>
        <v>0</v>
      </c>
      <c r="AV9" s="26">
        <f ca="1">IF($C9="","",'Outturn ex VAT'!AV9*INDEX('Global Constants'!AO$45:AO$49,$H9))</f>
        <v>0</v>
      </c>
      <c r="AW9" s="26">
        <f ca="1">IF($C9="","",'Outturn ex VAT'!AW9*INDEX('Global Constants'!AP$45:AP$49,$H9))</f>
        <v>0</v>
      </c>
      <c r="AX9" s="26">
        <f ca="1">IF($C9="","",'Outturn ex VAT'!AX9*INDEX('Global Constants'!AQ$45:AQ$49,$H9))</f>
        <v>0</v>
      </c>
      <c r="AY9" s="26">
        <f ca="1">IF($C9="","",'Outturn ex VAT'!AY9*INDEX('Global Constants'!AR$45:AR$49,$H9))</f>
        <v>0</v>
      </c>
      <c r="AZ9" s="26">
        <f ca="1">IF($C9="","",'Outturn ex VAT'!AZ9*INDEX('Global Constants'!AS$45:AS$49,$H9))</f>
        <v>0</v>
      </c>
      <c r="BA9" s="26">
        <f ca="1">IF($C9="","",'Outturn ex VAT'!BA9*INDEX('Global Constants'!AT$45:AT$49,$H9))</f>
        <v>0</v>
      </c>
      <c r="BB9" s="26">
        <f ca="1">IF($C9="","",'Outturn ex VAT'!BB9*INDEX('Global Constants'!AU$45:AU$49,$H9))</f>
        <v>0</v>
      </c>
      <c r="BC9" s="26">
        <f ca="1">IF($C9="","",'Outturn ex VAT'!BC9*INDEX('Global Constants'!AV$45:AV$49,$H9))</f>
        <v>0</v>
      </c>
      <c r="BD9" s="26">
        <f ca="1">IF($C9="","",'Outturn ex VAT'!BD9*INDEX('Global Constants'!AW$45:AW$49,$H9))</f>
        <v>0</v>
      </c>
      <c r="BE9" s="26">
        <f ca="1">IF($C9="","",'Outturn ex VAT'!BE9*INDEX('Global Constants'!AX$45:AX$49,$H9))</f>
        <v>0</v>
      </c>
      <c r="BF9" s="26">
        <f ca="1">IF($C9="","",'Outturn ex VAT'!BF9*INDEX('Global Constants'!AY$45:AY$49,$H9))</f>
        <v>0</v>
      </c>
      <c r="BG9" s="26">
        <f ca="1">IF($C9="","",'Outturn ex VAT'!BG9*INDEX('Global Constants'!AZ$45:AZ$49,$H9))</f>
        <v>0</v>
      </c>
      <c r="BH9" s="26">
        <f ca="1">IF($C9="","",'Outturn ex VAT'!BH9*INDEX('Global Constants'!BA$45:BA$49,$H9))</f>
        <v>0</v>
      </c>
      <c r="BI9" s="26">
        <f ca="1">IF($C9="","",'Outturn ex VAT'!BI9*INDEX('Global Constants'!BB$45:BB$49,$H9))</f>
        <v>0</v>
      </c>
      <c r="BJ9" s="26">
        <f ca="1">IF($C9="","",'Outturn ex VAT'!BJ9*INDEX('Global Constants'!BC$45:BC$49,$H9))</f>
        <v>0</v>
      </c>
      <c r="BK9" s="26">
        <f ca="1">IF($C9="","",'Outturn ex VAT'!BK9*INDEX('Global Constants'!BD$45:BD$49,$H9))</f>
        <v>0</v>
      </c>
      <c r="BL9" s="26">
        <f ca="1">IF($C9="","",'Outturn ex VAT'!BL9*INDEX('Global Constants'!BE$45:BE$49,$H9))</f>
        <v>0</v>
      </c>
      <c r="BM9" s="26">
        <f ca="1">IF($C9="","",'Outturn ex VAT'!BM9*INDEX('Global Constants'!BF$45:BF$49,$H9))</f>
        <v>0</v>
      </c>
      <c r="BN9" s="26">
        <f ca="1">IF($C9="","",'Outturn ex VAT'!BN9*INDEX('Global Constants'!BG$45:BG$49,$H9))</f>
        <v>0</v>
      </c>
      <c r="BO9" s="26">
        <f ca="1">IF($C9="","",'Outturn ex VAT'!BO9*INDEX('Global Constants'!BH$45:BH$49,$H9))</f>
        <v>0</v>
      </c>
      <c r="BP9" s="26">
        <f ca="1">IF($C9="","",'Outturn ex VAT'!BP9*INDEX('Global Constants'!BI$45:BI$49,$H9))</f>
        <v>0</v>
      </c>
      <c r="BQ9" s="26">
        <f ca="1">IF($C9="","",'Outturn ex VAT'!BQ9*INDEX('Global Constants'!BJ$45:BJ$49,$H9))</f>
        <v>0</v>
      </c>
      <c r="BR9" s="26">
        <f ca="1">IF($C9="","",'Outturn ex VAT'!BR9*INDEX('Global Constants'!BK$45:BK$49,$H9))</f>
        <v>0</v>
      </c>
      <c r="BS9" s="26">
        <f ca="1">IF($C9="","",'Outturn ex VAT'!BS9*INDEX('Global Constants'!BL$45:BL$49,$H9))</f>
        <v>0</v>
      </c>
      <c r="BT9" s="26">
        <f ca="1">IF($C9="","",'Outturn ex VAT'!BT9*INDEX('Global Constants'!BM$45:BM$49,$H9))</f>
        <v>0</v>
      </c>
      <c r="BU9" s="26">
        <f ca="1">IF($C9="","",'Outturn ex VAT'!BU9*INDEX('Global Constants'!BN$45:BN$49,$H9))</f>
        <v>0</v>
      </c>
      <c r="BV9" s="26">
        <f ca="1">IF($C9="","",'Outturn ex VAT'!BV9*INDEX('Global Constants'!BO$45:BO$49,$H9))</f>
        <v>0</v>
      </c>
      <c r="BW9" s="26">
        <f ca="1">IF($C9="","",'Outturn ex VAT'!BW9*INDEX('Global Constants'!BP$45:BP$49,$H9))</f>
        <v>0</v>
      </c>
      <c r="BX9" s="26">
        <f ca="1">IF($C9="","",'Outturn ex VAT'!BX9*INDEX('Global Constants'!BQ$45:BQ$49,$H9))</f>
        <v>0</v>
      </c>
      <c r="BY9" s="26">
        <f ca="1">IF($C9="","",'Outturn ex VAT'!BY9*INDEX('Global Constants'!BR$45:BR$49,$H9))</f>
        <v>0</v>
      </c>
      <c r="BZ9" s="26">
        <f ca="1">IF($C9="","",'Outturn ex VAT'!BZ9*INDEX('Global Constants'!BS$45:BS$49,$H9))</f>
        <v>0</v>
      </c>
      <c r="CA9" s="26">
        <f ca="1">IF($C9="","",'Outturn ex VAT'!CA9*INDEX('Global Constants'!BT$45:BT$49,$H9))</f>
        <v>0</v>
      </c>
      <c r="CB9" s="26">
        <f ca="1">IF($C9="","",'Outturn ex VAT'!CB9*INDEX('Global Constants'!BU$45:BU$49,$H9))</f>
        <v>0</v>
      </c>
      <c r="CC9" s="26">
        <f ca="1">IF($C9="","",'Outturn ex VAT'!CC9*INDEX('Global Constants'!BV$45:BV$49,$H9))</f>
        <v>0</v>
      </c>
      <c r="CD9" s="26">
        <f ca="1">IF($C9="","",'Outturn ex VAT'!CD9*INDEX('Global Constants'!BW$45:BW$49,$H9))</f>
        <v>0</v>
      </c>
      <c r="CE9" s="26">
        <f ca="1">IF($C9="","",'Outturn ex VAT'!CE9*INDEX('Global Constants'!BX$45:BX$49,$H9))</f>
        <v>0</v>
      </c>
      <c r="CF9" s="26">
        <f ca="1">IF($C9="","",'Outturn ex VAT'!CF9*INDEX('Global Constants'!BY$45:BY$49,$H9))</f>
        <v>0</v>
      </c>
      <c r="CG9" s="26">
        <f ca="1">IF($C9="","",'Outturn ex VAT'!CG9*INDEX('Global Constants'!BZ$45:BZ$49,$H9))</f>
        <v>0</v>
      </c>
      <c r="CH9" s="26">
        <f ca="1">IF($C9="","",'Outturn ex VAT'!CH9*INDEX('Global Constants'!CA$45:CA$49,$H9))</f>
        <v>0</v>
      </c>
      <c r="CI9" s="26">
        <f ca="1">IF($C9="","",'Outturn ex VAT'!CI9*INDEX('Global Constants'!CB$45:CB$49,$H9))</f>
        <v>0</v>
      </c>
      <c r="CJ9" s="26">
        <f ca="1">IF($C9="","",'Outturn ex VAT'!CJ9*INDEX('Global Constants'!CC$45:CC$49,$H9))</f>
        <v>0</v>
      </c>
      <c r="CK9" s="26">
        <f ca="1">IF($C9="","",'Outturn ex VAT'!CK9*INDEX('Global Constants'!CD$45:CD$49,$H9))</f>
        <v>0</v>
      </c>
      <c r="CL9" s="26">
        <f ca="1">IF($C9="","",'Outturn ex VAT'!CL9*INDEX('Global Constants'!CE$45:CE$49,$H9))</f>
        <v>0</v>
      </c>
      <c r="CM9" s="26">
        <f ca="1">IF($C9="","",'Outturn ex VAT'!CM9*INDEX('Global Constants'!CF$45:CF$49,$H9))</f>
        <v>0</v>
      </c>
      <c r="CN9" s="26">
        <f ca="1">IF($C9="","",'Outturn ex VAT'!CN9*INDEX('Global Constants'!CG$45:CG$49,$H9))</f>
        <v>0</v>
      </c>
      <c r="CO9" s="26">
        <f ca="1">IF($C9="","",'Outturn ex VAT'!CO9*INDEX('Global Constants'!CH$45:CH$49,$H9))</f>
        <v>0</v>
      </c>
      <c r="CP9" s="26">
        <f ca="1">IF($C9="","",'Outturn ex VAT'!CP9*INDEX('Global Constants'!CI$45:CI$49,$H9))</f>
        <v>0</v>
      </c>
      <c r="CQ9" s="26">
        <f ca="1">IF($C9="","",'Outturn ex VAT'!CQ9*INDEX('Global Constants'!CJ$45:CJ$49,$H9))</f>
        <v>0</v>
      </c>
      <c r="CR9" s="26">
        <f ca="1">IF($C9="","",'Outturn ex VAT'!CR9*INDEX('Global Constants'!CK$45:CK$49,$H9))</f>
        <v>0</v>
      </c>
      <c r="CS9" s="26">
        <f ca="1">IF($C9="","",'Outturn ex VAT'!CS9*INDEX('Global Constants'!CL$45:CL$49,$H9))</f>
        <v>0</v>
      </c>
      <c r="CT9" s="26">
        <f ca="1">IF($C9="","",'Outturn ex VAT'!CT9*INDEX('Global Constants'!CM$45:CM$49,$H9))</f>
        <v>0</v>
      </c>
      <c r="CU9" s="26">
        <f ca="1">IF($C9="","",'Outturn ex VAT'!CU9*INDEX('Global Constants'!CN$45:CN$49,$H9))</f>
        <v>0</v>
      </c>
      <c r="CV9" s="26">
        <f ca="1">IF($C9="","",'Outturn ex VAT'!CV9*INDEX('Global Constants'!CO$45:CO$49,$H9))</f>
        <v>0</v>
      </c>
      <c r="CW9" s="26">
        <f ca="1">IF($C9="","",'Outturn ex VAT'!CW9*INDEX('Global Constants'!CP$45:CP$49,$H9))</f>
        <v>0</v>
      </c>
      <c r="CX9" s="26">
        <f ca="1">IF($C9="","",'Outturn ex VAT'!CX9*INDEX('Global Constants'!CQ$45:CQ$49,$H9))</f>
        <v>0</v>
      </c>
      <c r="CZ9" s="26">
        <f t="shared" ref="CZ9:CZ38" ca="1" si="1">SUM(OFFSET(M9,0,MATCH(Model_Base,$M$6:$CX$6,0),1,10))</f>
        <v>0</v>
      </c>
      <c r="DA9" s="26">
        <f ca="1">SUM(M9:CX9)</f>
        <v>1882.2806025493921</v>
      </c>
    </row>
    <row r="10" spans="1:105" x14ac:dyDescent="0.3">
      <c r="C10" s="4" t="str">
        <f>IF('Cost &amp; Risk Inputs'!C11="","",'Cost &amp; Risk Inputs'!C11)</f>
        <v>Test 2</v>
      </c>
      <c r="D10" s="4" t="str">
        <f>IF(C10="","",'Cost &amp; Risk Inputs'!H11)</f>
        <v>Assessment</v>
      </c>
      <c r="E10" s="4" t="str">
        <f>IF(C10="","",'Cost &amp; Risk Inputs'!I11)</f>
        <v>Equipment</v>
      </c>
      <c r="F10" s="4" t="str">
        <f>IF(C10="","",'Cost &amp; Risk Inputs'!E11)</f>
        <v>UK VAT</v>
      </c>
      <c r="H10" s="18">
        <f t="shared" si="0"/>
        <v>2</v>
      </c>
      <c r="M10" s="26">
        <f ca="1">IF($C10="","",'Outturn ex VAT'!M10*INDEX('Global Constants'!F$45:F$49,$H10))</f>
        <v>0</v>
      </c>
      <c r="N10" s="26">
        <f ca="1">IF($C10="","",'Outturn ex VAT'!N10*INDEX('Global Constants'!G$45:G$49,$H10))</f>
        <v>0</v>
      </c>
      <c r="O10" s="26">
        <f ca="1">IF($C10="","",'Outturn ex VAT'!O10*INDEX('Global Constants'!H$45:H$49,$H10))</f>
        <v>0</v>
      </c>
      <c r="P10" s="26">
        <f ca="1">IF($C10="","",'Outturn ex VAT'!P10*INDEX('Global Constants'!I$45:I$49,$H10))</f>
        <v>0</v>
      </c>
      <c r="Q10" s="26">
        <f ca="1">IF($C10="","",'Outturn ex VAT'!Q10*INDEX('Global Constants'!J$45:J$49,$H10))</f>
        <v>0</v>
      </c>
      <c r="R10" s="26">
        <f ca="1">IF($C10="","",'Outturn ex VAT'!R10*INDEX('Global Constants'!K$45:K$49,$H10))</f>
        <v>0</v>
      </c>
      <c r="S10" s="26">
        <f ca="1">IF($C10="","",'Outturn ex VAT'!S10*INDEX('Global Constants'!L$45:L$49,$H10))</f>
        <v>0</v>
      </c>
      <c r="T10" s="26">
        <f ca="1">IF($C10="","",'Outturn ex VAT'!T10*INDEX('Global Constants'!M$45:M$49,$H10))</f>
        <v>0</v>
      </c>
      <c r="U10" s="26">
        <f ca="1">IF($C10="","",'Outturn ex VAT'!U10*INDEX('Global Constants'!N$45:N$49,$H10))</f>
        <v>0</v>
      </c>
      <c r="V10" s="26">
        <f ca="1">IF($C10="","",'Outturn ex VAT'!V10*INDEX('Global Constants'!O$45:O$49,$H10))</f>
        <v>0</v>
      </c>
      <c r="W10" s="26">
        <f ca="1">IF($C10="","",'Outturn ex VAT'!W10*INDEX('Global Constants'!P$45:P$49,$H10))</f>
        <v>0</v>
      </c>
      <c r="X10" s="26">
        <f ca="1">IF($C10="","",'Outturn ex VAT'!X10*INDEX('Global Constants'!Q$45:Q$49,$H10))</f>
        <v>0</v>
      </c>
      <c r="Y10" s="26">
        <f ca="1">IF($C10="","",'Outturn ex VAT'!Y10*INDEX('Global Constants'!R$45:R$49,$H10))</f>
        <v>0</v>
      </c>
      <c r="Z10" s="26">
        <f ca="1">IF($C10="","",'Outturn ex VAT'!Z10*INDEX('Global Constants'!S$45:S$49,$H10))</f>
        <v>0</v>
      </c>
      <c r="AA10" s="26">
        <f ca="1">IF($C10="","",'Outturn ex VAT'!AA10*INDEX('Global Constants'!T$45:T$49,$H10))</f>
        <v>0</v>
      </c>
      <c r="AB10" s="26">
        <f ca="1">IF($C10="","",'Outturn ex VAT'!AB10*INDEX('Global Constants'!U$45:U$49,$H10))</f>
        <v>0</v>
      </c>
      <c r="AC10" s="26">
        <f ca="1">IF($C10="","",'Outturn ex VAT'!AC10*INDEX('Global Constants'!V$45:V$49,$H10))</f>
        <v>0</v>
      </c>
      <c r="AD10" s="26">
        <f ca="1">IF($C10="","",'Outturn ex VAT'!AD10*INDEX('Global Constants'!W$45:W$49,$H10))</f>
        <v>0</v>
      </c>
      <c r="AE10" s="26">
        <f ca="1">IF($C10="","",'Outturn ex VAT'!AE10*INDEX('Global Constants'!X$45:X$49,$H10))</f>
        <v>2400</v>
      </c>
      <c r="AF10" s="26">
        <f ca="1">IF($C10="","",'Outturn ex VAT'!AF10*INDEX('Global Constants'!Y$45:Y$49,$H10))</f>
        <v>0</v>
      </c>
      <c r="AG10" s="26">
        <f ca="1">IF($C10="","",'Outturn ex VAT'!AG10*INDEX('Global Constants'!Z$45:Z$49,$H10))</f>
        <v>0</v>
      </c>
      <c r="AH10" s="26">
        <f ca="1">IF($C10="","",'Outturn ex VAT'!AH10*INDEX('Global Constants'!AA$45:AA$49,$H10))</f>
        <v>0</v>
      </c>
      <c r="AI10" s="26">
        <f ca="1">IF($C10="","",'Outturn ex VAT'!AI10*INDEX('Global Constants'!AB$45:AB$49,$H10))</f>
        <v>0</v>
      </c>
      <c r="AJ10" s="26">
        <f ca="1">IF($C10="","",'Outturn ex VAT'!AJ10*INDEX('Global Constants'!AC$45:AC$49,$H10))</f>
        <v>0</v>
      </c>
      <c r="AK10" s="26">
        <f ca="1">IF($C10="","",'Outturn ex VAT'!AK10*INDEX('Global Constants'!AD$45:AD$49,$H10))</f>
        <v>0</v>
      </c>
      <c r="AL10" s="26">
        <f ca="1">IF($C10="","",'Outturn ex VAT'!AL10*INDEX('Global Constants'!AE$45:AE$49,$H10))</f>
        <v>0</v>
      </c>
      <c r="AM10" s="26">
        <f ca="1">IF($C10="","",'Outturn ex VAT'!AM10*INDEX('Global Constants'!AF$45:AF$49,$H10))</f>
        <v>0</v>
      </c>
      <c r="AN10" s="26">
        <f ca="1">IF($C10="","",'Outturn ex VAT'!AN10*INDEX('Global Constants'!AG$45:AG$49,$H10))</f>
        <v>0</v>
      </c>
      <c r="AO10" s="26">
        <f ca="1">IF($C10="","",'Outturn ex VAT'!AO10*INDEX('Global Constants'!AH$45:AH$49,$H10))</f>
        <v>0</v>
      </c>
      <c r="AP10" s="26">
        <f ca="1">IF($C10="","",'Outturn ex VAT'!AP10*INDEX('Global Constants'!AI$45:AI$49,$H10))</f>
        <v>0</v>
      </c>
      <c r="AQ10" s="26">
        <f ca="1">IF($C10="","",'Outturn ex VAT'!AQ10*INDEX('Global Constants'!AJ$45:AJ$49,$H10))</f>
        <v>0</v>
      </c>
      <c r="AR10" s="26">
        <f ca="1">IF($C10="","",'Outturn ex VAT'!AR10*INDEX('Global Constants'!AK$45:AK$49,$H10))</f>
        <v>0</v>
      </c>
      <c r="AS10" s="26">
        <f ca="1">IF($C10="","",'Outturn ex VAT'!AS10*INDEX('Global Constants'!AL$45:AL$49,$H10))</f>
        <v>0</v>
      </c>
      <c r="AT10" s="26">
        <f ca="1">IF($C10="","",'Outturn ex VAT'!AT10*INDEX('Global Constants'!AM$45:AM$49,$H10))</f>
        <v>0</v>
      </c>
      <c r="AU10" s="26">
        <f ca="1">IF($C10="","",'Outturn ex VAT'!AU10*INDEX('Global Constants'!AN$45:AN$49,$H10))</f>
        <v>0</v>
      </c>
      <c r="AV10" s="26">
        <f ca="1">IF($C10="","",'Outturn ex VAT'!AV10*INDEX('Global Constants'!AO$45:AO$49,$H10))</f>
        <v>0</v>
      </c>
      <c r="AW10" s="26">
        <f ca="1">IF($C10="","",'Outturn ex VAT'!AW10*INDEX('Global Constants'!AP$45:AP$49,$H10))</f>
        <v>0</v>
      </c>
      <c r="AX10" s="26">
        <f ca="1">IF($C10="","",'Outturn ex VAT'!AX10*INDEX('Global Constants'!AQ$45:AQ$49,$H10))</f>
        <v>0</v>
      </c>
      <c r="AY10" s="26">
        <f ca="1">IF($C10="","",'Outturn ex VAT'!AY10*INDEX('Global Constants'!AR$45:AR$49,$H10))</f>
        <v>0</v>
      </c>
      <c r="AZ10" s="26">
        <f ca="1">IF($C10="","",'Outturn ex VAT'!AZ10*INDEX('Global Constants'!AS$45:AS$49,$H10))</f>
        <v>0</v>
      </c>
      <c r="BA10" s="26">
        <f ca="1">IF($C10="","",'Outturn ex VAT'!BA10*INDEX('Global Constants'!AT$45:AT$49,$H10))</f>
        <v>0</v>
      </c>
      <c r="BB10" s="26">
        <f ca="1">IF($C10="","",'Outturn ex VAT'!BB10*INDEX('Global Constants'!AU$45:AU$49,$H10))</f>
        <v>0</v>
      </c>
      <c r="BC10" s="26">
        <f ca="1">IF($C10="","",'Outturn ex VAT'!BC10*INDEX('Global Constants'!AV$45:AV$49,$H10))</f>
        <v>0</v>
      </c>
      <c r="BD10" s="26">
        <f ca="1">IF($C10="","",'Outturn ex VAT'!BD10*INDEX('Global Constants'!AW$45:AW$49,$H10))</f>
        <v>0</v>
      </c>
      <c r="BE10" s="26">
        <f ca="1">IF($C10="","",'Outturn ex VAT'!BE10*INDEX('Global Constants'!AX$45:AX$49,$H10))</f>
        <v>0</v>
      </c>
      <c r="BF10" s="26">
        <f ca="1">IF($C10="","",'Outturn ex VAT'!BF10*INDEX('Global Constants'!AY$45:AY$49,$H10))</f>
        <v>0</v>
      </c>
      <c r="BG10" s="26">
        <f ca="1">IF($C10="","",'Outturn ex VAT'!BG10*INDEX('Global Constants'!AZ$45:AZ$49,$H10))</f>
        <v>0</v>
      </c>
      <c r="BH10" s="26">
        <f ca="1">IF($C10="","",'Outturn ex VAT'!BH10*INDEX('Global Constants'!BA$45:BA$49,$H10))</f>
        <v>0</v>
      </c>
      <c r="BI10" s="26">
        <f ca="1">IF($C10="","",'Outturn ex VAT'!BI10*INDEX('Global Constants'!BB$45:BB$49,$H10))</f>
        <v>0</v>
      </c>
      <c r="BJ10" s="26">
        <f ca="1">IF($C10="","",'Outturn ex VAT'!BJ10*INDEX('Global Constants'!BC$45:BC$49,$H10))</f>
        <v>0</v>
      </c>
      <c r="BK10" s="26">
        <f ca="1">IF($C10="","",'Outturn ex VAT'!BK10*INDEX('Global Constants'!BD$45:BD$49,$H10))</f>
        <v>0</v>
      </c>
      <c r="BL10" s="26">
        <f ca="1">IF($C10="","",'Outturn ex VAT'!BL10*INDEX('Global Constants'!BE$45:BE$49,$H10))</f>
        <v>0</v>
      </c>
      <c r="BM10" s="26">
        <f ca="1">IF($C10="","",'Outturn ex VAT'!BM10*INDEX('Global Constants'!BF$45:BF$49,$H10))</f>
        <v>0</v>
      </c>
      <c r="BN10" s="26">
        <f ca="1">IF($C10="","",'Outturn ex VAT'!BN10*INDEX('Global Constants'!BG$45:BG$49,$H10))</f>
        <v>0</v>
      </c>
      <c r="BO10" s="26">
        <f ca="1">IF($C10="","",'Outturn ex VAT'!BO10*INDEX('Global Constants'!BH$45:BH$49,$H10))</f>
        <v>0</v>
      </c>
      <c r="BP10" s="26">
        <f ca="1">IF($C10="","",'Outturn ex VAT'!BP10*INDEX('Global Constants'!BI$45:BI$49,$H10))</f>
        <v>0</v>
      </c>
      <c r="BQ10" s="26">
        <f ca="1">IF($C10="","",'Outturn ex VAT'!BQ10*INDEX('Global Constants'!BJ$45:BJ$49,$H10))</f>
        <v>0</v>
      </c>
      <c r="BR10" s="26">
        <f ca="1">IF($C10="","",'Outturn ex VAT'!BR10*INDEX('Global Constants'!BK$45:BK$49,$H10))</f>
        <v>0</v>
      </c>
      <c r="BS10" s="26">
        <f ca="1">IF($C10="","",'Outturn ex VAT'!BS10*INDEX('Global Constants'!BL$45:BL$49,$H10))</f>
        <v>0</v>
      </c>
      <c r="BT10" s="26">
        <f ca="1">IF($C10="","",'Outturn ex VAT'!BT10*INDEX('Global Constants'!BM$45:BM$49,$H10))</f>
        <v>0</v>
      </c>
      <c r="BU10" s="26">
        <f ca="1">IF($C10="","",'Outturn ex VAT'!BU10*INDEX('Global Constants'!BN$45:BN$49,$H10))</f>
        <v>0</v>
      </c>
      <c r="BV10" s="26">
        <f ca="1">IF($C10="","",'Outturn ex VAT'!BV10*INDEX('Global Constants'!BO$45:BO$49,$H10))</f>
        <v>0</v>
      </c>
      <c r="BW10" s="26">
        <f ca="1">IF($C10="","",'Outturn ex VAT'!BW10*INDEX('Global Constants'!BP$45:BP$49,$H10))</f>
        <v>0</v>
      </c>
      <c r="BX10" s="26">
        <f ca="1">IF($C10="","",'Outturn ex VAT'!BX10*INDEX('Global Constants'!BQ$45:BQ$49,$H10))</f>
        <v>0</v>
      </c>
      <c r="BY10" s="26">
        <f ca="1">IF($C10="","",'Outturn ex VAT'!BY10*INDEX('Global Constants'!BR$45:BR$49,$H10))</f>
        <v>0</v>
      </c>
      <c r="BZ10" s="26">
        <f ca="1">IF($C10="","",'Outturn ex VAT'!BZ10*INDEX('Global Constants'!BS$45:BS$49,$H10))</f>
        <v>0</v>
      </c>
      <c r="CA10" s="26">
        <f ca="1">IF($C10="","",'Outturn ex VAT'!CA10*INDEX('Global Constants'!BT$45:BT$49,$H10))</f>
        <v>0</v>
      </c>
      <c r="CB10" s="26">
        <f ca="1">IF($C10="","",'Outturn ex VAT'!CB10*INDEX('Global Constants'!BU$45:BU$49,$H10))</f>
        <v>0</v>
      </c>
      <c r="CC10" s="26">
        <f ca="1">IF($C10="","",'Outturn ex VAT'!CC10*INDEX('Global Constants'!BV$45:BV$49,$H10))</f>
        <v>0</v>
      </c>
      <c r="CD10" s="26">
        <f ca="1">IF($C10="","",'Outturn ex VAT'!CD10*INDEX('Global Constants'!BW$45:BW$49,$H10))</f>
        <v>0</v>
      </c>
      <c r="CE10" s="26">
        <f ca="1">IF($C10="","",'Outturn ex VAT'!CE10*INDEX('Global Constants'!BX$45:BX$49,$H10))</f>
        <v>0</v>
      </c>
      <c r="CF10" s="26">
        <f ca="1">IF($C10="","",'Outturn ex VAT'!CF10*INDEX('Global Constants'!BY$45:BY$49,$H10))</f>
        <v>0</v>
      </c>
      <c r="CG10" s="26">
        <f ca="1">IF($C10="","",'Outturn ex VAT'!CG10*INDEX('Global Constants'!BZ$45:BZ$49,$H10))</f>
        <v>0</v>
      </c>
      <c r="CH10" s="26">
        <f ca="1">IF($C10="","",'Outturn ex VAT'!CH10*INDEX('Global Constants'!CA$45:CA$49,$H10))</f>
        <v>0</v>
      </c>
      <c r="CI10" s="26">
        <f ca="1">IF($C10="","",'Outturn ex VAT'!CI10*INDEX('Global Constants'!CB$45:CB$49,$H10))</f>
        <v>0</v>
      </c>
      <c r="CJ10" s="26">
        <f ca="1">IF($C10="","",'Outturn ex VAT'!CJ10*INDEX('Global Constants'!CC$45:CC$49,$H10))</f>
        <v>0</v>
      </c>
      <c r="CK10" s="26">
        <f ca="1">IF($C10="","",'Outturn ex VAT'!CK10*INDEX('Global Constants'!CD$45:CD$49,$H10))</f>
        <v>0</v>
      </c>
      <c r="CL10" s="26">
        <f ca="1">IF($C10="","",'Outturn ex VAT'!CL10*INDEX('Global Constants'!CE$45:CE$49,$H10))</f>
        <v>0</v>
      </c>
      <c r="CM10" s="26">
        <f ca="1">IF($C10="","",'Outturn ex VAT'!CM10*INDEX('Global Constants'!CF$45:CF$49,$H10))</f>
        <v>0</v>
      </c>
      <c r="CN10" s="26">
        <f ca="1">IF($C10="","",'Outturn ex VAT'!CN10*INDEX('Global Constants'!CG$45:CG$49,$H10))</f>
        <v>0</v>
      </c>
      <c r="CO10" s="26">
        <f ca="1">IF($C10="","",'Outturn ex VAT'!CO10*INDEX('Global Constants'!CH$45:CH$49,$H10))</f>
        <v>0</v>
      </c>
      <c r="CP10" s="26">
        <f ca="1">IF($C10="","",'Outturn ex VAT'!CP10*INDEX('Global Constants'!CI$45:CI$49,$H10))</f>
        <v>0</v>
      </c>
      <c r="CQ10" s="26">
        <f ca="1">IF($C10="","",'Outturn ex VAT'!CQ10*INDEX('Global Constants'!CJ$45:CJ$49,$H10))</f>
        <v>0</v>
      </c>
      <c r="CR10" s="26">
        <f ca="1">IF($C10="","",'Outturn ex VAT'!CR10*INDEX('Global Constants'!CK$45:CK$49,$H10))</f>
        <v>0</v>
      </c>
      <c r="CS10" s="26">
        <f ca="1">IF($C10="","",'Outturn ex VAT'!CS10*INDEX('Global Constants'!CL$45:CL$49,$H10))</f>
        <v>0</v>
      </c>
      <c r="CT10" s="26">
        <f ca="1">IF($C10="","",'Outturn ex VAT'!CT10*INDEX('Global Constants'!CM$45:CM$49,$H10))</f>
        <v>0</v>
      </c>
      <c r="CU10" s="26">
        <f ca="1">IF($C10="","",'Outturn ex VAT'!CU10*INDEX('Global Constants'!CN$45:CN$49,$H10))</f>
        <v>0</v>
      </c>
      <c r="CV10" s="26">
        <f ca="1">IF($C10="","",'Outturn ex VAT'!CV10*INDEX('Global Constants'!CO$45:CO$49,$H10))</f>
        <v>0</v>
      </c>
      <c r="CW10" s="26">
        <f ca="1">IF($C10="","",'Outturn ex VAT'!CW10*INDEX('Global Constants'!CP$45:CP$49,$H10))</f>
        <v>0</v>
      </c>
      <c r="CX10" s="26">
        <f ca="1">IF($C10="","",'Outturn ex VAT'!CX10*INDEX('Global Constants'!CQ$45:CQ$49,$H10))</f>
        <v>0</v>
      </c>
      <c r="CZ10" s="26">
        <f t="shared" ca="1" si="1"/>
        <v>0</v>
      </c>
      <c r="DA10" s="26">
        <f ca="1">SUM(M10:CX10)</f>
        <v>2400</v>
      </c>
    </row>
    <row r="11" spans="1:105" x14ac:dyDescent="0.3">
      <c r="C11" s="4" t="str">
        <f>IF('Cost &amp; Risk Inputs'!C12="","",'Cost &amp; Risk Inputs'!C12)</f>
        <v>Test 3</v>
      </c>
      <c r="D11" s="4" t="str">
        <f>IF(C11="","",'Cost &amp; Risk Inputs'!H12)</f>
        <v>Design</v>
      </c>
      <c r="E11" s="4" t="str">
        <f>IF(C11="","",'Cost &amp; Risk Inputs'!I12)</f>
        <v>Personnel</v>
      </c>
      <c r="F11" s="4" t="str">
        <f>IF(C11="","",'Cost &amp; Risk Inputs'!E12)</f>
        <v>UK VAT</v>
      </c>
      <c r="H11" s="18">
        <f t="shared" si="0"/>
        <v>2</v>
      </c>
      <c r="M11" s="26">
        <f ca="1">IF($C11="","",'Outturn ex VAT'!M11*INDEX('Global Constants'!F$45:F$49,$H11))</f>
        <v>0</v>
      </c>
      <c r="N11" s="26">
        <f ca="1">IF($C11="","",'Outturn ex VAT'!N11*INDEX('Global Constants'!G$45:G$49,$H11))</f>
        <v>0</v>
      </c>
      <c r="O11" s="26">
        <f ca="1">IF($C11="","",'Outturn ex VAT'!O11*INDEX('Global Constants'!H$45:H$49,$H11))</f>
        <v>0</v>
      </c>
      <c r="P11" s="26">
        <f ca="1">IF($C11="","",'Outturn ex VAT'!P11*INDEX('Global Constants'!I$45:I$49,$H11))</f>
        <v>0</v>
      </c>
      <c r="Q11" s="26">
        <f ca="1">IF($C11="","",'Outturn ex VAT'!Q11*INDEX('Global Constants'!J$45:J$49,$H11))</f>
        <v>0</v>
      </c>
      <c r="R11" s="26">
        <f ca="1">IF($C11="","",'Outturn ex VAT'!R11*INDEX('Global Constants'!K$45:K$49,$H11))</f>
        <v>0</v>
      </c>
      <c r="S11" s="26">
        <f ca="1">IF($C11="","",'Outturn ex VAT'!S11*INDEX('Global Constants'!L$45:L$49,$H11))</f>
        <v>0</v>
      </c>
      <c r="T11" s="26">
        <f ca="1">IF($C11="","",'Outturn ex VAT'!T11*INDEX('Global Constants'!M$45:M$49,$H11))</f>
        <v>0</v>
      </c>
      <c r="U11" s="26">
        <f ca="1">IF($C11="","",'Outturn ex VAT'!U11*INDEX('Global Constants'!N$45:N$49,$H11))</f>
        <v>0</v>
      </c>
      <c r="V11" s="26">
        <f ca="1">IF($C11="","",'Outturn ex VAT'!V11*INDEX('Global Constants'!O$45:O$49,$H11))</f>
        <v>0</v>
      </c>
      <c r="W11" s="26">
        <f ca="1">IF($C11="","",'Outturn ex VAT'!W11*INDEX('Global Constants'!P$45:P$49,$H11))</f>
        <v>0</v>
      </c>
      <c r="X11" s="26">
        <f ca="1">IF($C11="","",'Outturn ex VAT'!X11*INDEX('Global Constants'!Q$45:Q$49,$H11))</f>
        <v>0</v>
      </c>
      <c r="Y11" s="26">
        <f ca="1">IF($C11="","",'Outturn ex VAT'!Y11*INDEX('Global Constants'!R$45:R$49,$H11))</f>
        <v>0</v>
      </c>
      <c r="Z11" s="26">
        <f ca="1">IF($C11="","",'Outturn ex VAT'!Z11*INDEX('Global Constants'!S$45:S$49,$H11))</f>
        <v>0</v>
      </c>
      <c r="AA11" s="26">
        <f ca="1">IF($C11="","",'Outturn ex VAT'!AA11*INDEX('Global Constants'!T$45:T$49,$H11))</f>
        <v>0</v>
      </c>
      <c r="AB11" s="26">
        <f ca="1">IF($C11="","",'Outturn ex VAT'!AB11*INDEX('Global Constants'!U$45:U$49,$H11))</f>
        <v>0</v>
      </c>
      <c r="AC11" s="26">
        <f ca="1">IF($C11="","",'Outturn ex VAT'!AC11*INDEX('Global Constants'!V$45:V$49,$H11))</f>
        <v>0</v>
      </c>
      <c r="AD11" s="26">
        <f ca="1">IF($C11="","",'Outturn ex VAT'!AD11*INDEX('Global Constants'!W$45:W$49,$H11))</f>
        <v>0</v>
      </c>
      <c r="AE11" s="26">
        <f ca="1">IF($C11="","",'Outturn ex VAT'!AE11*INDEX('Global Constants'!X$45:X$49,$H11))</f>
        <v>0</v>
      </c>
      <c r="AF11" s="26">
        <f ca="1">IF($C11="","",'Outturn ex VAT'!AF11*INDEX('Global Constants'!Y$45:Y$49,$H11))</f>
        <v>2400</v>
      </c>
      <c r="AG11" s="26">
        <f ca="1">IF($C11="","",'Outturn ex VAT'!AG11*INDEX('Global Constants'!Z$45:Z$49,$H11))</f>
        <v>0</v>
      </c>
      <c r="AH11" s="26">
        <f ca="1">IF($C11="","",'Outturn ex VAT'!AH11*INDEX('Global Constants'!AA$45:AA$49,$H11))</f>
        <v>0</v>
      </c>
      <c r="AI11" s="26">
        <f ca="1">IF($C11="","",'Outturn ex VAT'!AI11*INDEX('Global Constants'!AB$45:AB$49,$H11))</f>
        <v>0</v>
      </c>
      <c r="AJ11" s="26">
        <f ca="1">IF($C11="","",'Outturn ex VAT'!AJ11*INDEX('Global Constants'!AC$45:AC$49,$H11))</f>
        <v>0</v>
      </c>
      <c r="AK11" s="26">
        <f ca="1">IF($C11="","",'Outturn ex VAT'!AK11*INDEX('Global Constants'!AD$45:AD$49,$H11))</f>
        <v>0</v>
      </c>
      <c r="AL11" s="26">
        <f ca="1">IF($C11="","",'Outturn ex VAT'!AL11*INDEX('Global Constants'!AE$45:AE$49,$H11))</f>
        <v>0</v>
      </c>
      <c r="AM11" s="26">
        <f ca="1">IF($C11="","",'Outturn ex VAT'!AM11*INDEX('Global Constants'!AF$45:AF$49,$H11))</f>
        <v>0</v>
      </c>
      <c r="AN11" s="26">
        <f ca="1">IF($C11="","",'Outturn ex VAT'!AN11*INDEX('Global Constants'!AG$45:AG$49,$H11))</f>
        <v>0</v>
      </c>
      <c r="AO11" s="26">
        <f ca="1">IF($C11="","",'Outturn ex VAT'!AO11*INDEX('Global Constants'!AH$45:AH$49,$H11))</f>
        <v>0</v>
      </c>
      <c r="AP11" s="26">
        <f ca="1">IF($C11="","",'Outturn ex VAT'!AP11*INDEX('Global Constants'!AI$45:AI$49,$H11))</f>
        <v>0</v>
      </c>
      <c r="AQ11" s="26">
        <f ca="1">IF($C11="","",'Outturn ex VAT'!AQ11*INDEX('Global Constants'!AJ$45:AJ$49,$H11))</f>
        <v>0</v>
      </c>
      <c r="AR11" s="26">
        <f ca="1">IF($C11="","",'Outturn ex VAT'!AR11*INDEX('Global Constants'!AK$45:AK$49,$H11))</f>
        <v>0</v>
      </c>
      <c r="AS11" s="26">
        <f ca="1">IF($C11="","",'Outturn ex VAT'!AS11*INDEX('Global Constants'!AL$45:AL$49,$H11))</f>
        <v>0</v>
      </c>
      <c r="AT11" s="26">
        <f ca="1">IF($C11="","",'Outturn ex VAT'!AT11*INDEX('Global Constants'!AM$45:AM$49,$H11))</f>
        <v>0</v>
      </c>
      <c r="AU11" s="26">
        <f ca="1">IF($C11="","",'Outturn ex VAT'!AU11*INDEX('Global Constants'!AN$45:AN$49,$H11))</f>
        <v>0</v>
      </c>
      <c r="AV11" s="26">
        <f ca="1">IF($C11="","",'Outturn ex VAT'!AV11*INDEX('Global Constants'!AO$45:AO$49,$H11))</f>
        <v>0</v>
      </c>
      <c r="AW11" s="26">
        <f ca="1">IF($C11="","",'Outturn ex VAT'!AW11*INDEX('Global Constants'!AP$45:AP$49,$H11))</f>
        <v>0</v>
      </c>
      <c r="AX11" s="26">
        <f ca="1">IF($C11="","",'Outturn ex VAT'!AX11*INDEX('Global Constants'!AQ$45:AQ$49,$H11))</f>
        <v>0</v>
      </c>
      <c r="AY11" s="26">
        <f ca="1">IF($C11="","",'Outturn ex VAT'!AY11*INDEX('Global Constants'!AR$45:AR$49,$H11))</f>
        <v>0</v>
      </c>
      <c r="AZ11" s="26">
        <f ca="1">IF($C11="","",'Outturn ex VAT'!AZ11*INDEX('Global Constants'!AS$45:AS$49,$H11))</f>
        <v>0</v>
      </c>
      <c r="BA11" s="26">
        <f ca="1">IF($C11="","",'Outturn ex VAT'!BA11*INDEX('Global Constants'!AT$45:AT$49,$H11))</f>
        <v>0</v>
      </c>
      <c r="BB11" s="26">
        <f ca="1">IF($C11="","",'Outturn ex VAT'!BB11*INDEX('Global Constants'!AU$45:AU$49,$H11))</f>
        <v>0</v>
      </c>
      <c r="BC11" s="26">
        <f ca="1">IF($C11="","",'Outturn ex VAT'!BC11*INDEX('Global Constants'!AV$45:AV$49,$H11))</f>
        <v>0</v>
      </c>
      <c r="BD11" s="26">
        <f ca="1">IF($C11="","",'Outturn ex VAT'!BD11*INDEX('Global Constants'!AW$45:AW$49,$H11))</f>
        <v>0</v>
      </c>
      <c r="BE11" s="26">
        <f ca="1">IF($C11="","",'Outturn ex VAT'!BE11*INDEX('Global Constants'!AX$45:AX$49,$H11))</f>
        <v>0</v>
      </c>
      <c r="BF11" s="26">
        <f ca="1">IF($C11="","",'Outturn ex VAT'!BF11*INDEX('Global Constants'!AY$45:AY$49,$H11))</f>
        <v>0</v>
      </c>
      <c r="BG11" s="26">
        <f ca="1">IF($C11="","",'Outturn ex VAT'!BG11*INDEX('Global Constants'!AZ$45:AZ$49,$H11))</f>
        <v>0</v>
      </c>
      <c r="BH11" s="26">
        <f ca="1">IF($C11="","",'Outturn ex VAT'!BH11*INDEX('Global Constants'!BA$45:BA$49,$H11))</f>
        <v>0</v>
      </c>
      <c r="BI11" s="26">
        <f ca="1">IF($C11="","",'Outturn ex VAT'!BI11*INDEX('Global Constants'!BB$45:BB$49,$H11))</f>
        <v>0</v>
      </c>
      <c r="BJ11" s="26">
        <f ca="1">IF($C11="","",'Outturn ex VAT'!BJ11*INDEX('Global Constants'!BC$45:BC$49,$H11))</f>
        <v>0</v>
      </c>
      <c r="BK11" s="26">
        <f ca="1">IF($C11="","",'Outturn ex VAT'!BK11*INDEX('Global Constants'!BD$45:BD$49,$H11))</f>
        <v>0</v>
      </c>
      <c r="BL11" s="26">
        <f ca="1">IF($C11="","",'Outturn ex VAT'!BL11*INDEX('Global Constants'!BE$45:BE$49,$H11))</f>
        <v>0</v>
      </c>
      <c r="BM11" s="26">
        <f ca="1">IF($C11="","",'Outturn ex VAT'!BM11*INDEX('Global Constants'!BF$45:BF$49,$H11))</f>
        <v>0</v>
      </c>
      <c r="BN11" s="26">
        <f ca="1">IF($C11="","",'Outturn ex VAT'!BN11*INDEX('Global Constants'!BG$45:BG$49,$H11))</f>
        <v>0</v>
      </c>
      <c r="BO11" s="26">
        <f ca="1">IF($C11="","",'Outturn ex VAT'!BO11*INDEX('Global Constants'!BH$45:BH$49,$H11))</f>
        <v>0</v>
      </c>
      <c r="BP11" s="26">
        <f ca="1">IF($C11="","",'Outturn ex VAT'!BP11*INDEX('Global Constants'!BI$45:BI$49,$H11))</f>
        <v>0</v>
      </c>
      <c r="BQ11" s="26">
        <f ca="1">IF($C11="","",'Outturn ex VAT'!BQ11*INDEX('Global Constants'!BJ$45:BJ$49,$H11))</f>
        <v>0</v>
      </c>
      <c r="BR11" s="26">
        <f ca="1">IF($C11="","",'Outturn ex VAT'!BR11*INDEX('Global Constants'!BK$45:BK$49,$H11))</f>
        <v>0</v>
      </c>
      <c r="BS11" s="26">
        <f ca="1">IF($C11="","",'Outturn ex VAT'!BS11*INDEX('Global Constants'!BL$45:BL$49,$H11))</f>
        <v>0</v>
      </c>
      <c r="BT11" s="26">
        <f ca="1">IF($C11="","",'Outturn ex VAT'!BT11*INDEX('Global Constants'!BM$45:BM$49,$H11))</f>
        <v>0</v>
      </c>
      <c r="BU11" s="26">
        <f ca="1">IF($C11="","",'Outturn ex VAT'!BU11*INDEX('Global Constants'!BN$45:BN$49,$H11))</f>
        <v>0</v>
      </c>
      <c r="BV11" s="26">
        <f ca="1">IF($C11="","",'Outturn ex VAT'!BV11*INDEX('Global Constants'!BO$45:BO$49,$H11))</f>
        <v>0</v>
      </c>
      <c r="BW11" s="26">
        <f ca="1">IF($C11="","",'Outturn ex VAT'!BW11*INDEX('Global Constants'!BP$45:BP$49,$H11))</f>
        <v>0</v>
      </c>
      <c r="BX11" s="26">
        <f ca="1">IF($C11="","",'Outturn ex VAT'!BX11*INDEX('Global Constants'!BQ$45:BQ$49,$H11))</f>
        <v>0</v>
      </c>
      <c r="BY11" s="26">
        <f ca="1">IF($C11="","",'Outturn ex VAT'!BY11*INDEX('Global Constants'!BR$45:BR$49,$H11))</f>
        <v>0</v>
      </c>
      <c r="BZ11" s="26">
        <f ca="1">IF($C11="","",'Outturn ex VAT'!BZ11*INDEX('Global Constants'!BS$45:BS$49,$H11))</f>
        <v>0</v>
      </c>
      <c r="CA11" s="26">
        <f ca="1">IF($C11="","",'Outturn ex VAT'!CA11*INDEX('Global Constants'!BT$45:BT$49,$H11))</f>
        <v>0</v>
      </c>
      <c r="CB11" s="26">
        <f ca="1">IF($C11="","",'Outturn ex VAT'!CB11*INDEX('Global Constants'!BU$45:BU$49,$H11))</f>
        <v>0</v>
      </c>
      <c r="CC11" s="26">
        <f ca="1">IF($C11="","",'Outturn ex VAT'!CC11*INDEX('Global Constants'!BV$45:BV$49,$H11))</f>
        <v>0</v>
      </c>
      <c r="CD11" s="26">
        <f ca="1">IF($C11="","",'Outturn ex VAT'!CD11*INDEX('Global Constants'!BW$45:BW$49,$H11))</f>
        <v>0</v>
      </c>
      <c r="CE11" s="26">
        <f ca="1">IF($C11="","",'Outturn ex VAT'!CE11*INDEX('Global Constants'!BX$45:BX$49,$H11))</f>
        <v>0</v>
      </c>
      <c r="CF11" s="26">
        <f ca="1">IF($C11="","",'Outturn ex VAT'!CF11*INDEX('Global Constants'!BY$45:BY$49,$H11))</f>
        <v>0</v>
      </c>
      <c r="CG11" s="26">
        <f ca="1">IF($C11="","",'Outturn ex VAT'!CG11*INDEX('Global Constants'!BZ$45:BZ$49,$H11))</f>
        <v>0</v>
      </c>
      <c r="CH11" s="26">
        <f ca="1">IF($C11="","",'Outturn ex VAT'!CH11*INDEX('Global Constants'!CA$45:CA$49,$H11))</f>
        <v>0</v>
      </c>
      <c r="CI11" s="26">
        <f ca="1">IF($C11="","",'Outturn ex VAT'!CI11*INDEX('Global Constants'!CB$45:CB$49,$H11))</f>
        <v>0</v>
      </c>
      <c r="CJ11" s="26">
        <f ca="1">IF($C11="","",'Outturn ex VAT'!CJ11*INDEX('Global Constants'!CC$45:CC$49,$H11))</f>
        <v>0</v>
      </c>
      <c r="CK11" s="26">
        <f ca="1">IF($C11="","",'Outturn ex VAT'!CK11*INDEX('Global Constants'!CD$45:CD$49,$H11))</f>
        <v>0</v>
      </c>
      <c r="CL11" s="26">
        <f ca="1">IF($C11="","",'Outturn ex VAT'!CL11*INDEX('Global Constants'!CE$45:CE$49,$H11))</f>
        <v>0</v>
      </c>
      <c r="CM11" s="26">
        <f ca="1">IF($C11="","",'Outturn ex VAT'!CM11*INDEX('Global Constants'!CF$45:CF$49,$H11))</f>
        <v>0</v>
      </c>
      <c r="CN11" s="26">
        <f ca="1">IF($C11="","",'Outturn ex VAT'!CN11*INDEX('Global Constants'!CG$45:CG$49,$H11))</f>
        <v>0</v>
      </c>
      <c r="CO11" s="26">
        <f ca="1">IF($C11="","",'Outturn ex VAT'!CO11*INDEX('Global Constants'!CH$45:CH$49,$H11))</f>
        <v>0</v>
      </c>
      <c r="CP11" s="26">
        <f ca="1">IF($C11="","",'Outturn ex VAT'!CP11*INDEX('Global Constants'!CI$45:CI$49,$H11))</f>
        <v>0</v>
      </c>
      <c r="CQ11" s="26">
        <f ca="1">IF($C11="","",'Outturn ex VAT'!CQ11*INDEX('Global Constants'!CJ$45:CJ$49,$H11))</f>
        <v>0</v>
      </c>
      <c r="CR11" s="26">
        <f ca="1">IF($C11="","",'Outturn ex VAT'!CR11*INDEX('Global Constants'!CK$45:CK$49,$H11))</f>
        <v>0</v>
      </c>
      <c r="CS11" s="26">
        <f ca="1">IF($C11="","",'Outturn ex VAT'!CS11*INDEX('Global Constants'!CL$45:CL$49,$H11))</f>
        <v>0</v>
      </c>
      <c r="CT11" s="26">
        <f ca="1">IF($C11="","",'Outturn ex VAT'!CT11*INDEX('Global Constants'!CM$45:CM$49,$H11))</f>
        <v>0</v>
      </c>
      <c r="CU11" s="26">
        <f ca="1">IF($C11="","",'Outturn ex VAT'!CU11*INDEX('Global Constants'!CN$45:CN$49,$H11))</f>
        <v>0</v>
      </c>
      <c r="CV11" s="26">
        <f ca="1">IF($C11="","",'Outturn ex VAT'!CV11*INDEX('Global Constants'!CO$45:CO$49,$H11))</f>
        <v>0</v>
      </c>
      <c r="CW11" s="26">
        <f ca="1">IF($C11="","",'Outturn ex VAT'!CW11*INDEX('Global Constants'!CP$45:CP$49,$H11))</f>
        <v>0</v>
      </c>
      <c r="CX11" s="26">
        <f ca="1">IF($C11="","",'Outturn ex VAT'!CX11*INDEX('Global Constants'!CQ$45:CQ$49,$H11))</f>
        <v>0</v>
      </c>
      <c r="CZ11" s="26">
        <f t="shared" ca="1" si="1"/>
        <v>0</v>
      </c>
      <c r="DA11" s="26">
        <f t="shared" ref="DA11:DA38" ca="1" si="2">SUM(M11:CX11)</f>
        <v>2400</v>
      </c>
    </row>
    <row r="12" spans="1:105" x14ac:dyDescent="0.3">
      <c r="C12" s="4" t="str">
        <f>IF('Cost &amp; Risk Inputs'!C13="","",'Cost &amp; Risk Inputs'!C13)</f>
        <v>Test 4</v>
      </c>
      <c r="D12" s="4" t="str">
        <f>IF(C12="","",'Cost &amp; Risk Inputs'!H13)</f>
        <v>Manufacture</v>
      </c>
      <c r="E12" s="4" t="str">
        <f>IF(C12="","",'Cost &amp; Risk Inputs'!I13)</f>
        <v>Information</v>
      </c>
      <c r="F12" s="4" t="str">
        <f>IF(C12="","",'Cost &amp; Risk Inputs'!E13)</f>
        <v>UK VAT</v>
      </c>
      <c r="H12" s="18">
        <f t="shared" si="0"/>
        <v>2</v>
      </c>
      <c r="M12" s="26">
        <f ca="1">IF($C12="","",'Outturn ex VAT'!M12*INDEX('Global Constants'!F$45:F$49,$H12))</f>
        <v>0</v>
      </c>
      <c r="N12" s="26">
        <f ca="1">IF($C12="","",'Outturn ex VAT'!N12*INDEX('Global Constants'!G$45:G$49,$H12))</f>
        <v>0</v>
      </c>
      <c r="O12" s="26">
        <f ca="1">IF($C12="","",'Outturn ex VAT'!O12*INDEX('Global Constants'!H$45:H$49,$H12))</f>
        <v>0</v>
      </c>
      <c r="P12" s="26">
        <f ca="1">IF($C12="","",'Outturn ex VAT'!P12*INDEX('Global Constants'!I$45:I$49,$H12))</f>
        <v>0</v>
      </c>
      <c r="Q12" s="26">
        <f ca="1">IF($C12="","",'Outturn ex VAT'!Q12*INDEX('Global Constants'!J$45:J$49,$H12))</f>
        <v>0</v>
      </c>
      <c r="R12" s="26">
        <f ca="1">IF($C12="","",'Outturn ex VAT'!R12*INDEX('Global Constants'!K$45:K$49,$H12))</f>
        <v>0</v>
      </c>
      <c r="S12" s="26">
        <f ca="1">IF($C12="","",'Outturn ex VAT'!S12*INDEX('Global Constants'!L$45:L$49,$H12))</f>
        <v>0</v>
      </c>
      <c r="T12" s="26">
        <f ca="1">IF($C12="","",'Outturn ex VAT'!T12*INDEX('Global Constants'!M$45:M$49,$H12))</f>
        <v>0</v>
      </c>
      <c r="U12" s="26">
        <f ca="1">IF($C12="","",'Outturn ex VAT'!U12*INDEX('Global Constants'!N$45:N$49,$H12))</f>
        <v>0</v>
      </c>
      <c r="V12" s="26">
        <f ca="1">IF($C12="","",'Outturn ex VAT'!V12*INDEX('Global Constants'!O$45:O$49,$H12))</f>
        <v>0</v>
      </c>
      <c r="W12" s="26">
        <f ca="1">IF($C12="","",'Outturn ex VAT'!W12*INDEX('Global Constants'!P$45:P$49,$H12))</f>
        <v>0</v>
      </c>
      <c r="X12" s="26">
        <f ca="1">IF($C12="","",'Outturn ex VAT'!X12*INDEX('Global Constants'!Q$45:Q$49,$H12))</f>
        <v>0</v>
      </c>
      <c r="Y12" s="26">
        <f ca="1">IF($C12="","",'Outturn ex VAT'!Y12*INDEX('Global Constants'!R$45:R$49,$H12))</f>
        <v>0</v>
      </c>
      <c r="Z12" s="26">
        <f ca="1">IF($C12="","",'Outturn ex VAT'!Z12*INDEX('Global Constants'!S$45:S$49,$H12))</f>
        <v>0</v>
      </c>
      <c r="AA12" s="26">
        <f ca="1">IF($C12="","",'Outturn ex VAT'!AA12*INDEX('Global Constants'!T$45:T$49,$H12))</f>
        <v>0</v>
      </c>
      <c r="AB12" s="26">
        <f ca="1">IF($C12="","",'Outturn ex VAT'!AB12*INDEX('Global Constants'!U$45:U$49,$H12))</f>
        <v>0</v>
      </c>
      <c r="AC12" s="26">
        <f ca="1">IF($C12="","",'Outturn ex VAT'!AC12*INDEX('Global Constants'!V$45:V$49,$H12))</f>
        <v>0</v>
      </c>
      <c r="AD12" s="26">
        <f ca="1">IF($C12="","",'Outturn ex VAT'!AD12*INDEX('Global Constants'!W$45:W$49,$H12))</f>
        <v>0</v>
      </c>
      <c r="AE12" s="26">
        <f ca="1">IF($C12="","",'Outturn ex VAT'!AE12*INDEX('Global Constants'!X$45:X$49,$H12))</f>
        <v>0</v>
      </c>
      <c r="AF12" s="26">
        <f ca="1">IF($C12="","",'Outturn ex VAT'!AF12*INDEX('Global Constants'!Y$45:Y$49,$H12))</f>
        <v>0</v>
      </c>
      <c r="AG12" s="26">
        <f ca="1">IF($C12="","",'Outturn ex VAT'!AG12*INDEX('Global Constants'!Z$45:Z$49,$H12))</f>
        <v>2400</v>
      </c>
      <c r="AH12" s="26">
        <f ca="1">IF($C12="","",'Outturn ex VAT'!AH12*INDEX('Global Constants'!AA$45:AA$49,$H12))</f>
        <v>0</v>
      </c>
      <c r="AI12" s="26">
        <f ca="1">IF($C12="","",'Outturn ex VAT'!AI12*INDEX('Global Constants'!AB$45:AB$49,$H12))</f>
        <v>0</v>
      </c>
      <c r="AJ12" s="26">
        <f ca="1">IF($C12="","",'Outturn ex VAT'!AJ12*INDEX('Global Constants'!AC$45:AC$49,$H12))</f>
        <v>0</v>
      </c>
      <c r="AK12" s="26">
        <f ca="1">IF($C12="","",'Outturn ex VAT'!AK12*INDEX('Global Constants'!AD$45:AD$49,$H12))</f>
        <v>0</v>
      </c>
      <c r="AL12" s="26">
        <f ca="1">IF($C12="","",'Outturn ex VAT'!AL12*INDEX('Global Constants'!AE$45:AE$49,$H12))</f>
        <v>0</v>
      </c>
      <c r="AM12" s="26">
        <f ca="1">IF($C12="","",'Outturn ex VAT'!AM12*INDEX('Global Constants'!AF$45:AF$49,$H12))</f>
        <v>0</v>
      </c>
      <c r="AN12" s="26">
        <f ca="1">IF($C12="","",'Outturn ex VAT'!AN12*INDEX('Global Constants'!AG$45:AG$49,$H12))</f>
        <v>0</v>
      </c>
      <c r="AO12" s="26">
        <f ca="1">IF($C12="","",'Outturn ex VAT'!AO12*INDEX('Global Constants'!AH$45:AH$49,$H12))</f>
        <v>0</v>
      </c>
      <c r="AP12" s="26">
        <f ca="1">IF($C12="","",'Outturn ex VAT'!AP12*INDEX('Global Constants'!AI$45:AI$49,$H12))</f>
        <v>0</v>
      </c>
      <c r="AQ12" s="26">
        <f ca="1">IF($C12="","",'Outturn ex VAT'!AQ12*INDEX('Global Constants'!AJ$45:AJ$49,$H12))</f>
        <v>0</v>
      </c>
      <c r="AR12" s="26">
        <f ca="1">IF($C12="","",'Outturn ex VAT'!AR12*INDEX('Global Constants'!AK$45:AK$49,$H12))</f>
        <v>0</v>
      </c>
      <c r="AS12" s="26">
        <f ca="1">IF($C12="","",'Outturn ex VAT'!AS12*INDEX('Global Constants'!AL$45:AL$49,$H12))</f>
        <v>0</v>
      </c>
      <c r="AT12" s="26">
        <f ca="1">IF($C12="","",'Outturn ex VAT'!AT12*INDEX('Global Constants'!AM$45:AM$49,$H12))</f>
        <v>0</v>
      </c>
      <c r="AU12" s="26">
        <f ca="1">IF($C12="","",'Outturn ex VAT'!AU12*INDEX('Global Constants'!AN$45:AN$49,$H12))</f>
        <v>0</v>
      </c>
      <c r="AV12" s="26">
        <f ca="1">IF($C12="","",'Outturn ex VAT'!AV12*INDEX('Global Constants'!AO$45:AO$49,$H12))</f>
        <v>0</v>
      </c>
      <c r="AW12" s="26">
        <f ca="1">IF($C12="","",'Outturn ex VAT'!AW12*INDEX('Global Constants'!AP$45:AP$49,$H12))</f>
        <v>0</v>
      </c>
      <c r="AX12" s="26">
        <f ca="1">IF($C12="","",'Outturn ex VAT'!AX12*INDEX('Global Constants'!AQ$45:AQ$49,$H12))</f>
        <v>0</v>
      </c>
      <c r="AY12" s="26">
        <f ca="1">IF($C12="","",'Outturn ex VAT'!AY12*INDEX('Global Constants'!AR$45:AR$49,$H12))</f>
        <v>0</v>
      </c>
      <c r="AZ12" s="26">
        <f ca="1">IF($C12="","",'Outturn ex VAT'!AZ12*INDEX('Global Constants'!AS$45:AS$49,$H12))</f>
        <v>0</v>
      </c>
      <c r="BA12" s="26">
        <f ca="1">IF($C12="","",'Outturn ex VAT'!BA12*INDEX('Global Constants'!AT$45:AT$49,$H12))</f>
        <v>0</v>
      </c>
      <c r="BB12" s="26">
        <f ca="1">IF($C12="","",'Outturn ex VAT'!BB12*INDEX('Global Constants'!AU$45:AU$49,$H12))</f>
        <v>0</v>
      </c>
      <c r="BC12" s="26">
        <f ca="1">IF($C12="","",'Outturn ex VAT'!BC12*INDEX('Global Constants'!AV$45:AV$49,$H12))</f>
        <v>0</v>
      </c>
      <c r="BD12" s="26">
        <f ca="1">IF($C12="","",'Outturn ex VAT'!BD12*INDEX('Global Constants'!AW$45:AW$49,$H12))</f>
        <v>0</v>
      </c>
      <c r="BE12" s="26">
        <f ca="1">IF($C12="","",'Outturn ex VAT'!BE12*INDEX('Global Constants'!AX$45:AX$49,$H12))</f>
        <v>0</v>
      </c>
      <c r="BF12" s="26">
        <f ca="1">IF($C12="","",'Outturn ex VAT'!BF12*INDEX('Global Constants'!AY$45:AY$49,$H12))</f>
        <v>0</v>
      </c>
      <c r="BG12" s="26">
        <f ca="1">IF($C12="","",'Outturn ex VAT'!BG12*INDEX('Global Constants'!AZ$45:AZ$49,$H12))</f>
        <v>0</v>
      </c>
      <c r="BH12" s="26">
        <f ca="1">IF($C12="","",'Outturn ex VAT'!BH12*INDEX('Global Constants'!BA$45:BA$49,$H12))</f>
        <v>0</v>
      </c>
      <c r="BI12" s="26">
        <f ca="1">IF($C12="","",'Outturn ex VAT'!BI12*INDEX('Global Constants'!BB$45:BB$49,$H12))</f>
        <v>0</v>
      </c>
      <c r="BJ12" s="26">
        <f ca="1">IF($C12="","",'Outturn ex VAT'!BJ12*INDEX('Global Constants'!BC$45:BC$49,$H12))</f>
        <v>0</v>
      </c>
      <c r="BK12" s="26">
        <f ca="1">IF($C12="","",'Outturn ex VAT'!BK12*INDEX('Global Constants'!BD$45:BD$49,$H12))</f>
        <v>0</v>
      </c>
      <c r="BL12" s="26">
        <f ca="1">IF($C12="","",'Outturn ex VAT'!BL12*INDEX('Global Constants'!BE$45:BE$49,$H12))</f>
        <v>0</v>
      </c>
      <c r="BM12" s="26">
        <f ca="1">IF($C12="","",'Outturn ex VAT'!BM12*INDEX('Global Constants'!BF$45:BF$49,$H12))</f>
        <v>0</v>
      </c>
      <c r="BN12" s="26">
        <f ca="1">IF($C12="","",'Outturn ex VAT'!BN12*INDEX('Global Constants'!BG$45:BG$49,$H12))</f>
        <v>0</v>
      </c>
      <c r="BO12" s="26">
        <f ca="1">IF($C12="","",'Outturn ex VAT'!BO12*INDEX('Global Constants'!BH$45:BH$49,$H12))</f>
        <v>0</v>
      </c>
      <c r="BP12" s="26">
        <f ca="1">IF($C12="","",'Outturn ex VAT'!BP12*INDEX('Global Constants'!BI$45:BI$49,$H12))</f>
        <v>0</v>
      </c>
      <c r="BQ12" s="26">
        <f ca="1">IF($C12="","",'Outturn ex VAT'!BQ12*INDEX('Global Constants'!BJ$45:BJ$49,$H12))</f>
        <v>0</v>
      </c>
      <c r="BR12" s="26">
        <f ca="1">IF($C12="","",'Outturn ex VAT'!BR12*INDEX('Global Constants'!BK$45:BK$49,$H12))</f>
        <v>0</v>
      </c>
      <c r="BS12" s="26">
        <f ca="1">IF($C12="","",'Outturn ex VAT'!BS12*INDEX('Global Constants'!BL$45:BL$49,$H12))</f>
        <v>0</v>
      </c>
      <c r="BT12" s="26">
        <f ca="1">IF($C12="","",'Outturn ex VAT'!BT12*INDEX('Global Constants'!BM$45:BM$49,$H12))</f>
        <v>0</v>
      </c>
      <c r="BU12" s="26">
        <f ca="1">IF($C12="","",'Outturn ex VAT'!BU12*INDEX('Global Constants'!BN$45:BN$49,$H12))</f>
        <v>0</v>
      </c>
      <c r="BV12" s="26">
        <f ca="1">IF($C12="","",'Outturn ex VAT'!BV12*INDEX('Global Constants'!BO$45:BO$49,$H12))</f>
        <v>0</v>
      </c>
      <c r="BW12" s="26">
        <f ca="1">IF($C12="","",'Outturn ex VAT'!BW12*INDEX('Global Constants'!BP$45:BP$49,$H12))</f>
        <v>0</v>
      </c>
      <c r="BX12" s="26">
        <f ca="1">IF($C12="","",'Outturn ex VAT'!BX12*INDEX('Global Constants'!BQ$45:BQ$49,$H12))</f>
        <v>0</v>
      </c>
      <c r="BY12" s="26">
        <f ca="1">IF($C12="","",'Outturn ex VAT'!BY12*INDEX('Global Constants'!BR$45:BR$49,$H12))</f>
        <v>0</v>
      </c>
      <c r="BZ12" s="26">
        <f ca="1">IF($C12="","",'Outturn ex VAT'!BZ12*INDEX('Global Constants'!BS$45:BS$49,$H12))</f>
        <v>0</v>
      </c>
      <c r="CA12" s="26">
        <f ca="1">IF($C12="","",'Outturn ex VAT'!CA12*INDEX('Global Constants'!BT$45:BT$49,$H12))</f>
        <v>0</v>
      </c>
      <c r="CB12" s="26">
        <f ca="1">IF($C12="","",'Outturn ex VAT'!CB12*INDEX('Global Constants'!BU$45:BU$49,$H12))</f>
        <v>0</v>
      </c>
      <c r="CC12" s="26">
        <f ca="1">IF($C12="","",'Outturn ex VAT'!CC12*INDEX('Global Constants'!BV$45:BV$49,$H12))</f>
        <v>0</v>
      </c>
      <c r="CD12" s="26">
        <f ca="1">IF($C12="","",'Outturn ex VAT'!CD12*INDEX('Global Constants'!BW$45:BW$49,$H12))</f>
        <v>0</v>
      </c>
      <c r="CE12" s="26">
        <f ca="1">IF($C12="","",'Outturn ex VAT'!CE12*INDEX('Global Constants'!BX$45:BX$49,$H12))</f>
        <v>0</v>
      </c>
      <c r="CF12" s="26">
        <f ca="1">IF($C12="","",'Outturn ex VAT'!CF12*INDEX('Global Constants'!BY$45:BY$49,$H12))</f>
        <v>0</v>
      </c>
      <c r="CG12" s="26">
        <f ca="1">IF($C12="","",'Outturn ex VAT'!CG12*INDEX('Global Constants'!BZ$45:BZ$49,$H12))</f>
        <v>0</v>
      </c>
      <c r="CH12" s="26">
        <f ca="1">IF($C12="","",'Outturn ex VAT'!CH12*INDEX('Global Constants'!CA$45:CA$49,$H12))</f>
        <v>0</v>
      </c>
      <c r="CI12" s="26">
        <f ca="1">IF($C12="","",'Outturn ex VAT'!CI12*INDEX('Global Constants'!CB$45:CB$49,$H12))</f>
        <v>0</v>
      </c>
      <c r="CJ12" s="26">
        <f ca="1">IF($C12="","",'Outturn ex VAT'!CJ12*INDEX('Global Constants'!CC$45:CC$49,$H12))</f>
        <v>0</v>
      </c>
      <c r="CK12" s="26">
        <f ca="1">IF($C12="","",'Outturn ex VAT'!CK12*INDEX('Global Constants'!CD$45:CD$49,$H12))</f>
        <v>0</v>
      </c>
      <c r="CL12" s="26">
        <f ca="1">IF($C12="","",'Outturn ex VAT'!CL12*INDEX('Global Constants'!CE$45:CE$49,$H12))</f>
        <v>0</v>
      </c>
      <c r="CM12" s="26">
        <f ca="1">IF($C12="","",'Outturn ex VAT'!CM12*INDEX('Global Constants'!CF$45:CF$49,$H12))</f>
        <v>0</v>
      </c>
      <c r="CN12" s="26">
        <f ca="1">IF($C12="","",'Outturn ex VAT'!CN12*INDEX('Global Constants'!CG$45:CG$49,$H12))</f>
        <v>0</v>
      </c>
      <c r="CO12" s="26">
        <f ca="1">IF($C12="","",'Outturn ex VAT'!CO12*INDEX('Global Constants'!CH$45:CH$49,$H12))</f>
        <v>0</v>
      </c>
      <c r="CP12" s="26">
        <f ca="1">IF($C12="","",'Outturn ex VAT'!CP12*INDEX('Global Constants'!CI$45:CI$49,$H12))</f>
        <v>0</v>
      </c>
      <c r="CQ12" s="26">
        <f ca="1">IF($C12="","",'Outturn ex VAT'!CQ12*INDEX('Global Constants'!CJ$45:CJ$49,$H12))</f>
        <v>0</v>
      </c>
      <c r="CR12" s="26">
        <f ca="1">IF($C12="","",'Outturn ex VAT'!CR12*INDEX('Global Constants'!CK$45:CK$49,$H12))</f>
        <v>0</v>
      </c>
      <c r="CS12" s="26">
        <f ca="1">IF($C12="","",'Outturn ex VAT'!CS12*INDEX('Global Constants'!CL$45:CL$49,$H12))</f>
        <v>0</v>
      </c>
      <c r="CT12" s="26">
        <f ca="1">IF($C12="","",'Outturn ex VAT'!CT12*INDEX('Global Constants'!CM$45:CM$49,$H12))</f>
        <v>0</v>
      </c>
      <c r="CU12" s="26">
        <f ca="1">IF($C12="","",'Outturn ex VAT'!CU12*INDEX('Global Constants'!CN$45:CN$49,$H12))</f>
        <v>0</v>
      </c>
      <c r="CV12" s="26">
        <f ca="1">IF($C12="","",'Outturn ex VAT'!CV12*INDEX('Global Constants'!CO$45:CO$49,$H12))</f>
        <v>0</v>
      </c>
      <c r="CW12" s="26">
        <f ca="1">IF($C12="","",'Outturn ex VAT'!CW12*INDEX('Global Constants'!CP$45:CP$49,$H12))</f>
        <v>0</v>
      </c>
      <c r="CX12" s="26">
        <f ca="1">IF($C12="","",'Outturn ex VAT'!CX12*INDEX('Global Constants'!CQ$45:CQ$49,$H12))</f>
        <v>0</v>
      </c>
      <c r="CZ12" s="26">
        <f t="shared" ca="1" si="1"/>
        <v>0</v>
      </c>
      <c r="DA12" s="26">
        <f t="shared" ca="1" si="2"/>
        <v>2400</v>
      </c>
    </row>
    <row r="13" spans="1:105" x14ac:dyDescent="0.3">
      <c r="C13" s="4" t="str">
        <f>IF('Cost &amp; Risk Inputs'!C14="","",'Cost &amp; Risk Inputs'!C14)</f>
        <v>Test 5</v>
      </c>
      <c r="D13" s="4" t="str">
        <f>IF(C13="","",'Cost &amp; Risk Inputs'!H14)</f>
        <v>In-Service</v>
      </c>
      <c r="E13" s="4" t="str">
        <f>IF(C13="","",'Cost &amp; Risk Inputs'!I14)</f>
        <v>Concepts and Doctrine</v>
      </c>
      <c r="F13" s="4" t="str">
        <f>IF(C13="","",'Cost &amp; Risk Inputs'!E14)</f>
        <v>UK VAT</v>
      </c>
      <c r="H13" s="18">
        <f t="shared" si="0"/>
        <v>2</v>
      </c>
      <c r="M13" s="26">
        <f ca="1">IF($C13="","",'Outturn ex VAT'!M13*INDEX('Global Constants'!F$45:F$49,$H13))</f>
        <v>0</v>
      </c>
      <c r="N13" s="26">
        <f ca="1">IF($C13="","",'Outturn ex VAT'!N13*INDEX('Global Constants'!G$45:G$49,$H13))</f>
        <v>0</v>
      </c>
      <c r="O13" s="26">
        <f ca="1">IF($C13="","",'Outturn ex VAT'!O13*INDEX('Global Constants'!H$45:H$49,$H13))</f>
        <v>0</v>
      </c>
      <c r="P13" s="26">
        <f ca="1">IF($C13="","",'Outturn ex VAT'!P13*INDEX('Global Constants'!I$45:I$49,$H13))</f>
        <v>0</v>
      </c>
      <c r="Q13" s="26">
        <f ca="1">IF($C13="","",'Outturn ex VAT'!Q13*INDEX('Global Constants'!J$45:J$49,$H13))</f>
        <v>0</v>
      </c>
      <c r="R13" s="26">
        <f ca="1">IF($C13="","",'Outturn ex VAT'!R13*INDEX('Global Constants'!K$45:K$49,$H13))</f>
        <v>0</v>
      </c>
      <c r="S13" s="26">
        <f ca="1">IF($C13="","",'Outturn ex VAT'!S13*INDEX('Global Constants'!L$45:L$49,$H13))</f>
        <v>0</v>
      </c>
      <c r="T13" s="26">
        <f ca="1">IF($C13="","",'Outturn ex VAT'!T13*INDEX('Global Constants'!M$45:M$49,$H13))</f>
        <v>0</v>
      </c>
      <c r="U13" s="26">
        <f ca="1">IF($C13="","",'Outturn ex VAT'!U13*INDEX('Global Constants'!N$45:N$49,$H13))</f>
        <v>0</v>
      </c>
      <c r="V13" s="26">
        <f ca="1">IF($C13="","",'Outturn ex VAT'!V13*INDEX('Global Constants'!O$45:O$49,$H13))</f>
        <v>0</v>
      </c>
      <c r="W13" s="26">
        <f ca="1">IF($C13="","",'Outturn ex VAT'!W13*INDEX('Global Constants'!P$45:P$49,$H13))</f>
        <v>0</v>
      </c>
      <c r="X13" s="26">
        <f ca="1">IF($C13="","",'Outturn ex VAT'!X13*INDEX('Global Constants'!Q$45:Q$49,$H13))</f>
        <v>0</v>
      </c>
      <c r="Y13" s="26">
        <f ca="1">IF($C13="","",'Outturn ex VAT'!Y13*INDEX('Global Constants'!R$45:R$49,$H13))</f>
        <v>0</v>
      </c>
      <c r="Z13" s="26">
        <f ca="1">IF($C13="","",'Outturn ex VAT'!Z13*INDEX('Global Constants'!S$45:S$49,$H13))</f>
        <v>0</v>
      </c>
      <c r="AA13" s="26">
        <f ca="1">IF($C13="","",'Outturn ex VAT'!AA13*INDEX('Global Constants'!T$45:T$49,$H13))</f>
        <v>0</v>
      </c>
      <c r="AB13" s="26">
        <f ca="1">IF($C13="","",'Outturn ex VAT'!AB13*INDEX('Global Constants'!U$45:U$49,$H13))</f>
        <v>0</v>
      </c>
      <c r="AC13" s="26">
        <f ca="1">IF($C13="","",'Outturn ex VAT'!AC13*INDEX('Global Constants'!V$45:V$49,$H13))</f>
        <v>0</v>
      </c>
      <c r="AD13" s="26">
        <f ca="1">IF($C13="","",'Outturn ex VAT'!AD13*INDEX('Global Constants'!W$45:W$49,$H13))</f>
        <v>0</v>
      </c>
      <c r="AE13" s="26">
        <f ca="1">IF($C13="","",'Outturn ex VAT'!AE13*INDEX('Global Constants'!X$45:X$49,$H13))</f>
        <v>0</v>
      </c>
      <c r="AF13" s="26">
        <f ca="1">IF($C13="","",'Outturn ex VAT'!AF13*INDEX('Global Constants'!Y$45:Y$49,$H13))</f>
        <v>0</v>
      </c>
      <c r="AG13" s="26">
        <f ca="1">IF($C13="","",'Outturn ex VAT'!AG13*INDEX('Global Constants'!Z$45:Z$49,$H13))</f>
        <v>0</v>
      </c>
      <c r="AH13" s="26">
        <f ca="1">IF($C13="","",'Outturn ex VAT'!AH13*INDEX('Global Constants'!AA$45:AA$49,$H13))</f>
        <v>1787.4961779711439</v>
      </c>
      <c r="AI13" s="26">
        <f ca="1">IF($C13="","",'Outturn ex VAT'!AI13*INDEX('Global Constants'!AB$45:AB$49,$H13))</f>
        <v>0</v>
      </c>
      <c r="AJ13" s="26">
        <f ca="1">IF($C13="","",'Outturn ex VAT'!AJ13*INDEX('Global Constants'!AC$45:AC$49,$H13))</f>
        <v>0</v>
      </c>
      <c r="AK13" s="26">
        <f ca="1">IF($C13="","",'Outturn ex VAT'!AK13*INDEX('Global Constants'!AD$45:AD$49,$H13))</f>
        <v>0</v>
      </c>
      <c r="AL13" s="26">
        <f ca="1">IF($C13="","",'Outturn ex VAT'!AL13*INDEX('Global Constants'!AE$45:AE$49,$H13))</f>
        <v>0</v>
      </c>
      <c r="AM13" s="26">
        <f ca="1">IF($C13="","",'Outturn ex VAT'!AM13*INDEX('Global Constants'!AF$45:AF$49,$H13))</f>
        <v>0</v>
      </c>
      <c r="AN13" s="26">
        <f ca="1">IF($C13="","",'Outturn ex VAT'!AN13*INDEX('Global Constants'!AG$45:AG$49,$H13))</f>
        <v>0</v>
      </c>
      <c r="AO13" s="26">
        <f ca="1">IF($C13="","",'Outturn ex VAT'!AO13*INDEX('Global Constants'!AH$45:AH$49,$H13))</f>
        <v>0</v>
      </c>
      <c r="AP13" s="26">
        <f ca="1">IF($C13="","",'Outturn ex VAT'!AP13*INDEX('Global Constants'!AI$45:AI$49,$H13))</f>
        <v>0</v>
      </c>
      <c r="AQ13" s="26">
        <f ca="1">IF($C13="","",'Outturn ex VAT'!AQ13*INDEX('Global Constants'!AJ$45:AJ$49,$H13))</f>
        <v>0</v>
      </c>
      <c r="AR13" s="26">
        <f ca="1">IF($C13="","",'Outturn ex VAT'!AR13*INDEX('Global Constants'!AK$45:AK$49,$H13))</f>
        <v>0</v>
      </c>
      <c r="AS13" s="26">
        <f ca="1">IF($C13="","",'Outturn ex VAT'!AS13*INDEX('Global Constants'!AL$45:AL$49,$H13))</f>
        <v>0</v>
      </c>
      <c r="AT13" s="26">
        <f ca="1">IF($C13="","",'Outturn ex VAT'!AT13*INDEX('Global Constants'!AM$45:AM$49,$H13))</f>
        <v>0</v>
      </c>
      <c r="AU13" s="26">
        <f ca="1">IF($C13="","",'Outturn ex VAT'!AU13*INDEX('Global Constants'!AN$45:AN$49,$H13))</f>
        <v>0</v>
      </c>
      <c r="AV13" s="26">
        <f ca="1">IF($C13="","",'Outturn ex VAT'!AV13*INDEX('Global Constants'!AO$45:AO$49,$H13))</f>
        <v>0</v>
      </c>
      <c r="AW13" s="26">
        <f ca="1">IF($C13="","",'Outturn ex VAT'!AW13*INDEX('Global Constants'!AP$45:AP$49,$H13))</f>
        <v>0</v>
      </c>
      <c r="AX13" s="26">
        <f ca="1">IF($C13="","",'Outturn ex VAT'!AX13*INDEX('Global Constants'!AQ$45:AQ$49,$H13))</f>
        <v>0</v>
      </c>
      <c r="AY13" s="26">
        <f ca="1">IF($C13="","",'Outturn ex VAT'!AY13*INDEX('Global Constants'!AR$45:AR$49,$H13))</f>
        <v>0</v>
      </c>
      <c r="AZ13" s="26">
        <f ca="1">IF($C13="","",'Outturn ex VAT'!AZ13*INDEX('Global Constants'!AS$45:AS$49,$H13))</f>
        <v>0</v>
      </c>
      <c r="BA13" s="26">
        <f ca="1">IF($C13="","",'Outturn ex VAT'!BA13*INDEX('Global Constants'!AT$45:AT$49,$H13))</f>
        <v>0</v>
      </c>
      <c r="BB13" s="26">
        <f ca="1">IF($C13="","",'Outturn ex VAT'!BB13*INDEX('Global Constants'!AU$45:AU$49,$H13))</f>
        <v>0</v>
      </c>
      <c r="BC13" s="26">
        <f ca="1">IF($C13="","",'Outturn ex VAT'!BC13*INDEX('Global Constants'!AV$45:AV$49,$H13))</f>
        <v>0</v>
      </c>
      <c r="BD13" s="26">
        <f ca="1">IF($C13="","",'Outturn ex VAT'!BD13*INDEX('Global Constants'!AW$45:AW$49,$H13))</f>
        <v>0</v>
      </c>
      <c r="BE13" s="26">
        <f ca="1">IF($C13="","",'Outturn ex VAT'!BE13*INDEX('Global Constants'!AX$45:AX$49,$H13))</f>
        <v>0</v>
      </c>
      <c r="BF13" s="26">
        <f ca="1">IF($C13="","",'Outturn ex VAT'!BF13*INDEX('Global Constants'!AY$45:AY$49,$H13))</f>
        <v>0</v>
      </c>
      <c r="BG13" s="26">
        <f ca="1">IF($C13="","",'Outturn ex VAT'!BG13*INDEX('Global Constants'!AZ$45:AZ$49,$H13))</f>
        <v>0</v>
      </c>
      <c r="BH13" s="26">
        <f ca="1">IF($C13="","",'Outturn ex VAT'!BH13*INDEX('Global Constants'!BA$45:BA$49,$H13))</f>
        <v>0</v>
      </c>
      <c r="BI13" s="26">
        <f ca="1">IF($C13="","",'Outturn ex VAT'!BI13*INDEX('Global Constants'!BB$45:BB$49,$H13))</f>
        <v>0</v>
      </c>
      <c r="BJ13" s="26">
        <f ca="1">IF($C13="","",'Outturn ex VAT'!BJ13*INDEX('Global Constants'!BC$45:BC$49,$H13))</f>
        <v>0</v>
      </c>
      <c r="BK13" s="26">
        <f ca="1">IF($C13="","",'Outturn ex VAT'!BK13*INDEX('Global Constants'!BD$45:BD$49,$H13))</f>
        <v>0</v>
      </c>
      <c r="BL13" s="26">
        <f ca="1">IF($C13="","",'Outturn ex VAT'!BL13*INDEX('Global Constants'!BE$45:BE$49,$H13))</f>
        <v>0</v>
      </c>
      <c r="BM13" s="26">
        <f ca="1">IF($C13="","",'Outturn ex VAT'!BM13*INDEX('Global Constants'!BF$45:BF$49,$H13))</f>
        <v>0</v>
      </c>
      <c r="BN13" s="26">
        <f ca="1">IF($C13="","",'Outturn ex VAT'!BN13*INDEX('Global Constants'!BG$45:BG$49,$H13))</f>
        <v>0</v>
      </c>
      <c r="BO13" s="26">
        <f ca="1">IF($C13="","",'Outturn ex VAT'!BO13*INDEX('Global Constants'!BH$45:BH$49,$H13))</f>
        <v>0</v>
      </c>
      <c r="BP13" s="26">
        <f ca="1">IF($C13="","",'Outturn ex VAT'!BP13*INDEX('Global Constants'!BI$45:BI$49,$H13))</f>
        <v>0</v>
      </c>
      <c r="BQ13" s="26">
        <f ca="1">IF($C13="","",'Outturn ex VAT'!BQ13*INDEX('Global Constants'!BJ$45:BJ$49,$H13))</f>
        <v>0</v>
      </c>
      <c r="BR13" s="26">
        <f ca="1">IF($C13="","",'Outturn ex VAT'!BR13*INDEX('Global Constants'!BK$45:BK$49,$H13))</f>
        <v>0</v>
      </c>
      <c r="BS13" s="26">
        <f ca="1">IF($C13="","",'Outturn ex VAT'!BS13*INDEX('Global Constants'!BL$45:BL$49,$H13))</f>
        <v>0</v>
      </c>
      <c r="BT13" s="26">
        <f ca="1">IF($C13="","",'Outturn ex VAT'!BT13*INDEX('Global Constants'!BM$45:BM$49,$H13))</f>
        <v>0</v>
      </c>
      <c r="BU13" s="26">
        <f ca="1">IF($C13="","",'Outturn ex VAT'!BU13*INDEX('Global Constants'!BN$45:BN$49,$H13))</f>
        <v>0</v>
      </c>
      <c r="BV13" s="26">
        <f ca="1">IF($C13="","",'Outturn ex VAT'!BV13*INDEX('Global Constants'!BO$45:BO$49,$H13))</f>
        <v>0</v>
      </c>
      <c r="BW13" s="26">
        <f ca="1">IF($C13="","",'Outturn ex VAT'!BW13*INDEX('Global Constants'!BP$45:BP$49,$H13))</f>
        <v>0</v>
      </c>
      <c r="BX13" s="26">
        <f ca="1">IF($C13="","",'Outturn ex VAT'!BX13*INDEX('Global Constants'!BQ$45:BQ$49,$H13))</f>
        <v>0</v>
      </c>
      <c r="BY13" s="26">
        <f ca="1">IF($C13="","",'Outturn ex VAT'!BY13*INDEX('Global Constants'!BR$45:BR$49,$H13))</f>
        <v>0</v>
      </c>
      <c r="BZ13" s="26">
        <f ca="1">IF($C13="","",'Outturn ex VAT'!BZ13*INDEX('Global Constants'!BS$45:BS$49,$H13))</f>
        <v>0</v>
      </c>
      <c r="CA13" s="26">
        <f ca="1">IF($C13="","",'Outturn ex VAT'!CA13*INDEX('Global Constants'!BT$45:BT$49,$H13))</f>
        <v>0</v>
      </c>
      <c r="CB13" s="26">
        <f ca="1">IF($C13="","",'Outturn ex VAT'!CB13*INDEX('Global Constants'!BU$45:BU$49,$H13))</f>
        <v>0</v>
      </c>
      <c r="CC13" s="26">
        <f ca="1">IF($C13="","",'Outturn ex VAT'!CC13*INDEX('Global Constants'!BV$45:BV$49,$H13))</f>
        <v>0</v>
      </c>
      <c r="CD13" s="26">
        <f ca="1">IF($C13="","",'Outturn ex VAT'!CD13*INDEX('Global Constants'!BW$45:BW$49,$H13))</f>
        <v>0</v>
      </c>
      <c r="CE13" s="26">
        <f ca="1">IF($C13="","",'Outturn ex VAT'!CE13*INDEX('Global Constants'!BX$45:BX$49,$H13))</f>
        <v>0</v>
      </c>
      <c r="CF13" s="26">
        <f ca="1">IF($C13="","",'Outturn ex VAT'!CF13*INDEX('Global Constants'!BY$45:BY$49,$H13))</f>
        <v>0</v>
      </c>
      <c r="CG13" s="26">
        <f ca="1">IF($C13="","",'Outturn ex VAT'!CG13*INDEX('Global Constants'!BZ$45:BZ$49,$H13))</f>
        <v>0</v>
      </c>
      <c r="CH13" s="26">
        <f ca="1">IF($C13="","",'Outturn ex VAT'!CH13*INDEX('Global Constants'!CA$45:CA$49,$H13))</f>
        <v>0</v>
      </c>
      <c r="CI13" s="26">
        <f ca="1">IF($C13="","",'Outturn ex VAT'!CI13*INDEX('Global Constants'!CB$45:CB$49,$H13))</f>
        <v>0</v>
      </c>
      <c r="CJ13" s="26">
        <f ca="1">IF($C13="","",'Outturn ex VAT'!CJ13*INDEX('Global Constants'!CC$45:CC$49,$H13))</f>
        <v>0</v>
      </c>
      <c r="CK13" s="26">
        <f ca="1">IF($C13="","",'Outturn ex VAT'!CK13*INDEX('Global Constants'!CD$45:CD$49,$H13))</f>
        <v>0</v>
      </c>
      <c r="CL13" s="26">
        <f ca="1">IF($C13="","",'Outturn ex VAT'!CL13*INDEX('Global Constants'!CE$45:CE$49,$H13))</f>
        <v>0</v>
      </c>
      <c r="CM13" s="26">
        <f ca="1">IF($C13="","",'Outturn ex VAT'!CM13*INDEX('Global Constants'!CF$45:CF$49,$H13))</f>
        <v>0</v>
      </c>
      <c r="CN13" s="26">
        <f ca="1">IF($C13="","",'Outturn ex VAT'!CN13*INDEX('Global Constants'!CG$45:CG$49,$H13))</f>
        <v>0</v>
      </c>
      <c r="CO13" s="26">
        <f ca="1">IF($C13="","",'Outturn ex VAT'!CO13*INDEX('Global Constants'!CH$45:CH$49,$H13))</f>
        <v>0</v>
      </c>
      <c r="CP13" s="26">
        <f ca="1">IF($C13="","",'Outturn ex VAT'!CP13*INDEX('Global Constants'!CI$45:CI$49,$H13))</f>
        <v>0</v>
      </c>
      <c r="CQ13" s="26">
        <f ca="1">IF($C13="","",'Outturn ex VAT'!CQ13*INDEX('Global Constants'!CJ$45:CJ$49,$H13))</f>
        <v>0</v>
      </c>
      <c r="CR13" s="26">
        <f ca="1">IF($C13="","",'Outturn ex VAT'!CR13*INDEX('Global Constants'!CK$45:CK$49,$H13))</f>
        <v>0</v>
      </c>
      <c r="CS13" s="26">
        <f ca="1">IF($C13="","",'Outturn ex VAT'!CS13*INDEX('Global Constants'!CL$45:CL$49,$H13))</f>
        <v>0</v>
      </c>
      <c r="CT13" s="26">
        <f ca="1">IF($C13="","",'Outturn ex VAT'!CT13*INDEX('Global Constants'!CM$45:CM$49,$H13))</f>
        <v>0</v>
      </c>
      <c r="CU13" s="26">
        <f ca="1">IF($C13="","",'Outturn ex VAT'!CU13*INDEX('Global Constants'!CN$45:CN$49,$H13))</f>
        <v>0</v>
      </c>
      <c r="CV13" s="26">
        <f ca="1">IF($C13="","",'Outturn ex VAT'!CV13*INDEX('Global Constants'!CO$45:CO$49,$H13))</f>
        <v>0</v>
      </c>
      <c r="CW13" s="26">
        <f ca="1">IF($C13="","",'Outturn ex VAT'!CW13*INDEX('Global Constants'!CP$45:CP$49,$H13))</f>
        <v>0</v>
      </c>
      <c r="CX13" s="26">
        <f ca="1">IF($C13="","",'Outturn ex VAT'!CX13*INDEX('Global Constants'!CQ$45:CQ$49,$H13))</f>
        <v>0</v>
      </c>
      <c r="CZ13" s="26">
        <f t="shared" ca="1" si="1"/>
        <v>0</v>
      </c>
      <c r="DA13" s="26">
        <f t="shared" ca="1" si="2"/>
        <v>1787.4961779711439</v>
      </c>
    </row>
    <row r="14" spans="1:105" x14ac:dyDescent="0.3">
      <c r="C14" s="4" t="str">
        <f>IF('Cost &amp; Risk Inputs'!C15="","",'Cost &amp; Risk Inputs'!C15)</f>
        <v>Test 5</v>
      </c>
      <c r="D14" s="4" t="str">
        <f>IF(C14="","",'Cost &amp; Risk Inputs'!H15)</f>
        <v>Assessment</v>
      </c>
      <c r="E14" s="4" t="str">
        <f>IF(C14="","",'Cost &amp; Risk Inputs'!I15)</f>
        <v>Organisation</v>
      </c>
      <c r="F14" s="4" t="str">
        <f>IF(C14="","",'Cost &amp; Risk Inputs'!E15)</f>
        <v>UK VAT</v>
      </c>
      <c r="H14" s="18">
        <f t="shared" si="0"/>
        <v>2</v>
      </c>
      <c r="M14" s="26">
        <f ca="1">IF($C14="","",'Outturn ex VAT'!M14*INDEX('Global Constants'!F$45:F$49,$H14))</f>
        <v>0</v>
      </c>
      <c r="N14" s="26">
        <f ca="1">IF($C14="","",'Outturn ex VAT'!N14*INDEX('Global Constants'!G$45:G$49,$H14))</f>
        <v>0</v>
      </c>
      <c r="O14" s="26">
        <f ca="1">IF($C14="","",'Outturn ex VAT'!O14*INDEX('Global Constants'!H$45:H$49,$H14))</f>
        <v>0</v>
      </c>
      <c r="P14" s="26">
        <f ca="1">IF($C14="","",'Outturn ex VAT'!P14*INDEX('Global Constants'!I$45:I$49,$H14))</f>
        <v>0</v>
      </c>
      <c r="Q14" s="26">
        <f ca="1">IF($C14="","",'Outturn ex VAT'!Q14*INDEX('Global Constants'!J$45:J$49,$H14))</f>
        <v>0</v>
      </c>
      <c r="R14" s="26">
        <f ca="1">IF($C14="","",'Outturn ex VAT'!R14*INDEX('Global Constants'!K$45:K$49,$H14))</f>
        <v>0</v>
      </c>
      <c r="S14" s="26">
        <f ca="1">IF($C14="","",'Outturn ex VAT'!S14*INDEX('Global Constants'!L$45:L$49,$H14))</f>
        <v>0</v>
      </c>
      <c r="T14" s="26">
        <f ca="1">IF($C14="","",'Outturn ex VAT'!T14*INDEX('Global Constants'!M$45:M$49,$H14))</f>
        <v>0</v>
      </c>
      <c r="U14" s="26">
        <f ca="1">IF($C14="","",'Outturn ex VAT'!U14*INDEX('Global Constants'!N$45:N$49,$H14))</f>
        <v>0</v>
      </c>
      <c r="V14" s="26">
        <f ca="1">IF($C14="","",'Outturn ex VAT'!V14*INDEX('Global Constants'!O$45:O$49,$H14))</f>
        <v>0</v>
      </c>
      <c r="W14" s="26">
        <f ca="1">IF($C14="","",'Outturn ex VAT'!W14*INDEX('Global Constants'!P$45:P$49,$H14))</f>
        <v>0</v>
      </c>
      <c r="X14" s="26">
        <f ca="1">IF($C14="","",'Outturn ex VAT'!X14*INDEX('Global Constants'!Q$45:Q$49,$H14))</f>
        <v>0</v>
      </c>
      <c r="Y14" s="26">
        <f ca="1">IF($C14="","",'Outturn ex VAT'!Y14*INDEX('Global Constants'!R$45:R$49,$H14))</f>
        <v>0</v>
      </c>
      <c r="Z14" s="26">
        <f ca="1">IF($C14="","",'Outturn ex VAT'!Z14*INDEX('Global Constants'!S$45:S$49,$H14))</f>
        <v>0</v>
      </c>
      <c r="AA14" s="26">
        <f ca="1">IF($C14="","",'Outturn ex VAT'!AA14*INDEX('Global Constants'!T$45:T$49,$H14))</f>
        <v>0</v>
      </c>
      <c r="AB14" s="26">
        <f ca="1">IF($C14="","",'Outturn ex VAT'!AB14*INDEX('Global Constants'!U$45:U$49,$H14))</f>
        <v>0</v>
      </c>
      <c r="AC14" s="26">
        <f ca="1">IF($C14="","",'Outturn ex VAT'!AC14*INDEX('Global Constants'!V$45:V$49,$H14))</f>
        <v>0</v>
      </c>
      <c r="AD14" s="26">
        <f ca="1">IF($C14="","",'Outturn ex VAT'!AD14*INDEX('Global Constants'!W$45:W$49,$H14))</f>
        <v>2676.0274089781938</v>
      </c>
      <c r="AE14" s="26">
        <f ca="1">IF($C14="","",'Outturn ex VAT'!AE14*INDEX('Global Constants'!X$45:X$49,$H14))</f>
        <v>2676.0274089781938</v>
      </c>
      <c r="AF14" s="26">
        <f ca="1">IF($C14="","",'Outturn ex VAT'!AF14*INDEX('Global Constants'!Y$45:Y$49,$H14))</f>
        <v>2676.0274089781938</v>
      </c>
      <c r="AG14" s="26">
        <f ca="1">IF($C14="","",'Outturn ex VAT'!AG14*INDEX('Global Constants'!Z$45:Z$49,$H14))</f>
        <v>2676.0274089781938</v>
      </c>
      <c r="AH14" s="26">
        <f ca="1">IF($C14="","",'Outturn ex VAT'!AH14*INDEX('Global Constants'!AA$45:AA$49,$H14))</f>
        <v>2676.0274089781938</v>
      </c>
      <c r="AI14" s="26">
        <f ca="1">IF($C14="","",'Outturn ex VAT'!AI14*INDEX('Global Constants'!AB$45:AB$49,$H14))</f>
        <v>0</v>
      </c>
      <c r="AJ14" s="26">
        <f ca="1">IF($C14="","",'Outturn ex VAT'!AJ14*INDEX('Global Constants'!AC$45:AC$49,$H14))</f>
        <v>0</v>
      </c>
      <c r="AK14" s="26">
        <f ca="1">IF($C14="","",'Outturn ex VAT'!AK14*INDEX('Global Constants'!AD$45:AD$49,$H14))</f>
        <v>0</v>
      </c>
      <c r="AL14" s="26">
        <f ca="1">IF($C14="","",'Outturn ex VAT'!AL14*INDEX('Global Constants'!AE$45:AE$49,$H14))</f>
        <v>0</v>
      </c>
      <c r="AM14" s="26">
        <f ca="1">IF($C14="","",'Outturn ex VAT'!AM14*INDEX('Global Constants'!AF$45:AF$49,$H14))</f>
        <v>0</v>
      </c>
      <c r="AN14" s="26">
        <f ca="1">IF($C14="","",'Outturn ex VAT'!AN14*INDEX('Global Constants'!AG$45:AG$49,$H14))</f>
        <v>0</v>
      </c>
      <c r="AO14" s="26">
        <f ca="1">IF($C14="","",'Outturn ex VAT'!AO14*INDEX('Global Constants'!AH$45:AH$49,$H14))</f>
        <v>0</v>
      </c>
      <c r="AP14" s="26">
        <f ca="1">IF($C14="","",'Outturn ex VAT'!AP14*INDEX('Global Constants'!AI$45:AI$49,$H14))</f>
        <v>0</v>
      </c>
      <c r="AQ14" s="26">
        <f ca="1">IF($C14="","",'Outturn ex VAT'!AQ14*INDEX('Global Constants'!AJ$45:AJ$49,$H14))</f>
        <v>0</v>
      </c>
      <c r="AR14" s="26">
        <f ca="1">IF($C14="","",'Outturn ex VAT'!AR14*INDEX('Global Constants'!AK$45:AK$49,$H14))</f>
        <v>0</v>
      </c>
      <c r="AS14" s="26">
        <f ca="1">IF($C14="","",'Outturn ex VAT'!AS14*INDEX('Global Constants'!AL$45:AL$49,$H14))</f>
        <v>0</v>
      </c>
      <c r="AT14" s="26">
        <f ca="1">IF($C14="","",'Outturn ex VAT'!AT14*INDEX('Global Constants'!AM$45:AM$49,$H14))</f>
        <v>0</v>
      </c>
      <c r="AU14" s="26">
        <f ca="1">IF($C14="","",'Outturn ex VAT'!AU14*INDEX('Global Constants'!AN$45:AN$49,$H14))</f>
        <v>0</v>
      </c>
      <c r="AV14" s="26">
        <f ca="1">IF($C14="","",'Outturn ex VAT'!AV14*INDEX('Global Constants'!AO$45:AO$49,$H14))</f>
        <v>0</v>
      </c>
      <c r="AW14" s="26">
        <f ca="1">IF($C14="","",'Outturn ex VAT'!AW14*INDEX('Global Constants'!AP$45:AP$49,$H14))</f>
        <v>0</v>
      </c>
      <c r="AX14" s="26">
        <f ca="1">IF($C14="","",'Outturn ex VAT'!AX14*INDEX('Global Constants'!AQ$45:AQ$49,$H14))</f>
        <v>0</v>
      </c>
      <c r="AY14" s="26">
        <f ca="1">IF($C14="","",'Outturn ex VAT'!AY14*INDEX('Global Constants'!AR$45:AR$49,$H14))</f>
        <v>0</v>
      </c>
      <c r="AZ14" s="26">
        <f ca="1">IF($C14="","",'Outturn ex VAT'!AZ14*INDEX('Global Constants'!AS$45:AS$49,$H14))</f>
        <v>0</v>
      </c>
      <c r="BA14" s="26">
        <f ca="1">IF($C14="","",'Outturn ex VAT'!BA14*INDEX('Global Constants'!AT$45:AT$49,$H14))</f>
        <v>0</v>
      </c>
      <c r="BB14" s="26">
        <f ca="1">IF($C14="","",'Outturn ex VAT'!BB14*INDEX('Global Constants'!AU$45:AU$49,$H14))</f>
        <v>0</v>
      </c>
      <c r="BC14" s="26">
        <f ca="1">IF($C14="","",'Outturn ex VAT'!BC14*INDEX('Global Constants'!AV$45:AV$49,$H14))</f>
        <v>0</v>
      </c>
      <c r="BD14" s="26">
        <f ca="1">IF($C14="","",'Outturn ex VAT'!BD14*INDEX('Global Constants'!AW$45:AW$49,$H14))</f>
        <v>0</v>
      </c>
      <c r="BE14" s="26">
        <f ca="1">IF($C14="","",'Outturn ex VAT'!BE14*INDEX('Global Constants'!AX$45:AX$49,$H14))</f>
        <v>0</v>
      </c>
      <c r="BF14" s="26">
        <f ca="1">IF($C14="","",'Outturn ex VAT'!BF14*INDEX('Global Constants'!AY$45:AY$49,$H14))</f>
        <v>0</v>
      </c>
      <c r="BG14" s="26">
        <f ca="1">IF($C14="","",'Outturn ex VAT'!BG14*INDEX('Global Constants'!AZ$45:AZ$49,$H14))</f>
        <v>0</v>
      </c>
      <c r="BH14" s="26">
        <f ca="1">IF($C14="","",'Outturn ex VAT'!BH14*INDEX('Global Constants'!BA$45:BA$49,$H14))</f>
        <v>0</v>
      </c>
      <c r="BI14" s="26">
        <f ca="1">IF($C14="","",'Outturn ex VAT'!BI14*INDEX('Global Constants'!BB$45:BB$49,$H14))</f>
        <v>0</v>
      </c>
      <c r="BJ14" s="26">
        <f ca="1">IF($C14="","",'Outturn ex VAT'!BJ14*INDEX('Global Constants'!BC$45:BC$49,$H14))</f>
        <v>0</v>
      </c>
      <c r="BK14" s="26">
        <f ca="1">IF($C14="","",'Outturn ex VAT'!BK14*INDEX('Global Constants'!BD$45:BD$49,$H14))</f>
        <v>0</v>
      </c>
      <c r="BL14" s="26">
        <f ca="1">IF($C14="","",'Outturn ex VAT'!BL14*INDEX('Global Constants'!BE$45:BE$49,$H14))</f>
        <v>0</v>
      </c>
      <c r="BM14" s="26">
        <f ca="1">IF($C14="","",'Outturn ex VAT'!BM14*INDEX('Global Constants'!BF$45:BF$49,$H14))</f>
        <v>0</v>
      </c>
      <c r="BN14" s="26">
        <f ca="1">IF($C14="","",'Outturn ex VAT'!BN14*INDEX('Global Constants'!BG$45:BG$49,$H14))</f>
        <v>0</v>
      </c>
      <c r="BO14" s="26">
        <f ca="1">IF($C14="","",'Outturn ex VAT'!BO14*INDEX('Global Constants'!BH$45:BH$49,$H14))</f>
        <v>0</v>
      </c>
      <c r="BP14" s="26">
        <f ca="1">IF($C14="","",'Outturn ex VAT'!BP14*INDEX('Global Constants'!BI$45:BI$49,$H14))</f>
        <v>0</v>
      </c>
      <c r="BQ14" s="26">
        <f ca="1">IF($C14="","",'Outturn ex VAT'!BQ14*INDEX('Global Constants'!BJ$45:BJ$49,$H14))</f>
        <v>0</v>
      </c>
      <c r="BR14" s="26">
        <f ca="1">IF($C14="","",'Outturn ex VAT'!BR14*INDEX('Global Constants'!BK$45:BK$49,$H14))</f>
        <v>0</v>
      </c>
      <c r="BS14" s="26">
        <f ca="1">IF($C14="","",'Outturn ex VAT'!BS14*INDEX('Global Constants'!BL$45:BL$49,$H14))</f>
        <v>0</v>
      </c>
      <c r="BT14" s="26">
        <f ca="1">IF($C14="","",'Outturn ex VAT'!BT14*INDEX('Global Constants'!BM$45:BM$49,$H14))</f>
        <v>0</v>
      </c>
      <c r="BU14" s="26">
        <f ca="1">IF($C14="","",'Outturn ex VAT'!BU14*INDEX('Global Constants'!BN$45:BN$49,$H14))</f>
        <v>0</v>
      </c>
      <c r="BV14" s="26">
        <f ca="1">IF($C14="","",'Outturn ex VAT'!BV14*INDEX('Global Constants'!BO$45:BO$49,$H14))</f>
        <v>0</v>
      </c>
      <c r="BW14" s="26">
        <f ca="1">IF($C14="","",'Outturn ex VAT'!BW14*INDEX('Global Constants'!BP$45:BP$49,$H14))</f>
        <v>0</v>
      </c>
      <c r="BX14" s="26">
        <f ca="1">IF($C14="","",'Outturn ex VAT'!BX14*INDEX('Global Constants'!BQ$45:BQ$49,$H14))</f>
        <v>0</v>
      </c>
      <c r="BY14" s="26">
        <f ca="1">IF($C14="","",'Outturn ex VAT'!BY14*INDEX('Global Constants'!BR$45:BR$49,$H14))</f>
        <v>0</v>
      </c>
      <c r="BZ14" s="26">
        <f ca="1">IF($C14="","",'Outturn ex VAT'!BZ14*INDEX('Global Constants'!BS$45:BS$49,$H14))</f>
        <v>0</v>
      </c>
      <c r="CA14" s="26">
        <f ca="1">IF($C14="","",'Outturn ex VAT'!CA14*INDEX('Global Constants'!BT$45:BT$49,$H14))</f>
        <v>0</v>
      </c>
      <c r="CB14" s="26">
        <f ca="1">IF($C14="","",'Outturn ex VAT'!CB14*INDEX('Global Constants'!BU$45:BU$49,$H14))</f>
        <v>0</v>
      </c>
      <c r="CC14" s="26">
        <f ca="1">IF($C14="","",'Outturn ex VAT'!CC14*INDEX('Global Constants'!BV$45:BV$49,$H14))</f>
        <v>0</v>
      </c>
      <c r="CD14" s="26">
        <f ca="1">IF($C14="","",'Outturn ex VAT'!CD14*INDEX('Global Constants'!BW$45:BW$49,$H14))</f>
        <v>0</v>
      </c>
      <c r="CE14" s="26">
        <f ca="1">IF($C14="","",'Outturn ex VAT'!CE14*INDEX('Global Constants'!BX$45:BX$49,$H14))</f>
        <v>0</v>
      </c>
      <c r="CF14" s="26">
        <f ca="1">IF($C14="","",'Outturn ex VAT'!CF14*INDEX('Global Constants'!BY$45:BY$49,$H14))</f>
        <v>0</v>
      </c>
      <c r="CG14" s="26">
        <f ca="1">IF($C14="","",'Outturn ex VAT'!CG14*INDEX('Global Constants'!BZ$45:BZ$49,$H14))</f>
        <v>0</v>
      </c>
      <c r="CH14" s="26">
        <f ca="1">IF($C14="","",'Outturn ex VAT'!CH14*INDEX('Global Constants'!CA$45:CA$49,$H14))</f>
        <v>0</v>
      </c>
      <c r="CI14" s="26">
        <f ca="1">IF($C14="","",'Outturn ex VAT'!CI14*INDEX('Global Constants'!CB$45:CB$49,$H14))</f>
        <v>0</v>
      </c>
      <c r="CJ14" s="26">
        <f ca="1">IF($C14="","",'Outturn ex VAT'!CJ14*INDEX('Global Constants'!CC$45:CC$49,$H14))</f>
        <v>0</v>
      </c>
      <c r="CK14" s="26">
        <f ca="1">IF($C14="","",'Outturn ex VAT'!CK14*INDEX('Global Constants'!CD$45:CD$49,$H14))</f>
        <v>0</v>
      </c>
      <c r="CL14" s="26">
        <f ca="1">IF($C14="","",'Outturn ex VAT'!CL14*INDEX('Global Constants'!CE$45:CE$49,$H14))</f>
        <v>0</v>
      </c>
      <c r="CM14" s="26">
        <f ca="1">IF($C14="","",'Outturn ex VAT'!CM14*INDEX('Global Constants'!CF$45:CF$49,$H14))</f>
        <v>0</v>
      </c>
      <c r="CN14" s="26">
        <f ca="1">IF($C14="","",'Outturn ex VAT'!CN14*INDEX('Global Constants'!CG$45:CG$49,$H14))</f>
        <v>0</v>
      </c>
      <c r="CO14" s="26">
        <f ca="1">IF($C14="","",'Outturn ex VAT'!CO14*INDEX('Global Constants'!CH$45:CH$49,$H14))</f>
        <v>0</v>
      </c>
      <c r="CP14" s="26">
        <f ca="1">IF($C14="","",'Outturn ex VAT'!CP14*INDEX('Global Constants'!CI$45:CI$49,$H14))</f>
        <v>0</v>
      </c>
      <c r="CQ14" s="26">
        <f ca="1">IF($C14="","",'Outturn ex VAT'!CQ14*INDEX('Global Constants'!CJ$45:CJ$49,$H14))</f>
        <v>0</v>
      </c>
      <c r="CR14" s="26">
        <f ca="1">IF($C14="","",'Outturn ex VAT'!CR14*INDEX('Global Constants'!CK$45:CK$49,$H14))</f>
        <v>0</v>
      </c>
      <c r="CS14" s="26">
        <f ca="1">IF($C14="","",'Outturn ex VAT'!CS14*INDEX('Global Constants'!CL$45:CL$49,$H14))</f>
        <v>0</v>
      </c>
      <c r="CT14" s="26">
        <f ca="1">IF($C14="","",'Outturn ex VAT'!CT14*INDEX('Global Constants'!CM$45:CM$49,$H14))</f>
        <v>0</v>
      </c>
      <c r="CU14" s="26">
        <f ca="1">IF($C14="","",'Outturn ex VAT'!CU14*INDEX('Global Constants'!CN$45:CN$49,$H14))</f>
        <v>0</v>
      </c>
      <c r="CV14" s="26">
        <f ca="1">IF($C14="","",'Outturn ex VAT'!CV14*INDEX('Global Constants'!CO$45:CO$49,$H14))</f>
        <v>0</v>
      </c>
      <c r="CW14" s="26">
        <f ca="1">IF($C14="","",'Outturn ex VAT'!CW14*INDEX('Global Constants'!CP$45:CP$49,$H14))</f>
        <v>0</v>
      </c>
      <c r="CX14" s="26">
        <f ca="1">IF($C14="","",'Outturn ex VAT'!CX14*INDEX('Global Constants'!CQ$45:CQ$49,$H14))</f>
        <v>0</v>
      </c>
      <c r="CZ14" s="26">
        <f t="shared" ca="1" si="1"/>
        <v>0</v>
      </c>
      <c r="DA14" s="26">
        <f t="shared" ca="1" si="2"/>
        <v>13380.137044890969</v>
      </c>
    </row>
    <row r="15" spans="1:105" x14ac:dyDescent="0.3">
      <c r="C15" s="4" t="str">
        <f>IF('Cost &amp; Risk Inputs'!C16="","",'Cost &amp; Risk Inputs'!C16)</f>
        <v>Test 6</v>
      </c>
      <c r="D15" s="4" t="str">
        <f>IF(C15="","",'Cost &amp; Risk Inputs'!H16)</f>
        <v>Concept</v>
      </c>
      <c r="E15" s="4" t="str">
        <f>IF(C15="","",'Cost &amp; Risk Inputs'!I16)</f>
        <v>Infrastructure</v>
      </c>
      <c r="F15" s="4" t="str">
        <f>IF(C15="","",'Cost &amp; Risk Inputs'!E16)</f>
        <v>UK VAT</v>
      </c>
      <c r="H15" s="18">
        <f t="shared" si="0"/>
        <v>2</v>
      </c>
      <c r="M15" s="26">
        <f ca="1">IF($C15="","",'Outturn ex VAT'!M15*INDEX('Global Constants'!F$45:F$49,$H15))</f>
        <v>0</v>
      </c>
      <c r="N15" s="26">
        <f ca="1">IF($C15="","",'Outturn ex VAT'!N15*INDEX('Global Constants'!G$45:G$49,$H15))</f>
        <v>0</v>
      </c>
      <c r="O15" s="26">
        <f ca="1">IF($C15="","",'Outturn ex VAT'!O15*INDEX('Global Constants'!H$45:H$49,$H15))</f>
        <v>0</v>
      </c>
      <c r="P15" s="26">
        <f ca="1">IF($C15="","",'Outturn ex VAT'!P15*INDEX('Global Constants'!I$45:I$49,$H15))</f>
        <v>0</v>
      </c>
      <c r="Q15" s="26">
        <f ca="1">IF($C15="","",'Outturn ex VAT'!Q15*INDEX('Global Constants'!J$45:J$49,$H15))</f>
        <v>0</v>
      </c>
      <c r="R15" s="26">
        <f ca="1">IF($C15="","",'Outturn ex VAT'!R15*INDEX('Global Constants'!K$45:K$49,$H15))</f>
        <v>0</v>
      </c>
      <c r="S15" s="26">
        <f ca="1">IF($C15="","",'Outturn ex VAT'!S15*INDEX('Global Constants'!L$45:L$49,$H15))</f>
        <v>0</v>
      </c>
      <c r="T15" s="26">
        <f ca="1">IF($C15="","",'Outturn ex VAT'!T15*INDEX('Global Constants'!M$45:M$49,$H15))</f>
        <v>0</v>
      </c>
      <c r="U15" s="26">
        <f ca="1">IF($C15="","",'Outturn ex VAT'!U15*INDEX('Global Constants'!N$45:N$49,$H15))</f>
        <v>0</v>
      </c>
      <c r="V15" s="26">
        <f ca="1">IF($C15="","",'Outturn ex VAT'!V15*INDEX('Global Constants'!O$45:O$49,$H15))</f>
        <v>0</v>
      </c>
      <c r="W15" s="26">
        <f ca="1">IF($C15="","",'Outturn ex VAT'!W15*INDEX('Global Constants'!P$45:P$49,$H15))</f>
        <v>0</v>
      </c>
      <c r="X15" s="26">
        <f ca="1">IF($C15="","",'Outturn ex VAT'!X15*INDEX('Global Constants'!Q$45:Q$49,$H15))</f>
        <v>0</v>
      </c>
      <c r="Y15" s="26">
        <f ca="1">IF($C15="","",'Outturn ex VAT'!Y15*INDEX('Global Constants'!R$45:R$49,$H15))</f>
        <v>0</v>
      </c>
      <c r="Z15" s="26">
        <f ca="1">IF($C15="","",'Outturn ex VAT'!Z15*INDEX('Global Constants'!S$45:S$49,$H15))</f>
        <v>0</v>
      </c>
      <c r="AA15" s="26">
        <f ca="1">IF($C15="","",'Outturn ex VAT'!AA15*INDEX('Global Constants'!T$45:T$49,$H15))</f>
        <v>0</v>
      </c>
      <c r="AB15" s="26">
        <f ca="1">IF($C15="","",'Outturn ex VAT'!AB15*INDEX('Global Constants'!U$45:U$49,$H15))</f>
        <v>0</v>
      </c>
      <c r="AC15" s="26">
        <f ca="1">IF($C15="","",'Outturn ex VAT'!AC15*INDEX('Global Constants'!V$45:V$49,$H15))</f>
        <v>0</v>
      </c>
      <c r="AD15" s="26">
        <f ca="1">IF($C15="","",'Outturn ex VAT'!AD15*INDEX('Global Constants'!W$45:W$49,$H15))</f>
        <v>2411.1002066888395</v>
      </c>
      <c r="AE15" s="26">
        <f ca="1">IF($C15="","",'Outturn ex VAT'!AE15*INDEX('Global Constants'!X$45:X$49,$H15))</f>
        <v>2411.1002066888395</v>
      </c>
      <c r="AF15" s="26">
        <f ca="1">IF($C15="","",'Outturn ex VAT'!AF15*INDEX('Global Constants'!Y$45:Y$49,$H15))</f>
        <v>2411.1002066888395</v>
      </c>
      <c r="AG15" s="26">
        <f ca="1">IF($C15="","",'Outturn ex VAT'!AG15*INDEX('Global Constants'!Z$45:Z$49,$H15))</f>
        <v>2411.1002066888395</v>
      </c>
      <c r="AH15" s="26">
        <f ca="1">IF($C15="","",'Outturn ex VAT'!AH15*INDEX('Global Constants'!AA$45:AA$49,$H15))</f>
        <v>2411.1002066888395</v>
      </c>
      <c r="AI15" s="26">
        <f ca="1">IF($C15="","",'Outturn ex VAT'!AI15*INDEX('Global Constants'!AB$45:AB$49,$H15))</f>
        <v>0</v>
      </c>
      <c r="AJ15" s="26">
        <f ca="1">IF($C15="","",'Outturn ex VAT'!AJ15*INDEX('Global Constants'!AC$45:AC$49,$H15))</f>
        <v>0</v>
      </c>
      <c r="AK15" s="26">
        <f ca="1">IF($C15="","",'Outturn ex VAT'!AK15*INDEX('Global Constants'!AD$45:AD$49,$H15))</f>
        <v>0</v>
      </c>
      <c r="AL15" s="26">
        <f ca="1">IF($C15="","",'Outturn ex VAT'!AL15*INDEX('Global Constants'!AE$45:AE$49,$H15))</f>
        <v>0</v>
      </c>
      <c r="AM15" s="26">
        <f ca="1">IF($C15="","",'Outturn ex VAT'!AM15*INDEX('Global Constants'!AF$45:AF$49,$H15))</f>
        <v>0</v>
      </c>
      <c r="AN15" s="26">
        <f ca="1">IF($C15="","",'Outturn ex VAT'!AN15*INDEX('Global Constants'!AG$45:AG$49,$H15))</f>
        <v>0</v>
      </c>
      <c r="AO15" s="26">
        <f ca="1">IF($C15="","",'Outturn ex VAT'!AO15*INDEX('Global Constants'!AH$45:AH$49,$H15))</f>
        <v>0</v>
      </c>
      <c r="AP15" s="26">
        <f ca="1">IF($C15="","",'Outturn ex VAT'!AP15*INDEX('Global Constants'!AI$45:AI$49,$H15))</f>
        <v>0</v>
      </c>
      <c r="AQ15" s="26">
        <f ca="1">IF($C15="","",'Outturn ex VAT'!AQ15*INDEX('Global Constants'!AJ$45:AJ$49,$H15))</f>
        <v>0</v>
      </c>
      <c r="AR15" s="26">
        <f ca="1">IF($C15="","",'Outturn ex VAT'!AR15*INDEX('Global Constants'!AK$45:AK$49,$H15))</f>
        <v>0</v>
      </c>
      <c r="AS15" s="26">
        <f ca="1">IF($C15="","",'Outturn ex VAT'!AS15*INDEX('Global Constants'!AL$45:AL$49,$H15))</f>
        <v>0</v>
      </c>
      <c r="AT15" s="26">
        <f ca="1">IF($C15="","",'Outturn ex VAT'!AT15*INDEX('Global Constants'!AM$45:AM$49,$H15))</f>
        <v>0</v>
      </c>
      <c r="AU15" s="26">
        <f ca="1">IF($C15="","",'Outturn ex VAT'!AU15*INDEX('Global Constants'!AN$45:AN$49,$H15))</f>
        <v>0</v>
      </c>
      <c r="AV15" s="26">
        <f ca="1">IF($C15="","",'Outturn ex VAT'!AV15*INDEX('Global Constants'!AO$45:AO$49,$H15))</f>
        <v>0</v>
      </c>
      <c r="AW15" s="26">
        <f ca="1">IF($C15="","",'Outturn ex VAT'!AW15*INDEX('Global Constants'!AP$45:AP$49,$H15))</f>
        <v>0</v>
      </c>
      <c r="AX15" s="26">
        <f ca="1">IF($C15="","",'Outturn ex VAT'!AX15*INDEX('Global Constants'!AQ$45:AQ$49,$H15))</f>
        <v>0</v>
      </c>
      <c r="AY15" s="26">
        <f ca="1">IF($C15="","",'Outturn ex VAT'!AY15*INDEX('Global Constants'!AR$45:AR$49,$H15))</f>
        <v>0</v>
      </c>
      <c r="AZ15" s="26">
        <f ca="1">IF($C15="","",'Outturn ex VAT'!AZ15*INDEX('Global Constants'!AS$45:AS$49,$H15))</f>
        <v>0</v>
      </c>
      <c r="BA15" s="26">
        <f ca="1">IF($C15="","",'Outturn ex VAT'!BA15*INDEX('Global Constants'!AT$45:AT$49,$H15))</f>
        <v>0</v>
      </c>
      <c r="BB15" s="26">
        <f ca="1">IF($C15="","",'Outturn ex VAT'!BB15*INDEX('Global Constants'!AU$45:AU$49,$H15))</f>
        <v>0</v>
      </c>
      <c r="BC15" s="26">
        <f ca="1">IF($C15="","",'Outturn ex VAT'!BC15*INDEX('Global Constants'!AV$45:AV$49,$H15))</f>
        <v>0</v>
      </c>
      <c r="BD15" s="26">
        <f ca="1">IF($C15="","",'Outturn ex VAT'!BD15*INDEX('Global Constants'!AW$45:AW$49,$H15))</f>
        <v>0</v>
      </c>
      <c r="BE15" s="26">
        <f ca="1">IF($C15="","",'Outturn ex VAT'!BE15*INDEX('Global Constants'!AX$45:AX$49,$H15))</f>
        <v>0</v>
      </c>
      <c r="BF15" s="26">
        <f ca="1">IF($C15="","",'Outturn ex VAT'!BF15*INDEX('Global Constants'!AY$45:AY$49,$H15))</f>
        <v>0</v>
      </c>
      <c r="BG15" s="26">
        <f ca="1">IF($C15="","",'Outturn ex VAT'!BG15*INDEX('Global Constants'!AZ$45:AZ$49,$H15))</f>
        <v>0</v>
      </c>
      <c r="BH15" s="26">
        <f ca="1">IF($C15="","",'Outturn ex VAT'!BH15*INDEX('Global Constants'!BA$45:BA$49,$H15))</f>
        <v>0</v>
      </c>
      <c r="BI15" s="26">
        <f ca="1">IF($C15="","",'Outturn ex VAT'!BI15*INDEX('Global Constants'!BB$45:BB$49,$H15))</f>
        <v>0</v>
      </c>
      <c r="BJ15" s="26">
        <f ca="1">IF($C15="","",'Outturn ex VAT'!BJ15*INDEX('Global Constants'!BC$45:BC$49,$H15))</f>
        <v>0</v>
      </c>
      <c r="BK15" s="26">
        <f ca="1">IF($C15="","",'Outturn ex VAT'!BK15*INDEX('Global Constants'!BD$45:BD$49,$H15))</f>
        <v>0</v>
      </c>
      <c r="BL15" s="26">
        <f ca="1">IF($C15="","",'Outturn ex VAT'!BL15*INDEX('Global Constants'!BE$45:BE$49,$H15))</f>
        <v>0</v>
      </c>
      <c r="BM15" s="26">
        <f ca="1">IF($C15="","",'Outturn ex VAT'!BM15*INDEX('Global Constants'!BF$45:BF$49,$H15))</f>
        <v>0</v>
      </c>
      <c r="BN15" s="26">
        <f ca="1">IF($C15="","",'Outturn ex VAT'!BN15*INDEX('Global Constants'!BG$45:BG$49,$H15))</f>
        <v>0</v>
      </c>
      <c r="BO15" s="26">
        <f ca="1">IF($C15="","",'Outturn ex VAT'!BO15*INDEX('Global Constants'!BH$45:BH$49,$H15))</f>
        <v>0</v>
      </c>
      <c r="BP15" s="26">
        <f ca="1">IF($C15="","",'Outturn ex VAT'!BP15*INDEX('Global Constants'!BI$45:BI$49,$H15))</f>
        <v>0</v>
      </c>
      <c r="BQ15" s="26">
        <f ca="1">IF($C15="","",'Outturn ex VAT'!BQ15*INDEX('Global Constants'!BJ$45:BJ$49,$H15))</f>
        <v>0</v>
      </c>
      <c r="BR15" s="26">
        <f ca="1">IF($C15="","",'Outturn ex VAT'!BR15*INDEX('Global Constants'!BK$45:BK$49,$H15))</f>
        <v>0</v>
      </c>
      <c r="BS15" s="26">
        <f ca="1">IF($C15="","",'Outturn ex VAT'!BS15*INDEX('Global Constants'!BL$45:BL$49,$H15))</f>
        <v>0</v>
      </c>
      <c r="BT15" s="26">
        <f ca="1">IF($C15="","",'Outturn ex VAT'!BT15*INDEX('Global Constants'!BM$45:BM$49,$H15))</f>
        <v>0</v>
      </c>
      <c r="BU15" s="26">
        <f ca="1">IF($C15="","",'Outturn ex VAT'!BU15*INDEX('Global Constants'!BN$45:BN$49,$H15))</f>
        <v>0</v>
      </c>
      <c r="BV15" s="26">
        <f ca="1">IF($C15="","",'Outturn ex VAT'!BV15*INDEX('Global Constants'!BO$45:BO$49,$H15))</f>
        <v>0</v>
      </c>
      <c r="BW15" s="26">
        <f ca="1">IF($C15="","",'Outturn ex VAT'!BW15*INDEX('Global Constants'!BP$45:BP$49,$H15))</f>
        <v>0</v>
      </c>
      <c r="BX15" s="26">
        <f ca="1">IF($C15="","",'Outturn ex VAT'!BX15*INDEX('Global Constants'!BQ$45:BQ$49,$H15))</f>
        <v>0</v>
      </c>
      <c r="BY15" s="26">
        <f ca="1">IF($C15="","",'Outturn ex VAT'!BY15*INDEX('Global Constants'!BR$45:BR$49,$H15))</f>
        <v>0</v>
      </c>
      <c r="BZ15" s="26">
        <f ca="1">IF($C15="","",'Outturn ex VAT'!BZ15*INDEX('Global Constants'!BS$45:BS$49,$H15))</f>
        <v>0</v>
      </c>
      <c r="CA15" s="26">
        <f ca="1">IF($C15="","",'Outturn ex VAT'!CA15*INDEX('Global Constants'!BT$45:BT$49,$H15))</f>
        <v>0</v>
      </c>
      <c r="CB15" s="26">
        <f ca="1">IF($C15="","",'Outturn ex VAT'!CB15*INDEX('Global Constants'!BU$45:BU$49,$H15))</f>
        <v>0</v>
      </c>
      <c r="CC15" s="26">
        <f ca="1">IF($C15="","",'Outturn ex VAT'!CC15*INDEX('Global Constants'!BV$45:BV$49,$H15))</f>
        <v>0</v>
      </c>
      <c r="CD15" s="26">
        <f ca="1">IF($C15="","",'Outturn ex VAT'!CD15*INDEX('Global Constants'!BW$45:BW$49,$H15))</f>
        <v>0</v>
      </c>
      <c r="CE15" s="26">
        <f ca="1">IF($C15="","",'Outturn ex VAT'!CE15*INDEX('Global Constants'!BX$45:BX$49,$H15))</f>
        <v>0</v>
      </c>
      <c r="CF15" s="26">
        <f ca="1">IF($C15="","",'Outturn ex VAT'!CF15*INDEX('Global Constants'!BY$45:BY$49,$H15))</f>
        <v>0</v>
      </c>
      <c r="CG15" s="26">
        <f ca="1">IF($C15="","",'Outturn ex VAT'!CG15*INDEX('Global Constants'!BZ$45:BZ$49,$H15))</f>
        <v>0</v>
      </c>
      <c r="CH15" s="26">
        <f ca="1">IF($C15="","",'Outturn ex VAT'!CH15*INDEX('Global Constants'!CA$45:CA$49,$H15))</f>
        <v>0</v>
      </c>
      <c r="CI15" s="26">
        <f ca="1">IF($C15="","",'Outturn ex VAT'!CI15*INDEX('Global Constants'!CB$45:CB$49,$H15))</f>
        <v>0</v>
      </c>
      <c r="CJ15" s="26">
        <f ca="1">IF($C15="","",'Outturn ex VAT'!CJ15*INDEX('Global Constants'!CC$45:CC$49,$H15))</f>
        <v>0</v>
      </c>
      <c r="CK15" s="26">
        <f ca="1">IF($C15="","",'Outturn ex VAT'!CK15*INDEX('Global Constants'!CD$45:CD$49,$H15))</f>
        <v>0</v>
      </c>
      <c r="CL15" s="26">
        <f ca="1">IF($C15="","",'Outturn ex VAT'!CL15*INDEX('Global Constants'!CE$45:CE$49,$H15))</f>
        <v>0</v>
      </c>
      <c r="CM15" s="26">
        <f ca="1">IF($C15="","",'Outturn ex VAT'!CM15*INDEX('Global Constants'!CF$45:CF$49,$H15))</f>
        <v>0</v>
      </c>
      <c r="CN15" s="26">
        <f ca="1">IF($C15="","",'Outturn ex VAT'!CN15*INDEX('Global Constants'!CG$45:CG$49,$H15))</f>
        <v>0</v>
      </c>
      <c r="CO15" s="26">
        <f ca="1">IF($C15="","",'Outturn ex VAT'!CO15*INDEX('Global Constants'!CH$45:CH$49,$H15))</f>
        <v>0</v>
      </c>
      <c r="CP15" s="26">
        <f ca="1">IF($C15="","",'Outturn ex VAT'!CP15*INDEX('Global Constants'!CI$45:CI$49,$H15))</f>
        <v>0</v>
      </c>
      <c r="CQ15" s="26">
        <f ca="1">IF($C15="","",'Outturn ex VAT'!CQ15*INDEX('Global Constants'!CJ$45:CJ$49,$H15))</f>
        <v>0</v>
      </c>
      <c r="CR15" s="26">
        <f ca="1">IF($C15="","",'Outturn ex VAT'!CR15*INDEX('Global Constants'!CK$45:CK$49,$H15))</f>
        <v>0</v>
      </c>
      <c r="CS15" s="26">
        <f ca="1">IF($C15="","",'Outturn ex VAT'!CS15*INDEX('Global Constants'!CL$45:CL$49,$H15))</f>
        <v>0</v>
      </c>
      <c r="CT15" s="26">
        <f ca="1">IF($C15="","",'Outturn ex VAT'!CT15*INDEX('Global Constants'!CM$45:CM$49,$H15))</f>
        <v>0</v>
      </c>
      <c r="CU15" s="26">
        <f ca="1">IF($C15="","",'Outturn ex VAT'!CU15*INDEX('Global Constants'!CN$45:CN$49,$H15))</f>
        <v>0</v>
      </c>
      <c r="CV15" s="26">
        <f ca="1">IF($C15="","",'Outturn ex VAT'!CV15*INDEX('Global Constants'!CO$45:CO$49,$H15))</f>
        <v>0</v>
      </c>
      <c r="CW15" s="26">
        <f ca="1">IF($C15="","",'Outturn ex VAT'!CW15*INDEX('Global Constants'!CP$45:CP$49,$H15))</f>
        <v>0</v>
      </c>
      <c r="CX15" s="26">
        <f ca="1">IF($C15="","",'Outturn ex VAT'!CX15*INDEX('Global Constants'!CQ$45:CQ$49,$H15))</f>
        <v>0</v>
      </c>
      <c r="CZ15" s="26">
        <f t="shared" ca="1" si="1"/>
        <v>0</v>
      </c>
      <c r="DA15" s="26">
        <f t="shared" ca="1" si="2"/>
        <v>12055.501033444198</v>
      </c>
    </row>
    <row r="16" spans="1:105" x14ac:dyDescent="0.3">
      <c r="C16" s="4" t="str">
        <f>IF('Cost &amp; Risk Inputs'!C17="","",'Cost &amp; Risk Inputs'!C17)</f>
        <v>Test 7</v>
      </c>
      <c r="D16" s="4" t="str">
        <f>IF(C16="","",'Cost &amp; Risk Inputs'!H17)</f>
        <v>Assessment</v>
      </c>
      <c r="E16" s="4" t="str">
        <f>IF(C16="","",'Cost &amp; Risk Inputs'!I17)</f>
        <v>Logistics</v>
      </c>
      <c r="F16" s="4" t="str">
        <f>IF(C16="","",'Cost &amp; Risk Inputs'!E17)</f>
        <v>UK VAT</v>
      </c>
      <c r="H16" s="18">
        <f t="shared" si="0"/>
        <v>2</v>
      </c>
      <c r="M16" s="26">
        <f ca="1">IF($C16="","",'Outturn ex VAT'!M16*INDEX('Global Constants'!F$45:F$49,$H16))</f>
        <v>0</v>
      </c>
      <c r="N16" s="26">
        <f ca="1">IF($C16="","",'Outturn ex VAT'!N16*INDEX('Global Constants'!G$45:G$49,$H16))</f>
        <v>0</v>
      </c>
      <c r="O16" s="26">
        <f ca="1">IF($C16="","",'Outturn ex VAT'!O16*INDEX('Global Constants'!H$45:H$49,$H16))</f>
        <v>0</v>
      </c>
      <c r="P16" s="26">
        <f ca="1">IF($C16="","",'Outturn ex VAT'!P16*INDEX('Global Constants'!I$45:I$49,$H16))</f>
        <v>0</v>
      </c>
      <c r="Q16" s="26">
        <f ca="1">IF($C16="","",'Outturn ex VAT'!Q16*INDEX('Global Constants'!J$45:J$49,$H16))</f>
        <v>0</v>
      </c>
      <c r="R16" s="26">
        <f ca="1">IF($C16="","",'Outturn ex VAT'!R16*INDEX('Global Constants'!K$45:K$49,$H16))</f>
        <v>0</v>
      </c>
      <c r="S16" s="26">
        <f ca="1">IF($C16="","",'Outturn ex VAT'!S16*INDEX('Global Constants'!L$45:L$49,$H16))</f>
        <v>0</v>
      </c>
      <c r="T16" s="26">
        <f ca="1">IF($C16="","",'Outturn ex VAT'!T16*INDEX('Global Constants'!M$45:M$49,$H16))</f>
        <v>0</v>
      </c>
      <c r="U16" s="26">
        <f ca="1">IF($C16="","",'Outturn ex VAT'!U16*INDEX('Global Constants'!N$45:N$49,$H16))</f>
        <v>0</v>
      </c>
      <c r="V16" s="26">
        <f ca="1">IF($C16="","",'Outturn ex VAT'!V16*INDEX('Global Constants'!O$45:O$49,$H16))</f>
        <v>0</v>
      </c>
      <c r="W16" s="26">
        <f ca="1">IF($C16="","",'Outturn ex VAT'!W16*INDEX('Global Constants'!P$45:P$49,$H16))</f>
        <v>0</v>
      </c>
      <c r="X16" s="26">
        <f ca="1">IF($C16="","",'Outturn ex VAT'!X16*INDEX('Global Constants'!Q$45:Q$49,$H16))</f>
        <v>0</v>
      </c>
      <c r="Y16" s="26">
        <f ca="1">IF($C16="","",'Outturn ex VAT'!Y16*INDEX('Global Constants'!R$45:R$49,$H16))</f>
        <v>0</v>
      </c>
      <c r="Z16" s="26">
        <f ca="1">IF($C16="","",'Outturn ex VAT'!Z16*INDEX('Global Constants'!S$45:S$49,$H16))</f>
        <v>0</v>
      </c>
      <c r="AA16" s="26">
        <f ca="1">IF($C16="","",'Outturn ex VAT'!AA16*INDEX('Global Constants'!T$45:T$49,$H16))</f>
        <v>0</v>
      </c>
      <c r="AB16" s="26">
        <f ca="1">IF($C16="","",'Outturn ex VAT'!AB16*INDEX('Global Constants'!U$45:U$49,$H16))</f>
        <v>0</v>
      </c>
      <c r="AC16" s="26">
        <f ca="1">IF($C16="","",'Outturn ex VAT'!AC16*INDEX('Global Constants'!V$45:V$49,$H16))</f>
        <v>0</v>
      </c>
      <c r="AD16" s="26">
        <f ca="1">IF($C16="","",'Outturn ex VAT'!AD16*INDEX('Global Constants'!W$45:W$49,$H16))</f>
        <v>9395.790734220187</v>
      </c>
      <c r="AE16" s="26">
        <f ca="1">IF($C16="","",'Outturn ex VAT'!AE16*INDEX('Global Constants'!X$45:X$49,$H16))</f>
        <v>9395.790734220187</v>
      </c>
      <c r="AF16" s="26">
        <f ca="1">IF($C16="","",'Outturn ex VAT'!AF16*INDEX('Global Constants'!Y$45:Y$49,$H16))</f>
        <v>9395.790734220187</v>
      </c>
      <c r="AG16" s="26">
        <f ca="1">IF($C16="","",'Outturn ex VAT'!AG16*INDEX('Global Constants'!Z$45:Z$49,$H16))</f>
        <v>9395.790734220187</v>
      </c>
      <c r="AH16" s="26">
        <f ca="1">IF($C16="","",'Outturn ex VAT'!AH16*INDEX('Global Constants'!AA$45:AA$49,$H16))</f>
        <v>9395.790734220187</v>
      </c>
      <c r="AI16" s="26">
        <f ca="1">IF($C16="","",'Outturn ex VAT'!AI16*INDEX('Global Constants'!AB$45:AB$49,$H16))</f>
        <v>0</v>
      </c>
      <c r="AJ16" s="26">
        <f ca="1">IF($C16="","",'Outturn ex VAT'!AJ16*INDEX('Global Constants'!AC$45:AC$49,$H16))</f>
        <v>0</v>
      </c>
      <c r="AK16" s="26">
        <f ca="1">IF($C16="","",'Outturn ex VAT'!AK16*INDEX('Global Constants'!AD$45:AD$49,$H16))</f>
        <v>0</v>
      </c>
      <c r="AL16" s="26">
        <f ca="1">IF($C16="","",'Outturn ex VAT'!AL16*INDEX('Global Constants'!AE$45:AE$49,$H16))</f>
        <v>0</v>
      </c>
      <c r="AM16" s="26">
        <f ca="1">IF($C16="","",'Outturn ex VAT'!AM16*INDEX('Global Constants'!AF$45:AF$49,$H16))</f>
        <v>0</v>
      </c>
      <c r="AN16" s="26">
        <f ca="1">IF($C16="","",'Outturn ex VAT'!AN16*INDEX('Global Constants'!AG$45:AG$49,$H16))</f>
        <v>0</v>
      </c>
      <c r="AO16" s="26">
        <f ca="1">IF($C16="","",'Outturn ex VAT'!AO16*INDEX('Global Constants'!AH$45:AH$49,$H16))</f>
        <v>0</v>
      </c>
      <c r="AP16" s="26">
        <f ca="1">IF($C16="","",'Outturn ex VAT'!AP16*INDEX('Global Constants'!AI$45:AI$49,$H16))</f>
        <v>0</v>
      </c>
      <c r="AQ16" s="26">
        <f ca="1">IF($C16="","",'Outturn ex VAT'!AQ16*INDEX('Global Constants'!AJ$45:AJ$49,$H16))</f>
        <v>0</v>
      </c>
      <c r="AR16" s="26">
        <f ca="1">IF($C16="","",'Outturn ex VAT'!AR16*INDEX('Global Constants'!AK$45:AK$49,$H16))</f>
        <v>0</v>
      </c>
      <c r="AS16" s="26">
        <f ca="1">IF($C16="","",'Outturn ex VAT'!AS16*INDEX('Global Constants'!AL$45:AL$49,$H16))</f>
        <v>0</v>
      </c>
      <c r="AT16" s="26">
        <f ca="1">IF($C16="","",'Outturn ex VAT'!AT16*INDEX('Global Constants'!AM$45:AM$49,$H16))</f>
        <v>0</v>
      </c>
      <c r="AU16" s="26">
        <f ca="1">IF($C16="","",'Outturn ex VAT'!AU16*INDEX('Global Constants'!AN$45:AN$49,$H16))</f>
        <v>0</v>
      </c>
      <c r="AV16" s="26">
        <f ca="1">IF($C16="","",'Outturn ex VAT'!AV16*INDEX('Global Constants'!AO$45:AO$49,$H16))</f>
        <v>0</v>
      </c>
      <c r="AW16" s="26">
        <f ca="1">IF($C16="","",'Outturn ex VAT'!AW16*INDEX('Global Constants'!AP$45:AP$49,$H16))</f>
        <v>0</v>
      </c>
      <c r="AX16" s="26">
        <f ca="1">IF($C16="","",'Outturn ex VAT'!AX16*INDEX('Global Constants'!AQ$45:AQ$49,$H16))</f>
        <v>0</v>
      </c>
      <c r="AY16" s="26">
        <f ca="1">IF($C16="","",'Outturn ex VAT'!AY16*INDEX('Global Constants'!AR$45:AR$49,$H16))</f>
        <v>0</v>
      </c>
      <c r="AZ16" s="26">
        <f ca="1">IF($C16="","",'Outturn ex VAT'!AZ16*INDEX('Global Constants'!AS$45:AS$49,$H16))</f>
        <v>0</v>
      </c>
      <c r="BA16" s="26">
        <f ca="1">IF($C16="","",'Outturn ex VAT'!BA16*INDEX('Global Constants'!AT$45:AT$49,$H16))</f>
        <v>0</v>
      </c>
      <c r="BB16" s="26">
        <f ca="1">IF($C16="","",'Outturn ex VAT'!BB16*INDEX('Global Constants'!AU$45:AU$49,$H16))</f>
        <v>0</v>
      </c>
      <c r="BC16" s="26">
        <f ca="1">IF($C16="","",'Outturn ex VAT'!BC16*INDEX('Global Constants'!AV$45:AV$49,$H16))</f>
        <v>0</v>
      </c>
      <c r="BD16" s="26">
        <f ca="1">IF($C16="","",'Outturn ex VAT'!BD16*INDEX('Global Constants'!AW$45:AW$49,$H16))</f>
        <v>0</v>
      </c>
      <c r="BE16" s="26">
        <f ca="1">IF($C16="","",'Outturn ex VAT'!BE16*INDEX('Global Constants'!AX$45:AX$49,$H16))</f>
        <v>0</v>
      </c>
      <c r="BF16" s="26">
        <f ca="1">IF($C16="","",'Outturn ex VAT'!BF16*INDEX('Global Constants'!AY$45:AY$49,$H16))</f>
        <v>0</v>
      </c>
      <c r="BG16" s="26">
        <f ca="1">IF($C16="","",'Outturn ex VAT'!BG16*INDEX('Global Constants'!AZ$45:AZ$49,$H16))</f>
        <v>0</v>
      </c>
      <c r="BH16" s="26">
        <f ca="1">IF($C16="","",'Outturn ex VAT'!BH16*INDEX('Global Constants'!BA$45:BA$49,$H16))</f>
        <v>0</v>
      </c>
      <c r="BI16" s="26">
        <f ca="1">IF($C16="","",'Outturn ex VAT'!BI16*INDEX('Global Constants'!BB$45:BB$49,$H16))</f>
        <v>0</v>
      </c>
      <c r="BJ16" s="26">
        <f ca="1">IF($C16="","",'Outturn ex VAT'!BJ16*INDEX('Global Constants'!BC$45:BC$49,$H16))</f>
        <v>0</v>
      </c>
      <c r="BK16" s="26">
        <f ca="1">IF($C16="","",'Outturn ex VAT'!BK16*INDEX('Global Constants'!BD$45:BD$49,$H16))</f>
        <v>0</v>
      </c>
      <c r="BL16" s="26">
        <f ca="1">IF($C16="","",'Outturn ex VAT'!BL16*INDEX('Global Constants'!BE$45:BE$49,$H16))</f>
        <v>0</v>
      </c>
      <c r="BM16" s="26">
        <f ca="1">IF($C16="","",'Outturn ex VAT'!BM16*INDEX('Global Constants'!BF$45:BF$49,$H16))</f>
        <v>0</v>
      </c>
      <c r="BN16" s="26">
        <f ca="1">IF($C16="","",'Outturn ex VAT'!BN16*INDEX('Global Constants'!BG$45:BG$49,$H16))</f>
        <v>0</v>
      </c>
      <c r="BO16" s="26">
        <f ca="1">IF($C16="","",'Outturn ex VAT'!BO16*INDEX('Global Constants'!BH$45:BH$49,$H16))</f>
        <v>0</v>
      </c>
      <c r="BP16" s="26">
        <f ca="1">IF($C16="","",'Outturn ex VAT'!BP16*INDEX('Global Constants'!BI$45:BI$49,$H16))</f>
        <v>0</v>
      </c>
      <c r="BQ16" s="26">
        <f ca="1">IF($C16="","",'Outturn ex VAT'!BQ16*INDEX('Global Constants'!BJ$45:BJ$49,$H16))</f>
        <v>0</v>
      </c>
      <c r="BR16" s="26">
        <f ca="1">IF($C16="","",'Outturn ex VAT'!BR16*INDEX('Global Constants'!BK$45:BK$49,$H16))</f>
        <v>0</v>
      </c>
      <c r="BS16" s="26">
        <f ca="1">IF($C16="","",'Outturn ex VAT'!BS16*INDEX('Global Constants'!BL$45:BL$49,$H16))</f>
        <v>0</v>
      </c>
      <c r="BT16" s="26">
        <f ca="1">IF($C16="","",'Outturn ex VAT'!BT16*INDEX('Global Constants'!BM$45:BM$49,$H16))</f>
        <v>0</v>
      </c>
      <c r="BU16" s="26">
        <f ca="1">IF($C16="","",'Outturn ex VAT'!BU16*INDEX('Global Constants'!BN$45:BN$49,$H16))</f>
        <v>0</v>
      </c>
      <c r="BV16" s="26">
        <f ca="1">IF($C16="","",'Outturn ex VAT'!BV16*INDEX('Global Constants'!BO$45:BO$49,$H16))</f>
        <v>0</v>
      </c>
      <c r="BW16" s="26">
        <f ca="1">IF($C16="","",'Outturn ex VAT'!BW16*INDEX('Global Constants'!BP$45:BP$49,$H16))</f>
        <v>0</v>
      </c>
      <c r="BX16" s="26">
        <f ca="1">IF($C16="","",'Outturn ex VAT'!BX16*INDEX('Global Constants'!BQ$45:BQ$49,$H16))</f>
        <v>0</v>
      </c>
      <c r="BY16" s="26">
        <f ca="1">IF($C16="","",'Outturn ex VAT'!BY16*INDEX('Global Constants'!BR$45:BR$49,$H16))</f>
        <v>0</v>
      </c>
      <c r="BZ16" s="26">
        <f ca="1">IF($C16="","",'Outturn ex VAT'!BZ16*INDEX('Global Constants'!BS$45:BS$49,$H16))</f>
        <v>0</v>
      </c>
      <c r="CA16" s="26">
        <f ca="1">IF($C16="","",'Outturn ex VAT'!CA16*INDEX('Global Constants'!BT$45:BT$49,$H16))</f>
        <v>0</v>
      </c>
      <c r="CB16" s="26">
        <f ca="1">IF($C16="","",'Outturn ex VAT'!CB16*INDEX('Global Constants'!BU$45:BU$49,$H16))</f>
        <v>0</v>
      </c>
      <c r="CC16" s="26">
        <f ca="1">IF($C16="","",'Outturn ex VAT'!CC16*INDEX('Global Constants'!BV$45:BV$49,$H16))</f>
        <v>0</v>
      </c>
      <c r="CD16" s="26">
        <f ca="1">IF($C16="","",'Outturn ex VAT'!CD16*INDEX('Global Constants'!BW$45:BW$49,$H16))</f>
        <v>0</v>
      </c>
      <c r="CE16" s="26">
        <f ca="1">IF($C16="","",'Outturn ex VAT'!CE16*INDEX('Global Constants'!BX$45:BX$49,$H16))</f>
        <v>0</v>
      </c>
      <c r="CF16" s="26">
        <f ca="1">IF($C16="","",'Outturn ex VAT'!CF16*INDEX('Global Constants'!BY$45:BY$49,$H16))</f>
        <v>0</v>
      </c>
      <c r="CG16" s="26">
        <f ca="1">IF($C16="","",'Outturn ex VAT'!CG16*INDEX('Global Constants'!BZ$45:BZ$49,$H16))</f>
        <v>0</v>
      </c>
      <c r="CH16" s="26">
        <f ca="1">IF($C16="","",'Outturn ex VAT'!CH16*INDEX('Global Constants'!CA$45:CA$49,$H16))</f>
        <v>0</v>
      </c>
      <c r="CI16" s="26">
        <f ca="1">IF($C16="","",'Outturn ex VAT'!CI16*INDEX('Global Constants'!CB$45:CB$49,$H16))</f>
        <v>0</v>
      </c>
      <c r="CJ16" s="26">
        <f ca="1">IF($C16="","",'Outturn ex VAT'!CJ16*INDEX('Global Constants'!CC$45:CC$49,$H16))</f>
        <v>0</v>
      </c>
      <c r="CK16" s="26">
        <f ca="1">IF($C16="","",'Outturn ex VAT'!CK16*INDEX('Global Constants'!CD$45:CD$49,$H16))</f>
        <v>0</v>
      </c>
      <c r="CL16" s="26">
        <f ca="1">IF($C16="","",'Outturn ex VAT'!CL16*INDEX('Global Constants'!CE$45:CE$49,$H16))</f>
        <v>0</v>
      </c>
      <c r="CM16" s="26">
        <f ca="1">IF($C16="","",'Outturn ex VAT'!CM16*INDEX('Global Constants'!CF$45:CF$49,$H16))</f>
        <v>0</v>
      </c>
      <c r="CN16" s="26">
        <f ca="1">IF($C16="","",'Outturn ex VAT'!CN16*INDEX('Global Constants'!CG$45:CG$49,$H16))</f>
        <v>0</v>
      </c>
      <c r="CO16" s="26">
        <f ca="1">IF($C16="","",'Outturn ex VAT'!CO16*INDEX('Global Constants'!CH$45:CH$49,$H16))</f>
        <v>0</v>
      </c>
      <c r="CP16" s="26">
        <f ca="1">IF($C16="","",'Outturn ex VAT'!CP16*INDEX('Global Constants'!CI$45:CI$49,$H16))</f>
        <v>0</v>
      </c>
      <c r="CQ16" s="26">
        <f ca="1">IF($C16="","",'Outturn ex VAT'!CQ16*INDEX('Global Constants'!CJ$45:CJ$49,$H16))</f>
        <v>0</v>
      </c>
      <c r="CR16" s="26">
        <f ca="1">IF($C16="","",'Outturn ex VAT'!CR16*INDEX('Global Constants'!CK$45:CK$49,$H16))</f>
        <v>0</v>
      </c>
      <c r="CS16" s="26">
        <f ca="1">IF($C16="","",'Outturn ex VAT'!CS16*INDEX('Global Constants'!CL$45:CL$49,$H16))</f>
        <v>0</v>
      </c>
      <c r="CT16" s="26">
        <f ca="1">IF($C16="","",'Outturn ex VAT'!CT16*INDEX('Global Constants'!CM$45:CM$49,$H16))</f>
        <v>0</v>
      </c>
      <c r="CU16" s="26">
        <f ca="1">IF($C16="","",'Outturn ex VAT'!CU16*INDEX('Global Constants'!CN$45:CN$49,$H16))</f>
        <v>0</v>
      </c>
      <c r="CV16" s="26">
        <f ca="1">IF($C16="","",'Outturn ex VAT'!CV16*INDEX('Global Constants'!CO$45:CO$49,$H16))</f>
        <v>0</v>
      </c>
      <c r="CW16" s="26">
        <f ca="1">IF($C16="","",'Outturn ex VAT'!CW16*INDEX('Global Constants'!CP$45:CP$49,$H16))</f>
        <v>0</v>
      </c>
      <c r="CX16" s="26">
        <f ca="1">IF($C16="","",'Outturn ex VAT'!CX16*INDEX('Global Constants'!CQ$45:CQ$49,$H16))</f>
        <v>0</v>
      </c>
      <c r="CZ16" s="26">
        <f t="shared" ca="1" si="1"/>
        <v>0</v>
      </c>
      <c r="DA16" s="26">
        <f t="shared" ca="1" si="2"/>
        <v>46978.953671100935</v>
      </c>
    </row>
    <row r="17" spans="3:105" x14ac:dyDescent="0.3">
      <c r="C17" s="4" t="str">
        <f>IF('Cost &amp; Risk Inputs'!C18="","",'Cost &amp; Risk Inputs'!C18)</f>
        <v>Test 8</v>
      </c>
      <c r="D17" s="4" t="str">
        <f>IF(C17="","",'Cost &amp; Risk Inputs'!H18)</f>
        <v>Design</v>
      </c>
      <c r="E17" s="4" t="str">
        <f>IF(C17="","",'Cost &amp; Risk Inputs'!I18)</f>
        <v>Training</v>
      </c>
      <c r="F17" s="4" t="str">
        <f>IF(C17="","",'Cost &amp; Risk Inputs'!E18)</f>
        <v>UK VAT</v>
      </c>
      <c r="H17" s="18">
        <f t="shared" si="0"/>
        <v>2</v>
      </c>
      <c r="M17" s="26">
        <f ca="1">IF($C17="","",'Outturn ex VAT'!M17*INDEX('Global Constants'!F$45:F$49,$H17))</f>
        <v>0</v>
      </c>
      <c r="N17" s="26">
        <f ca="1">IF($C17="","",'Outturn ex VAT'!N17*INDEX('Global Constants'!G$45:G$49,$H17))</f>
        <v>0</v>
      </c>
      <c r="O17" s="26">
        <f ca="1">IF($C17="","",'Outturn ex VAT'!O17*INDEX('Global Constants'!H$45:H$49,$H17))</f>
        <v>0</v>
      </c>
      <c r="P17" s="26">
        <f ca="1">IF($C17="","",'Outturn ex VAT'!P17*INDEX('Global Constants'!I$45:I$49,$H17))</f>
        <v>0</v>
      </c>
      <c r="Q17" s="26">
        <f ca="1">IF($C17="","",'Outturn ex VAT'!Q17*INDEX('Global Constants'!J$45:J$49,$H17))</f>
        <v>0</v>
      </c>
      <c r="R17" s="26">
        <f ca="1">IF($C17="","",'Outturn ex VAT'!R17*INDEX('Global Constants'!K$45:K$49,$H17))</f>
        <v>0</v>
      </c>
      <c r="S17" s="26">
        <f ca="1">IF($C17="","",'Outturn ex VAT'!S17*INDEX('Global Constants'!L$45:L$49,$H17))</f>
        <v>0</v>
      </c>
      <c r="T17" s="26">
        <f ca="1">IF($C17="","",'Outturn ex VAT'!T17*INDEX('Global Constants'!M$45:M$49,$H17))</f>
        <v>0</v>
      </c>
      <c r="U17" s="26">
        <f ca="1">IF($C17="","",'Outturn ex VAT'!U17*INDEX('Global Constants'!N$45:N$49,$H17))</f>
        <v>0</v>
      </c>
      <c r="V17" s="26">
        <f ca="1">IF($C17="","",'Outturn ex VAT'!V17*INDEX('Global Constants'!O$45:O$49,$H17))</f>
        <v>0</v>
      </c>
      <c r="W17" s="26">
        <f ca="1">IF($C17="","",'Outturn ex VAT'!W17*INDEX('Global Constants'!P$45:P$49,$H17))</f>
        <v>0</v>
      </c>
      <c r="X17" s="26">
        <f ca="1">IF($C17="","",'Outturn ex VAT'!X17*INDEX('Global Constants'!Q$45:Q$49,$H17))</f>
        <v>0</v>
      </c>
      <c r="Y17" s="26">
        <f ca="1">IF($C17="","",'Outturn ex VAT'!Y17*INDEX('Global Constants'!R$45:R$49,$H17))</f>
        <v>0</v>
      </c>
      <c r="Z17" s="26">
        <f ca="1">IF($C17="","",'Outturn ex VAT'!Z17*INDEX('Global Constants'!S$45:S$49,$H17))</f>
        <v>0</v>
      </c>
      <c r="AA17" s="26">
        <f ca="1">IF($C17="","",'Outturn ex VAT'!AA17*INDEX('Global Constants'!T$45:T$49,$H17))</f>
        <v>0</v>
      </c>
      <c r="AB17" s="26">
        <f ca="1">IF($C17="","",'Outturn ex VAT'!AB17*INDEX('Global Constants'!U$45:U$49,$H17))</f>
        <v>0</v>
      </c>
      <c r="AC17" s="26">
        <f ca="1">IF($C17="","",'Outturn ex VAT'!AC17*INDEX('Global Constants'!V$45:V$49,$H17))</f>
        <v>0</v>
      </c>
      <c r="AD17" s="26">
        <f ca="1">IF($C17="","",'Outturn ex VAT'!AD17*INDEX('Global Constants'!W$45:W$49,$H17))</f>
        <v>14583.27540450352</v>
      </c>
      <c r="AE17" s="26">
        <f ca="1">IF($C17="","",'Outturn ex VAT'!AE17*INDEX('Global Constants'!X$45:X$49,$H17))</f>
        <v>14583.27540450352</v>
      </c>
      <c r="AF17" s="26">
        <f ca="1">IF($C17="","",'Outturn ex VAT'!AF17*INDEX('Global Constants'!Y$45:Y$49,$H17))</f>
        <v>14583.27540450352</v>
      </c>
      <c r="AG17" s="26">
        <f ca="1">IF($C17="","",'Outturn ex VAT'!AG17*INDEX('Global Constants'!Z$45:Z$49,$H17))</f>
        <v>14583.27540450352</v>
      </c>
      <c r="AH17" s="26">
        <f ca="1">IF($C17="","",'Outturn ex VAT'!AH17*INDEX('Global Constants'!AA$45:AA$49,$H17))</f>
        <v>14583.27540450352</v>
      </c>
      <c r="AI17" s="26">
        <f ca="1">IF($C17="","",'Outturn ex VAT'!AI17*INDEX('Global Constants'!AB$45:AB$49,$H17))</f>
        <v>0</v>
      </c>
      <c r="AJ17" s="26">
        <f ca="1">IF($C17="","",'Outturn ex VAT'!AJ17*INDEX('Global Constants'!AC$45:AC$49,$H17))</f>
        <v>0</v>
      </c>
      <c r="AK17" s="26">
        <f ca="1">IF($C17="","",'Outturn ex VAT'!AK17*INDEX('Global Constants'!AD$45:AD$49,$H17))</f>
        <v>0</v>
      </c>
      <c r="AL17" s="26">
        <f ca="1">IF($C17="","",'Outturn ex VAT'!AL17*INDEX('Global Constants'!AE$45:AE$49,$H17))</f>
        <v>0</v>
      </c>
      <c r="AM17" s="26">
        <f ca="1">IF($C17="","",'Outturn ex VAT'!AM17*INDEX('Global Constants'!AF$45:AF$49,$H17))</f>
        <v>0</v>
      </c>
      <c r="AN17" s="26">
        <f ca="1">IF($C17="","",'Outturn ex VAT'!AN17*INDEX('Global Constants'!AG$45:AG$49,$H17))</f>
        <v>0</v>
      </c>
      <c r="AO17" s="26">
        <f ca="1">IF($C17="","",'Outturn ex VAT'!AO17*INDEX('Global Constants'!AH$45:AH$49,$H17))</f>
        <v>0</v>
      </c>
      <c r="AP17" s="26">
        <f ca="1">IF($C17="","",'Outturn ex VAT'!AP17*INDEX('Global Constants'!AI$45:AI$49,$H17))</f>
        <v>0</v>
      </c>
      <c r="AQ17" s="26">
        <f ca="1">IF($C17="","",'Outturn ex VAT'!AQ17*INDEX('Global Constants'!AJ$45:AJ$49,$H17))</f>
        <v>0</v>
      </c>
      <c r="AR17" s="26">
        <f ca="1">IF($C17="","",'Outturn ex VAT'!AR17*INDEX('Global Constants'!AK$45:AK$49,$H17))</f>
        <v>0</v>
      </c>
      <c r="AS17" s="26">
        <f ca="1">IF($C17="","",'Outturn ex VAT'!AS17*INDEX('Global Constants'!AL$45:AL$49,$H17))</f>
        <v>0</v>
      </c>
      <c r="AT17" s="26">
        <f ca="1">IF($C17="","",'Outturn ex VAT'!AT17*INDEX('Global Constants'!AM$45:AM$49,$H17))</f>
        <v>0</v>
      </c>
      <c r="AU17" s="26">
        <f ca="1">IF($C17="","",'Outturn ex VAT'!AU17*INDEX('Global Constants'!AN$45:AN$49,$H17))</f>
        <v>0</v>
      </c>
      <c r="AV17" s="26">
        <f ca="1">IF($C17="","",'Outturn ex VAT'!AV17*INDEX('Global Constants'!AO$45:AO$49,$H17))</f>
        <v>0</v>
      </c>
      <c r="AW17" s="26">
        <f ca="1">IF($C17="","",'Outturn ex VAT'!AW17*INDEX('Global Constants'!AP$45:AP$49,$H17))</f>
        <v>0</v>
      </c>
      <c r="AX17" s="26">
        <f ca="1">IF($C17="","",'Outturn ex VAT'!AX17*INDEX('Global Constants'!AQ$45:AQ$49,$H17))</f>
        <v>0</v>
      </c>
      <c r="AY17" s="26">
        <f ca="1">IF($C17="","",'Outturn ex VAT'!AY17*INDEX('Global Constants'!AR$45:AR$49,$H17))</f>
        <v>0</v>
      </c>
      <c r="AZ17" s="26">
        <f ca="1">IF($C17="","",'Outturn ex VAT'!AZ17*INDEX('Global Constants'!AS$45:AS$49,$H17))</f>
        <v>0</v>
      </c>
      <c r="BA17" s="26">
        <f ca="1">IF($C17="","",'Outturn ex VAT'!BA17*INDEX('Global Constants'!AT$45:AT$49,$H17))</f>
        <v>0</v>
      </c>
      <c r="BB17" s="26">
        <f ca="1">IF($C17="","",'Outturn ex VAT'!BB17*INDEX('Global Constants'!AU$45:AU$49,$H17))</f>
        <v>0</v>
      </c>
      <c r="BC17" s="26">
        <f ca="1">IF($C17="","",'Outturn ex VAT'!BC17*INDEX('Global Constants'!AV$45:AV$49,$H17))</f>
        <v>0</v>
      </c>
      <c r="BD17" s="26">
        <f ca="1">IF($C17="","",'Outturn ex VAT'!BD17*INDEX('Global Constants'!AW$45:AW$49,$H17))</f>
        <v>0</v>
      </c>
      <c r="BE17" s="26">
        <f ca="1">IF($C17="","",'Outturn ex VAT'!BE17*INDEX('Global Constants'!AX$45:AX$49,$H17))</f>
        <v>0</v>
      </c>
      <c r="BF17" s="26">
        <f ca="1">IF($C17="","",'Outturn ex VAT'!BF17*INDEX('Global Constants'!AY$45:AY$49,$H17))</f>
        <v>0</v>
      </c>
      <c r="BG17" s="26">
        <f ca="1">IF($C17="","",'Outturn ex VAT'!BG17*INDEX('Global Constants'!AZ$45:AZ$49,$H17))</f>
        <v>0</v>
      </c>
      <c r="BH17" s="26">
        <f ca="1">IF($C17="","",'Outturn ex VAT'!BH17*INDEX('Global Constants'!BA$45:BA$49,$H17))</f>
        <v>0</v>
      </c>
      <c r="BI17" s="26">
        <f ca="1">IF($C17="","",'Outturn ex VAT'!BI17*INDEX('Global Constants'!BB$45:BB$49,$H17))</f>
        <v>0</v>
      </c>
      <c r="BJ17" s="26">
        <f ca="1">IF($C17="","",'Outturn ex VAT'!BJ17*INDEX('Global Constants'!BC$45:BC$49,$H17))</f>
        <v>0</v>
      </c>
      <c r="BK17" s="26">
        <f ca="1">IF($C17="","",'Outturn ex VAT'!BK17*INDEX('Global Constants'!BD$45:BD$49,$H17))</f>
        <v>0</v>
      </c>
      <c r="BL17" s="26">
        <f ca="1">IF($C17="","",'Outturn ex VAT'!BL17*INDEX('Global Constants'!BE$45:BE$49,$H17))</f>
        <v>0</v>
      </c>
      <c r="BM17" s="26">
        <f ca="1">IF($C17="","",'Outturn ex VAT'!BM17*INDEX('Global Constants'!BF$45:BF$49,$H17))</f>
        <v>0</v>
      </c>
      <c r="BN17" s="26">
        <f ca="1">IF($C17="","",'Outturn ex VAT'!BN17*INDEX('Global Constants'!BG$45:BG$49,$H17))</f>
        <v>0</v>
      </c>
      <c r="BO17" s="26">
        <f ca="1">IF($C17="","",'Outturn ex VAT'!BO17*INDEX('Global Constants'!BH$45:BH$49,$H17))</f>
        <v>0</v>
      </c>
      <c r="BP17" s="26">
        <f ca="1">IF($C17="","",'Outturn ex VAT'!BP17*INDEX('Global Constants'!BI$45:BI$49,$H17))</f>
        <v>0</v>
      </c>
      <c r="BQ17" s="26">
        <f ca="1">IF($C17="","",'Outturn ex VAT'!BQ17*INDEX('Global Constants'!BJ$45:BJ$49,$H17))</f>
        <v>0</v>
      </c>
      <c r="BR17" s="26">
        <f ca="1">IF($C17="","",'Outturn ex VAT'!BR17*INDEX('Global Constants'!BK$45:BK$49,$H17))</f>
        <v>0</v>
      </c>
      <c r="BS17" s="26">
        <f ca="1">IF($C17="","",'Outturn ex VAT'!BS17*INDEX('Global Constants'!BL$45:BL$49,$H17))</f>
        <v>0</v>
      </c>
      <c r="BT17" s="26">
        <f ca="1">IF($C17="","",'Outturn ex VAT'!BT17*INDEX('Global Constants'!BM$45:BM$49,$H17))</f>
        <v>0</v>
      </c>
      <c r="BU17" s="26">
        <f ca="1">IF($C17="","",'Outturn ex VAT'!BU17*INDEX('Global Constants'!BN$45:BN$49,$H17))</f>
        <v>0</v>
      </c>
      <c r="BV17" s="26">
        <f ca="1">IF($C17="","",'Outturn ex VAT'!BV17*INDEX('Global Constants'!BO$45:BO$49,$H17))</f>
        <v>0</v>
      </c>
      <c r="BW17" s="26">
        <f ca="1">IF($C17="","",'Outturn ex VAT'!BW17*INDEX('Global Constants'!BP$45:BP$49,$H17))</f>
        <v>0</v>
      </c>
      <c r="BX17" s="26">
        <f ca="1">IF($C17="","",'Outturn ex VAT'!BX17*INDEX('Global Constants'!BQ$45:BQ$49,$H17))</f>
        <v>0</v>
      </c>
      <c r="BY17" s="26">
        <f ca="1">IF($C17="","",'Outturn ex VAT'!BY17*INDEX('Global Constants'!BR$45:BR$49,$H17))</f>
        <v>0</v>
      </c>
      <c r="BZ17" s="26">
        <f ca="1">IF($C17="","",'Outturn ex VAT'!BZ17*INDEX('Global Constants'!BS$45:BS$49,$H17))</f>
        <v>0</v>
      </c>
      <c r="CA17" s="26">
        <f ca="1">IF($C17="","",'Outturn ex VAT'!CA17*INDEX('Global Constants'!BT$45:BT$49,$H17))</f>
        <v>0</v>
      </c>
      <c r="CB17" s="26">
        <f ca="1">IF($C17="","",'Outturn ex VAT'!CB17*INDEX('Global Constants'!BU$45:BU$49,$H17))</f>
        <v>0</v>
      </c>
      <c r="CC17" s="26">
        <f ca="1">IF($C17="","",'Outturn ex VAT'!CC17*INDEX('Global Constants'!BV$45:BV$49,$H17))</f>
        <v>0</v>
      </c>
      <c r="CD17" s="26">
        <f ca="1">IF($C17="","",'Outturn ex VAT'!CD17*INDEX('Global Constants'!BW$45:BW$49,$H17))</f>
        <v>0</v>
      </c>
      <c r="CE17" s="26">
        <f ca="1">IF($C17="","",'Outturn ex VAT'!CE17*INDEX('Global Constants'!BX$45:BX$49,$H17))</f>
        <v>0</v>
      </c>
      <c r="CF17" s="26">
        <f ca="1">IF($C17="","",'Outturn ex VAT'!CF17*INDEX('Global Constants'!BY$45:BY$49,$H17))</f>
        <v>0</v>
      </c>
      <c r="CG17" s="26">
        <f ca="1">IF($C17="","",'Outturn ex VAT'!CG17*INDEX('Global Constants'!BZ$45:BZ$49,$H17))</f>
        <v>0</v>
      </c>
      <c r="CH17" s="26">
        <f ca="1">IF($C17="","",'Outturn ex VAT'!CH17*INDEX('Global Constants'!CA$45:CA$49,$H17))</f>
        <v>0</v>
      </c>
      <c r="CI17" s="26">
        <f ca="1">IF($C17="","",'Outturn ex VAT'!CI17*INDEX('Global Constants'!CB$45:CB$49,$H17))</f>
        <v>0</v>
      </c>
      <c r="CJ17" s="26">
        <f ca="1">IF($C17="","",'Outturn ex VAT'!CJ17*INDEX('Global Constants'!CC$45:CC$49,$H17))</f>
        <v>0</v>
      </c>
      <c r="CK17" s="26">
        <f ca="1">IF($C17="","",'Outturn ex VAT'!CK17*INDEX('Global Constants'!CD$45:CD$49,$H17))</f>
        <v>0</v>
      </c>
      <c r="CL17" s="26">
        <f ca="1">IF($C17="","",'Outturn ex VAT'!CL17*INDEX('Global Constants'!CE$45:CE$49,$H17))</f>
        <v>0</v>
      </c>
      <c r="CM17" s="26">
        <f ca="1">IF($C17="","",'Outturn ex VAT'!CM17*INDEX('Global Constants'!CF$45:CF$49,$H17))</f>
        <v>0</v>
      </c>
      <c r="CN17" s="26">
        <f ca="1">IF($C17="","",'Outturn ex VAT'!CN17*INDEX('Global Constants'!CG$45:CG$49,$H17))</f>
        <v>0</v>
      </c>
      <c r="CO17" s="26">
        <f ca="1">IF($C17="","",'Outturn ex VAT'!CO17*INDEX('Global Constants'!CH$45:CH$49,$H17))</f>
        <v>0</v>
      </c>
      <c r="CP17" s="26">
        <f ca="1">IF($C17="","",'Outturn ex VAT'!CP17*INDEX('Global Constants'!CI$45:CI$49,$H17))</f>
        <v>0</v>
      </c>
      <c r="CQ17" s="26">
        <f ca="1">IF($C17="","",'Outturn ex VAT'!CQ17*INDEX('Global Constants'!CJ$45:CJ$49,$H17))</f>
        <v>0</v>
      </c>
      <c r="CR17" s="26">
        <f ca="1">IF($C17="","",'Outturn ex VAT'!CR17*INDEX('Global Constants'!CK$45:CK$49,$H17))</f>
        <v>0</v>
      </c>
      <c r="CS17" s="26">
        <f ca="1">IF($C17="","",'Outturn ex VAT'!CS17*INDEX('Global Constants'!CL$45:CL$49,$H17))</f>
        <v>0</v>
      </c>
      <c r="CT17" s="26">
        <f ca="1">IF($C17="","",'Outturn ex VAT'!CT17*INDEX('Global Constants'!CM$45:CM$49,$H17))</f>
        <v>0</v>
      </c>
      <c r="CU17" s="26">
        <f ca="1">IF($C17="","",'Outturn ex VAT'!CU17*INDEX('Global Constants'!CN$45:CN$49,$H17))</f>
        <v>0</v>
      </c>
      <c r="CV17" s="26">
        <f ca="1">IF($C17="","",'Outturn ex VAT'!CV17*INDEX('Global Constants'!CO$45:CO$49,$H17))</f>
        <v>0</v>
      </c>
      <c r="CW17" s="26">
        <f ca="1">IF($C17="","",'Outturn ex VAT'!CW17*INDEX('Global Constants'!CP$45:CP$49,$H17))</f>
        <v>0</v>
      </c>
      <c r="CX17" s="26">
        <f ca="1">IF($C17="","",'Outturn ex VAT'!CX17*INDEX('Global Constants'!CQ$45:CQ$49,$H17))</f>
        <v>0</v>
      </c>
      <c r="CZ17" s="26">
        <f t="shared" ca="1" si="1"/>
        <v>0</v>
      </c>
      <c r="DA17" s="26">
        <f t="shared" ca="1" si="2"/>
        <v>72916.377022517598</v>
      </c>
    </row>
    <row r="18" spans="3:105" x14ac:dyDescent="0.3">
      <c r="C18" s="4" t="str">
        <f>IF('Cost &amp; Risk Inputs'!C19="","",'Cost &amp; Risk Inputs'!C19)</f>
        <v/>
      </c>
      <c r="D18" s="4" t="str">
        <f>IF(C18="","",'Cost &amp; Risk Inputs'!H19)</f>
        <v/>
      </c>
      <c r="E18" s="4" t="str">
        <f>IF(C18="","",'Cost &amp; Risk Inputs'!I19)</f>
        <v/>
      </c>
      <c r="F18" s="4" t="str">
        <f>IF(C18="","",'Cost &amp; Risk Inputs'!E19)</f>
        <v/>
      </c>
      <c r="H18" s="18" t="str">
        <f t="shared" si="0"/>
        <v/>
      </c>
      <c r="M18" s="26" t="str">
        <f>IF($C18="","",'Outturn ex VAT'!M18*INDEX('Global Constants'!F$45:F$49,$H18))</f>
        <v/>
      </c>
      <c r="N18" s="26" t="str">
        <f>IF($C18="","",'Outturn ex VAT'!N18*INDEX('Global Constants'!G$45:G$49,$H18))</f>
        <v/>
      </c>
      <c r="O18" s="26" t="str">
        <f>IF($C18="","",'Outturn ex VAT'!O18*INDEX('Global Constants'!H$45:H$49,$H18))</f>
        <v/>
      </c>
      <c r="P18" s="26" t="str">
        <f>IF($C18="","",'Outturn ex VAT'!P18*INDEX('Global Constants'!I$45:I$49,$H18))</f>
        <v/>
      </c>
      <c r="Q18" s="26" t="str">
        <f>IF($C18="","",'Outturn ex VAT'!Q18*INDEX('Global Constants'!J$45:J$49,$H18))</f>
        <v/>
      </c>
      <c r="R18" s="26" t="str">
        <f>IF($C18="","",'Outturn ex VAT'!R18*INDEX('Global Constants'!K$45:K$49,$H18))</f>
        <v/>
      </c>
      <c r="S18" s="26" t="str">
        <f>IF($C18="","",'Outturn ex VAT'!S18*INDEX('Global Constants'!L$45:L$49,$H18))</f>
        <v/>
      </c>
      <c r="T18" s="26" t="str">
        <f>IF($C18="","",'Outturn ex VAT'!T18*INDEX('Global Constants'!M$45:M$49,$H18))</f>
        <v/>
      </c>
      <c r="U18" s="26" t="str">
        <f>IF($C18="","",'Outturn ex VAT'!U18*INDEX('Global Constants'!N$45:N$49,$H18))</f>
        <v/>
      </c>
      <c r="V18" s="26" t="str">
        <f>IF($C18="","",'Outturn ex VAT'!V18*INDEX('Global Constants'!O$45:O$49,$H18))</f>
        <v/>
      </c>
      <c r="W18" s="26" t="str">
        <f>IF($C18="","",'Outturn ex VAT'!W18*INDEX('Global Constants'!P$45:P$49,$H18))</f>
        <v/>
      </c>
      <c r="X18" s="26" t="str">
        <f>IF($C18="","",'Outturn ex VAT'!X18*INDEX('Global Constants'!Q$45:Q$49,$H18))</f>
        <v/>
      </c>
      <c r="Y18" s="26" t="str">
        <f>IF($C18="","",'Outturn ex VAT'!Y18*INDEX('Global Constants'!R$45:R$49,$H18))</f>
        <v/>
      </c>
      <c r="Z18" s="26" t="str">
        <f>IF($C18="","",'Outturn ex VAT'!Z18*INDEX('Global Constants'!S$45:S$49,$H18))</f>
        <v/>
      </c>
      <c r="AA18" s="26" t="str">
        <f>IF($C18="","",'Outturn ex VAT'!AA18*INDEX('Global Constants'!T$45:T$49,$H18))</f>
        <v/>
      </c>
      <c r="AB18" s="26" t="str">
        <f>IF($C18="","",'Outturn ex VAT'!AB18*INDEX('Global Constants'!U$45:U$49,$H18))</f>
        <v/>
      </c>
      <c r="AC18" s="26" t="str">
        <f>IF($C18="","",'Outturn ex VAT'!AC18*INDEX('Global Constants'!V$45:V$49,$H18))</f>
        <v/>
      </c>
      <c r="AD18" s="26" t="str">
        <f>IF($C18="","",'Outturn ex VAT'!AD18*INDEX('Global Constants'!W$45:W$49,$H18))</f>
        <v/>
      </c>
      <c r="AE18" s="26" t="str">
        <f>IF($C18="","",'Outturn ex VAT'!AE18*INDEX('Global Constants'!X$45:X$49,$H18))</f>
        <v/>
      </c>
      <c r="AF18" s="26" t="str">
        <f>IF($C18="","",'Outturn ex VAT'!AF18*INDEX('Global Constants'!Y$45:Y$49,$H18))</f>
        <v/>
      </c>
      <c r="AG18" s="26" t="str">
        <f>IF($C18="","",'Outturn ex VAT'!AG18*INDEX('Global Constants'!Z$45:Z$49,$H18))</f>
        <v/>
      </c>
      <c r="AH18" s="26" t="str">
        <f>IF($C18="","",'Outturn ex VAT'!AH18*INDEX('Global Constants'!AA$45:AA$49,$H18))</f>
        <v/>
      </c>
      <c r="AI18" s="26" t="str">
        <f>IF($C18="","",'Outturn ex VAT'!AI18*INDEX('Global Constants'!AB$45:AB$49,$H18))</f>
        <v/>
      </c>
      <c r="AJ18" s="26" t="str">
        <f>IF($C18="","",'Outturn ex VAT'!AJ18*INDEX('Global Constants'!AC$45:AC$49,$H18))</f>
        <v/>
      </c>
      <c r="AK18" s="26" t="str">
        <f>IF($C18="","",'Outturn ex VAT'!AK18*INDEX('Global Constants'!AD$45:AD$49,$H18))</f>
        <v/>
      </c>
      <c r="AL18" s="26" t="str">
        <f>IF($C18="","",'Outturn ex VAT'!AL18*INDEX('Global Constants'!AE$45:AE$49,$H18))</f>
        <v/>
      </c>
      <c r="AM18" s="26" t="str">
        <f>IF($C18="","",'Outturn ex VAT'!AM18*INDEX('Global Constants'!AF$45:AF$49,$H18))</f>
        <v/>
      </c>
      <c r="AN18" s="26" t="str">
        <f>IF($C18="","",'Outturn ex VAT'!AN18*INDEX('Global Constants'!AG$45:AG$49,$H18))</f>
        <v/>
      </c>
      <c r="AO18" s="26" t="str">
        <f>IF($C18="","",'Outturn ex VAT'!AO18*INDEX('Global Constants'!AH$45:AH$49,$H18))</f>
        <v/>
      </c>
      <c r="AP18" s="26" t="str">
        <f>IF($C18="","",'Outturn ex VAT'!AP18*INDEX('Global Constants'!AI$45:AI$49,$H18))</f>
        <v/>
      </c>
      <c r="AQ18" s="26" t="str">
        <f>IF($C18="","",'Outturn ex VAT'!AQ18*INDEX('Global Constants'!AJ$45:AJ$49,$H18))</f>
        <v/>
      </c>
      <c r="AR18" s="26" t="str">
        <f>IF($C18="","",'Outturn ex VAT'!AR18*INDEX('Global Constants'!AK$45:AK$49,$H18))</f>
        <v/>
      </c>
      <c r="AS18" s="26" t="str">
        <f>IF($C18="","",'Outturn ex VAT'!AS18*INDEX('Global Constants'!AL$45:AL$49,$H18))</f>
        <v/>
      </c>
      <c r="AT18" s="26" t="str">
        <f>IF($C18="","",'Outturn ex VAT'!AT18*INDEX('Global Constants'!AM$45:AM$49,$H18))</f>
        <v/>
      </c>
      <c r="AU18" s="26" t="str">
        <f>IF($C18="","",'Outturn ex VAT'!AU18*INDEX('Global Constants'!AN$45:AN$49,$H18))</f>
        <v/>
      </c>
      <c r="AV18" s="26" t="str">
        <f>IF($C18="","",'Outturn ex VAT'!AV18*INDEX('Global Constants'!AO$45:AO$49,$H18))</f>
        <v/>
      </c>
      <c r="AW18" s="26" t="str">
        <f>IF($C18="","",'Outturn ex VAT'!AW18*INDEX('Global Constants'!AP$45:AP$49,$H18))</f>
        <v/>
      </c>
      <c r="AX18" s="26" t="str">
        <f>IF($C18="","",'Outturn ex VAT'!AX18*INDEX('Global Constants'!AQ$45:AQ$49,$H18))</f>
        <v/>
      </c>
      <c r="AY18" s="26" t="str">
        <f>IF($C18="","",'Outturn ex VAT'!AY18*INDEX('Global Constants'!AR$45:AR$49,$H18))</f>
        <v/>
      </c>
      <c r="AZ18" s="26" t="str">
        <f>IF($C18="","",'Outturn ex VAT'!AZ18*INDEX('Global Constants'!AS$45:AS$49,$H18))</f>
        <v/>
      </c>
      <c r="BA18" s="26" t="str">
        <f>IF($C18="","",'Outturn ex VAT'!BA18*INDEX('Global Constants'!AT$45:AT$49,$H18))</f>
        <v/>
      </c>
      <c r="BB18" s="26" t="str">
        <f>IF($C18="","",'Outturn ex VAT'!BB18*INDEX('Global Constants'!AU$45:AU$49,$H18))</f>
        <v/>
      </c>
      <c r="BC18" s="26" t="str">
        <f>IF($C18="","",'Outturn ex VAT'!BC18*INDEX('Global Constants'!AV$45:AV$49,$H18))</f>
        <v/>
      </c>
      <c r="BD18" s="26" t="str">
        <f>IF($C18="","",'Outturn ex VAT'!BD18*INDEX('Global Constants'!AW$45:AW$49,$H18))</f>
        <v/>
      </c>
      <c r="BE18" s="26" t="str">
        <f>IF($C18="","",'Outturn ex VAT'!BE18*INDEX('Global Constants'!AX$45:AX$49,$H18))</f>
        <v/>
      </c>
      <c r="BF18" s="26" t="str">
        <f>IF($C18="","",'Outturn ex VAT'!BF18*INDEX('Global Constants'!AY$45:AY$49,$H18))</f>
        <v/>
      </c>
      <c r="BG18" s="26" t="str">
        <f>IF($C18="","",'Outturn ex VAT'!BG18*INDEX('Global Constants'!AZ$45:AZ$49,$H18))</f>
        <v/>
      </c>
      <c r="BH18" s="26" t="str">
        <f>IF($C18="","",'Outturn ex VAT'!BH18*INDEX('Global Constants'!BA$45:BA$49,$H18))</f>
        <v/>
      </c>
      <c r="BI18" s="26" t="str">
        <f>IF($C18="","",'Outturn ex VAT'!BI18*INDEX('Global Constants'!BB$45:BB$49,$H18))</f>
        <v/>
      </c>
      <c r="BJ18" s="26" t="str">
        <f>IF($C18="","",'Outturn ex VAT'!BJ18*INDEX('Global Constants'!BC$45:BC$49,$H18))</f>
        <v/>
      </c>
      <c r="BK18" s="26" t="str">
        <f>IF($C18="","",'Outturn ex VAT'!BK18*INDEX('Global Constants'!BD$45:BD$49,$H18))</f>
        <v/>
      </c>
      <c r="BL18" s="26" t="str">
        <f>IF($C18="","",'Outturn ex VAT'!BL18*INDEX('Global Constants'!BE$45:BE$49,$H18))</f>
        <v/>
      </c>
      <c r="BM18" s="26" t="str">
        <f>IF($C18="","",'Outturn ex VAT'!BM18*INDEX('Global Constants'!BF$45:BF$49,$H18))</f>
        <v/>
      </c>
      <c r="BN18" s="26" t="str">
        <f>IF($C18="","",'Outturn ex VAT'!BN18*INDEX('Global Constants'!BG$45:BG$49,$H18))</f>
        <v/>
      </c>
      <c r="BO18" s="26" t="str">
        <f>IF($C18="","",'Outturn ex VAT'!BO18*INDEX('Global Constants'!BH$45:BH$49,$H18))</f>
        <v/>
      </c>
      <c r="BP18" s="26" t="str">
        <f>IF($C18="","",'Outturn ex VAT'!BP18*INDEX('Global Constants'!BI$45:BI$49,$H18))</f>
        <v/>
      </c>
      <c r="BQ18" s="26" t="str">
        <f>IF($C18="","",'Outturn ex VAT'!BQ18*INDEX('Global Constants'!BJ$45:BJ$49,$H18))</f>
        <v/>
      </c>
      <c r="BR18" s="26" t="str">
        <f>IF($C18="","",'Outturn ex VAT'!BR18*INDEX('Global Constants'!BK$45:BK$49,$H18))</f>
        <v/>
      </c>
      <c r="BS18" s="26" t="str">
        <f>IF($C18="","",'Outturn ex VAT'!BS18*INDEX('Global Constants'!BL$45:BL$49,$H18))</f>
        <v/>
      </c>
      <c r="BT18" s="26" t="str">
        <f>IF($C18="","",'Outturn ex VAT'!BT18*INDEX('Global Constants'!BM$45:BM$49,$H18))</f>
        <v/>
      </c>
      <c r="BU18" s="26" t="str">
        <f>IF($C18="","",'Outturn ex VAT'!BU18*INDEX('Global Constants'!BN$45:BN$49,$H18))</f>
        <v/>
      </c>
      <c r="BV18" s="26" t="str">
        <f>IF($C18="","",'Outturn ex VAT'!BV18*INDEX('Global Constants'!BO$45:BO$49,$H18))</f>
        <v/>
      </c>
      <c r="BW18" s="26" t="str">
        <f>IF($C18="","",'Outturn ex VAT'!BW18*INDEX('Global Constants'!BP$45:BP$49,$H18))</f>
        <v/>
      </c>
      <c r="BX18" s="26" t="str">
        <f>IF($C18="","",'Outturn ex VAT'!BX18*INDEX('Global Constants'!BQ$45:BQ$49,$H18))</f>
        <v/>
      </c>
      <c r="BY18" s="26" t="str">
        <f>IF($C18="","",'Outturn ex VAT'!BY18*INDEX('Global Constants'!BR$45:BR$49,$H18))</f>
        <v/>
      </c>
      <c r="BZ18" s="26" t="str">
        <f>IF($C18="","",'Outturn ex VAT'!BZ18*INDEX('Global Constants'!BS$45:BS$49,$H18))</f>
        <v/>
      </c>
      <c r="CA18" s="26" t="str">
        <f>IF($C18="","",'Outturn ex VAT'!CA18*INDEX('Global Constants'!BT$45:BT$49,$H18))</f>
        <v/>
      </c>
      <c r="CB18" s="26" t="str">
        <f>IF($C18="","",'Outturn ex VAT'!CB18*INDEX('Global Constants'!BU$45:BU$49,$H18))</f>
        <v/>
      </c>
      <c r="CC18" s="26" t="str">
        <f>IF($C18="","",'Outturn ex VAT'!CC18*INDEX('Global Constants'!BV$45:BV$49,$H18))</f>
        <v/>
      </c>
      <c r="CD18" s="26" t="str">
        <f>IF($C18="","",'Outturn ex VAT'!CD18*INDEX('Global Constants'!BW$45:BW$49,$H18))</f>
        <v/>
      </c>
      <c r="CE18" s="26" t="str">
        <f>IF($C18="","",'Outturn ex VAT'!CE18*INDEX('Global Constants'!BX$45:BX$49,$H18))</f>
        <v/>
      </c>
      <c r="CF18" s="26" t="str">
        <f>IF($C18="","",'Outturn ex VAT'!CF18*INDEX('Global Constants'!BY$45:BY$49,$H18))</f>
        <v/>
      </c>
      <c r="CG18" s="26" t="str">
        <f>IF($C18="","",'Outturn ex VAT'!CG18*INDEX('Global Constants'!BZ$45:BZ$49,$H18))</f>
        <v/>
      </c>
      <c r="CH18" s="26" t="str">
        <f>IF($C18="","",'Outturn ex VAT'!CH18*INDEX('Global Constants'!CA$45:CA$49,$H18))</f>
        <v/>
      </c>
      <c r="CI18" s="26" t="str">
        <f>IF($C18="","",'Outturn ex VAT'!CI18*INDEX('Global Constants'!CB$45:CB$49,$H18))</f>
        <v/>
      </c>
      <c r="CJ18" s="26" t="str">
        <f>IF($C18="","",'Outturn ex VAT'!CJ18*INDEX('Global Constants'!CC$45:CC$49,$H18))</f>
        <v/>
      </c>
      <c r="CK18" s="26" t="str">
        <f>IF($C18="","",'Outturn ex VAT'!CK18*INDEX('Global Constants'!CD$45:CD$49,$H18))</f>
        <v/>
      </c>
      <c r="CL18" s="26" t="str">
        <f>IF($C18="","",'Outturn ex VAT'!CL18*INDEX('Global Constants'!CE$45:CE$49,$H18))</f>
        <v/>
      </c>
      <c r="CM18" s="26" t="str">
        <f>IF($C18="","",'Outturn ex VAT'!CM18*INDEX('Global Constants'!CF$45:CF$49,$H18))</f>
        <v/>
      </c>
      <c r="CN18" s="26" t="str">
        <f>IF($C18="","",'Outturn ex VAT'!CN18*INDEX('Global Constants'!CG$45:CG$49,$H18))</f>
        <v/>
      </c>
      <c r="CO18" s="26" t="str">
        <f>IF($C18="","",'Outturn ex VAT'!CO18*INDEX('Global Constants'!CH$45:CH$49,$H18))</f>
        <v/>
      </c>
      <c r="CP18" s="26" t="str">
        <f>IF($C18="","",'Outturn ex VAT'!CP18*INDEX('Global Constants'!CI$45:CI$49,$H18))</f>
        <v/>
      </c>
      <c r="CQ18" s="26" t="str">
        <f>IF($C18="","",'Outturn ex VAT'!CQ18*INDEX('Global Constants'!CJ$45:CJ$49,$H18))</f>
        <v/>
      </c>
      <c r="CR18" s="26" t="str">
        <f>IF($C18="","",'Outturn ex VAT'!CR18*INDEX('Global Constants'!CK$45:CK$49,$H18))</f>
        <v/>
      </c>
      <c r="CS18" s="26" t="str">
        <f>IF($C18="","",'Outturn ex VAT'!CS18*INDEX('Global Constants'!CL$45:CL$49,$H18))</f>
        <v/>
      </c>
      <c r="CT18" s="26" t="str">
        <f>IF($C18="","",'Outturn ex VAT'!CT18*INDEX('Global Constants'!CM$45:CM$49,$H18))</f>
        <v/>
      </c>
      <c r="CU18" s="26" t="str">
        <f>IF($C18="","",'Outturn ex VAT'!CU18*INDEX('Global Constants'!CN$45:CN$49,$H18))</f>
        <v/>
      </c>
      <c r="CV18" s="26" t="str">
        <f>IF($C18="","",'Outturn ex VAT'!CV18*INDEX('Global Constants'!CO$45:CO$49,$H18))</f>
        <v/>
      </c>
      <c r="CW18" s="26" t="str">
        <f>IF($C18="","",'Outturn ex VAT'!CW18*INDEX('Global Constants'!CP$45:CP$49,$H18))</f>
        <v/>
      </c>
      <c r="CX18" s="26" t="str">
        <f>IF($C18="","",'Outturn ex VAT'!CX18*INDEX('Global Constants'!CQ$45:CQ$49,$H18))</f>
        <v/>
      </c>
      <c r="CZ18" s="26">
        <f t="shared" ca="1" si="1"/>
        <v>0</v>
      </c>
      <c r="DA18" s="26">
        <f t="shared" si="2"/>
        <v>0</v>
      </c>
    </row>
    <row r="19" spans="3:105" x14ac:dyDescent="0.3">
      <c r="C19" s="4" t="str">
        <f>IF('Cost &amp; Risk Inputs'!C20="","",'Cost &amp; Risk Inputs'!C20)</f>
        <v/>
      </c>
      <c r="D19" s="4" t="str">
        <f>IF(C19="","",'Cost &amp; Risk Inputs'!H20)</f>
        <v/>
      </c>
      <c r="E19" s="4" t="str">
        <f>IF(C19="","",'Cost &amp; Risk Inputs'!I20)</f>
        <v/>
      </c>
      <c r="F19" s="4" t="str">
        <f>IF(C19="","",'Cost &amp; Risk Inputs'!E20)</f>
        <v/>
      </c>
      <c r="H19" s="18" t="str">
        <f t="shared" si="0"/>
        <v/>
      </c>
      <c r="M19" s="26" t="str">
        <f>IF($C19="","",'Outturn ex VAT'!M19*INDEX('Global Constants'!F$45:F$49,$H19))</f>
        <v/>
      </c>
      <c r="N19" s="26" t="str">
        <f>IF($C19="","",'Outturn ex VAT'!N19*INDEX('Global Constants'!G$45:G$49,$H19))</f>
        <v/>
      </c>
      <c r="O19" s="26" t="str">
        <f>IF($C19="","",'Outturn ex VAT'!O19*INDEX('Global Constants'!H$45:H$49,$H19))</f>
        <v/>
      </c>
      <c r="P19" s="26" t="str">
        <f>IF($C19="","",'Outturn ex VAT'!P19*INDEX('Global Constants'!I$45:I$49,$H19))</f>
        <v/>
      </c>
      <c r="Q19" s="26" t="str">
        <f>IF($C19="","",'Outturn ex VAT'!Q19*INDEX('Global Constants'!J$45:J$49,$H19))</f>
        <v/>
      </c>
      <c r="R19" s="26" t="str">
        <f>IF($C19="","",'Outturn ex VAT'!R19*INDEX('Global Constants'!K$45:K$49,$H19))</f>
        <v/>
      </c>
      <c r="S19" s="26" t="str">
        <f>IF($C19="","",'Outturn ex VAT'!S19*INDEX('Global Constants'!L$45:L$49,$H19))</f>
        <v/>
      </c>
      <c r="T19" s="26" t="str">
        <f>IF($C19="","",'Outturn ex VAT'!T19*INDEX('Global Constants'!M$45:M$49,$H19))</f>
        <v/>
      </c>
      <c r="U19" s="26" t="str">
        <f>IF($C19="","",'Outturn ex VAT'!U19*INDEX('Global Constants'!N$45:N$49,$H19))</f>
        <v/>
      </c>
      <c r="V19" s="26" t="str">
        <f>IF($C19="","",'Outturn ex VAT'!V19*INDEX('Global Constants'!O$45:O$49,$H19))</f>
        <v/>
      </c>
      <c r="W19" s="26" t="str">
        <f>IF($C19="","",'Outturn ex VAT'!W19*INDEX('Global Constants'!P$45:P$49,$H19))</f>
        <v/>
      </c>
      <c r="X19" s="26" t="str">
        <f>IF($C19="","",'Outturn ex VAT'!X19*INDEX('Global Constants'!Q$45:Q$49,$H19))</f>
        <v/>
      </c>
      <c r="Y19" s="26" t="str">
        <f>IF($C19="","",'Outturn ex VAT'!Y19*INDEX('Global Constants'!R$45:R$49,$H19))</f>
        <v/>
      </c>
      <c r="Z19" s="26" t="str">
        <f>IF($C19="","",'Outturn ex VAT'!Z19*INDEX('Global Constants'!S$45:S$49,$H19))</f>
        <v/>
      </c>
      <c r="AA19" s="26" t="str">
        <f>IF($C19="","",'Outturn ex VAT'!AA19*INDEX('Global Constants'!T$45:T$49,$H19))</f>
        <v/>
      </c>
      <c r="AB19" s="26" t="str">
        <f>IF($C19="","",'Outturn ex VAT'!AB19*INDEX('Global Constants'!U$45:U$49,$H19))</f>
        <v/>
      </c>
      <c r="AC19" s="26" t="str">
        <f>IF($C19="","",'Outturn ex VAT'!AC19*INDEX('Global Constants'!V$45:V$49,$H19))</f>
        <v/>
      </c>
      <c r="AD19" s="26" t="str">
        <f>IF($C19="","",'Outturn ex VAT'!AD19*INDEX('Global Constants'!W$45:W$49,$H19))</f>
        <v/>
      </c>
      <c r="AE19" s="26" t="str">
        <f>IF($C19="","",'Outturn ex VAT'!AE19*INDEX('Global Constants'!X$45:X$49,$H19))</f>
        <v/>
      </c>
      <c r="AF19" s="26" t="str">
        <f>IF($C19="","",'Outturn ex VAT'!AF19*INDEX('Global Constants'!Y$45:Y$49,$H19))</f>
        <v/>
      </c>
      <c r="AG19" s="26" t="str">
        <f>IF($C19="","",'Outturn ex VAT'!AG19*INDEX('Global Constants'!Z$45:Z$49,$H19))</f>
        <v/>
      </c>
      <c r="AH19" s="26" t="str">
        <f>IF($C19="","",'Outturn ex VAT'!AH19*INDEX('Global Constants'!AA$45:AA$49,$H19))</f>
        <v/>
      </c>
      <c r="AI19" s="26" t="str">
        <f>IF($C19="","",'Outturn ex VAT'!AI19*INDEX('Global Constants'!AB$45:AB$49,$H19))</f>
        <v/>
      </c>
      <c r="AJ19" s="26" t="str">
        <f>IF($C19="","",'Outturn ex VAT'!AJ19*INDEX('Global Constants'!AC$45:AC$49,$H19))</f>
        <v/>
      </c>
      <c r="AK19" s="26" t="str">
        <f>IF($C19="","",'Outturn ex VAT'!AK19*INDEX('Global Constants'!AD$45:AD$49,$H19))</f>
        <v/>
      </c>
      <c r="AL19" s="26" t="str">
        <f>IF($C19="","",'Outturn ex VAT'!AL19*INDEX('Global Constants'!AE$45:AE$49,$H19))</f>
        <v/>
      </c>
      <c r="AM19" s="26" t="str">
        <f>IF($C19="","",'Outturn ex VAT'!AM19*INDEX('Global Constants'!AF$45:AF$49,$H19))</f>
        <v/>
      </c>
      <c r="AN19" s="26" t="str">
        <f>IF($C19="","",'Outturn ex VAT'!AN19*INDEX('Global Constants'!AG$45:AG$49,$H19))</f>
        <v/>
      </c>
      <c r="AO19" s="26" t="str">
        <f>IF($C19="","",'Outturn ex VAT'!AO19*INDEX('Global Constants'!AH$45:AH$49,$H19))</f>
        <v/>
      </c>
      <c r="AP19" s="26" t="str">
        <f>IF($C19="","",'Outturn ex VAT'!AP19*INDEX('Global Constants'!AI$45:AI$49,$H19))</f>
        <v/>
      </c>
      <c r="AQ19" s="26" t="str">
        <f>IF($C19="","",'Outturn ex VAT'!AQ19*INDEX('Global Constants'!AJ$45:AJ$49,$H19))</f>
        <v/>
      </c>
      <c r="AR19" s="26" t="str">
        <f>IF($C19="","",'Outturn ex VAT'!AR19*INDEX('Global Constants'!AK$45:AK$49,$H19))</f>
        <v/>
      </c>
      <c r="AS19" s="26" t="str">
        <f>IF($C19="","",'Outturn ex VAT'!AS19*INDEX('Global Constants'!AL$45:AL$49,$H19))</f>
        <v/>
      </c>
      <c r="AT19" s="26" t="str">
        <f>IF($C19="","",'Outturn ex VAT'!AT19*INDEX('Global Constants'!AM$45:AM$49,$H19))</f>
        <v/>
      </c>
      <c r="AU19" s="26" t="str">
        <f>IF($C19="","",'Outturn ex VAT'!AU19*INDEX('Global Constants'!AN$45:AN$49,$H19))</f>
        <v/>
      </c>
      <c r="AV19" s="26" t="str">
        <f>IF($C19="","",'Outturn ex VAT'!AV19*INDEX('Global Constants'!AO$45:AO$49,$H19))</f>
        <v/>
      </c>
      <c r="AW19" s="26" t="str">
        <f>IF($C19="","",'Outturn ex VAT'!AW19*INDEX('Global Constants'!AP$45:AP$49,$H19))</f>
        <v/>
      </c>
      <c r="AX19" s="26" t="str">
        <f>IF($C19="","",'Outturn ex VAT'!AX19*INDEX('Global Constants'!AQ$45:AQ$49,$H19))</f>
        <v/>
      </c>
      <c r="AY19" s="26" t="str">
        <f>IF($C19="","",'Outturn ex VAT'!AY19*INDEX('Global Constants'!AR$45:AR$49,$H19))</f>
        <v/>
      </c>
      <c r="AZ19" s="26" t="str">
        <f>IF($C19="","",'Outturn ex VAT'!AZ19*INDEX('Global Constants'!AS$45:AS$49,$H19))</f>
        <v/>
      </c>
      <c r="BA19" s="26" t="str">
        <f>IF($C19="","",'Outturn ex VAT'!BA19*INDEX('Global Constants'!AT$45:AT$49,$H19))</f>
        <v/>
      </c>
      <c r="BB19" s="26" t="str">
        <f>IF($C19="","",'Outturn ex VAT'!BB19*INDEX('Global Constants'!AU$45:AU$49,$H19))</f>
        <v/>
      </c>
      <c r="BC19" s="26" t="str">
        <f>IF($C19="","",'Outturn ex VAT'!BC19*INDEX('Global Constants'!AV$45:AV$49,$H19))</f>
        <v/>
      </c>
      <c r="BD19" s="26" t="str">
        <f>IF($C19="","",'Outturn ex VAT'!BD19*INDEX('Global Constants'!AW$45:AW$49,$H19))</f>
        <v/>
      </c>
      <c r="BE19" s="26" t="str">
        <f>IF($C19="","",'Outturn ex VAT'!BE19*INDEX('Global Constants'!AX$45:AX$49,$H19))</f>
        <v/>
      </c>
      <c r="BF19" s="26" t="str">
        <f>IF($C19="","",'Outturn ex VAT'!BF19*INDEX('Global Constants'!AY$45:AY$49,$H19))</f>
        <v/>
      </c>
      <c r="BG19" s="26" t="str">
        <f>IF($C19="","",'Outturn ex VAT'!BG19*INDEX('Global Constants'!AZ$45:AZ$49,$H19))</f>
        <v/>
      </c>
      <c r="BH19" s="26" t="str">
        <f>IF($C19="","",'Outturn ex VAT'!BH19*INDEX('Global Constants'!BA$45:BA$49,$H19))</f>
        <v/>
      </c>
      <c r="BI19" s="26" t="str">
        <f>IF($C19="","",'Outturn ex VAT'!BI19*INDEX('Global Constants'!BB$45:BB$49,$H19))</f>
        <v/>
      </c>
      <c r="BJ19" s="26" t="str">
        <f>IF($C19="","",'Outturn ex VAT'!BJ19*INDEX('Global Constants'!BC$45:BC$49,$H19))</f>
        <v/>
      </c>
      <c r="BK19" s="26" t="str">
        <f>IF($C19="","",'Outturn ex VAT'!BK19*INDEX('Global Constants'!BD$45:BD$49,$H19))</f>
        <v/>
      </c>
      <c r="BL19" s="26" t="str">
        <f>IF($C19="","",'Outturn ex VAT'!BL19*INDEX('Global Constants'!BE$45:BE$49,$H19))</f>
        <v/>
      </c>
      <c r="BM19" s="26" t="str">
        <f>IF($C19="","",'Outturn ex VAT'!BM19*INDEX('Global Constants'!BF$45:BF$49,$H19))</f>
        <v/>
      </c>
      <c r="BN19" s="26" t="str">
        <f>IF($C19="","",'Outturn ex VAT'!BN19*INDEX('Global Constants'!BG$45:BG$49,$H19))</f>
        <v/>
      </c>
      <c r="BO19" s="26" t="str">
        <f>IF($C19="","",'Outturn ex VAT'!BO19*INDEX('Global Constants'!BH$45:BH$49,$H19))</f>
        <v/>
      </c>
      <c r="BP19" s="26" t="str">
        <f>IF($C19="","",'Outturn ex VAT'!BP19*INDEX('Global Constants'!BI$45:BI$49,$H19))</f>
        <v/>
      </c>
      <c r="BQ19" s="26" t="str">
        <f>IF($C19="","",'Outturn ex VAT'!BQ19*INDEX('Global Constants'!BJ$45:BJ$49,$H19))</f>
        <v/>
      </c>
      <c r="BR19" s="26" t="str">
        <f>IF($C19="","",'Outturn ex VAT'!BR19*INDEX('Global Constants'!BK$45:BK$49,$H19))</f>
        <v/>
      </c>
      <c r="BS19" s="26" t="str">
        <f>IF($C19="","",'Outturn ex VAT'!BS19*INDEX('Global Constants'!BL$45:BL$49,$H19))</f>
        <v/>
      </c>
      <c r="BT19" s="26" t="str">
        <f>IF($C19="","",'Outturn ex VAT'!BT19*INDEX('Global Constants'!BM$45:BM$49,$H19))</f>
        <v/>
      </c>
      <c r="BU19" s="26" t="str">
        <f>IF($C19="","",'Outturn ex VAT'!BU19*INDEX('Global Constants'!BN$45:BN$49,$H19))</f>
        <v/>
      </c>
      <c r="BV19" s="26" t="str">
        <f>IF($C19="","",'Outturn ex VAT'!BV19*INDEX('Global Constants'!BO$45:BO$49,$H19))</f>
        <v/>
      </c>
      <c r="BW19" s="26" t="str">
        <f>IF($C19="","",'Outturn ex VAT'!BW19*INDEX('Global Constants'!BP$45:BP$49,$H19))</f>
        <v/>
      </c>
      <c r="BX19" s="26" t="str">
        <f>IF($C19="","",'Outturn ex VAT'!BX19*INDEX('Global Constants'!BQ$45:BQ$49,$H19))</f>
        <v/>
      </c>
      <c r="BY19" s="26" t="str">
        <f>IF($C19="","",'Outturn ex VAT'!BY19*INDEX('Global Constants'!BR$45:BR$49,$H19))</f>
        <v/>
      </c>
      <c r="BZ19" s="26" t="str">
        <f>IF($C19="","",'Outturn ex VAT'!BZ19*INDEX('Global Constants'!BS$45:BS$49,$H19))</f>
        <v/>
      </c>
      <c r="CA19" s="26" t="str">
        <f>IF($C19="","",'Outturn ex VAT'!CA19*INDEX('Global Constants'!BT$45:BT$49,$H19))</f>
        <v/>
      </c>
      <c r="CB19" s="26" t="str">
        <f>IF($C19="","",'Outturn ex VAT'!CB19*INDEX('Global Constants'!BU$45:BU$49,$H19))</f>
        <v/>
      </c>
      <c r="CC19" s="26" t="str">
        <f>IF($C19="","",'Outturn ex VAT'!CC19*INDEX('Global Constants'!BV$45:BV$49,$H19))</f>
        <v/>
      </c>
      <c r="CD19" s="26" t="str">
        <f>IF($C19="","",'Outturn ex VAT'!CD19*INDEX('Global Constants'!BW$45:BW$49,$H19))</f>
        <v/>
      </c>
      <c r="CE19" s="26" t="str">
        <f>IF($C19="","",'Outturn ex VAT'!CE19*INDEX('Global Constants'!BX$45:BX$49,$H19))</f>
        <v/>
      </c>
      <c r="CF19" s="26" t="str">
        <f>IF($C19="","",'Outturn ex VAT'!CF19*INDEX('Global Constants'!BY$45:BY$49,$H19))</f>
        <v/>
      </c>
      <c r="CG19" s="26" t="str">
        <f>IF($C19="","",'Outturn ex VAT'!CG19*INDEX('Global Constants'!BZ$45:BZ$49,$H19))</f>
        <v/>
      </c>
      <c r="CH19" s="26" t="str">
        <f>IF($C19="","",'Outturn ex VAT'!CH19*INDEX('Global Constants'!CA$45:CA$49,$H19))</f>
        <v/>
      </c>
      <c r="CI19" s="26" t="str">
        <f>IF($C19="","",'Outturn ex VAT'!CI19*INDEX('Global Constants'!CB$45:CB$49,$H19))</f>
        <v/>
      </c>
      <c r="CJ19" s="26" t="str">
        <f>IF($C19="","",'Outturn ex VAT'!CJ19*INDEX('Global Constants'!CC$45:CC$49,$H19))</f>
        <v/>
      </c>
      <c r="CK19" s="26" t="str">
        <f>IF($C19="","",'Outturn ex VAT'!CK19*INDEX('Global Constants'!CD$45:CD$49,$H19))</f>
        <v/>
      </c>
      <c r="CL19" s="26" t="str">
        <f>IF($C19="","",'Outturn ex VAT'!CL19*INDEX('Global Constants'!CE$45:CE$49,$H19))</f>
        <v/>
      </c>
      <c r="CM19" s="26" t="str">
        <f>IF($C19="","",'Outturn ex VAT'!CM19*INDEX('Global Constants'!CF$45:CF$49,$H19))</f>
        <v/>
      </c>
      <c r="CN19" s="26" t="str">
        <f>IF($C19="","",'Outturn ex VAT'!CN19*INDEX('Global Constants'!CG$45:CG$49,$H19))</f>
        <v/>
      </c>
      <c r="CO19" s="26" t="str">
        <f>IF($C19="","",'Outturn ex VAT'!CO19*INDEX('Global Constants'!CH$45:CH$49,$H19))</f>
        <v/>
      </c>
      <c r="CP19" s="26" t="str">
        <f>IF($C19="","",'Outturn ex VAT'!CP19*INDEX('Global Constants'!CI$45:CI$49,$H19))</f>
        <v/>
      </c>
      <c r="CQ19" s="26" t="str">
        <f>IF($C19="","",'Outturn ex VAT'!CQ19*INDEX('Global Constants'!CJ$45:CJ$49,$H19))</f>
        <v/>
      </c>
      <c r="CR19" s="26" t="str">
        <f>IF($C19="","",'Outturn ex VAT'!CR19*INDEX('Global Constants'!CK$45:CK$49,$H19))</f>
        <v/>
      </c>
      <c r="CS19" s="26" t="str">
        <f>IF($C19="","",'Outturn ex VAT'!CS19*INDEX('Global Constants'!CL$45:CL$49,$H19))</f>
        <v/>
      </c>
      <c r="CT19" s="26" t="str">
        <f>IF($C19="","",'Outturn ex VAT'!CT19*INDEX('Global Constants'!CM$45:CM$49,$H19))</f>
        <v/>
      </c>
      <c r="CU19" s="26" t="str">
        <f>IF($C19="","",'Outturn ex VAT'!CU19*INDEX('Global Constants'!CN$45:CN$49,$H19))</f>
        <v/>
      </c>
      <c r="CV19" s="26" t="str">
        <f>IF($C19="","",'Outturn ex VAT'!CV19*INDEX('Global Constants'!CO$45:CO$49,$H19))</f>
        <v/>
      </c>
      <c r="CW19" s="26" t="str">
        <f>IF($C19="","",'Outturn ex VAT'!CW19*INDEX('Global Constants'!CP$45:CP$49,$H19))</f>
        <v/>
      </c>
      <c r="CX19" s="26" t="str">
        <f>IF($C19="","",'Outturn ex VAT'!CX19*INDEX('Global Constants'!CQ$45:CQ$49,$H19))</f>
        <v/>
      </c>
      <c r="CZ19" s="26">
        <f t="shared" ca="1" si="1"/>
        <v>0</v>
      </c>
      <c r="DA19" s="26">
        <f t="shared" si="2"/>
        <v>0</v>
      </c>
    </row>
    <row r="20" spans="3:105" x14ac:dyDescent="0.3">
      <c r="C20" s="4" t="str">
        <f>IF('Cost &amp; Risk Inputs'!C21="","",'Cost &amp; Risk Inputs'!C21)</f>
        <v/>
      </c>
      <c r="D20" s="4" t="str">
        <f>IF(C20="","",'Cost &amp; Risk Inputs'!H21)</f>
        <v/>
      </c>
      <c r="E20" s="4" t="str">
        <f>IF(C20="","",'Cost &amp; Risk Inputs'!I21)</f>
        <v/>
      </c>
      <c r="F20" s="4" t="str">
        <f>IF(C20="","",'Cost &amp; Risk Inputs'!E21)</f>
        <v/>
      </c>
      <c r="H20" s="18" t="str">
        <f t="shared" si="0"/>
        <v/>
      </c>
      <c r="M20" s="26" t="str">
        <f>IF($C20="","",'Outturn ex VAT'!M20*INDEX('Global Constants'!F$45:F$49,$H20))</f>
        <v/>
      </c>
      <c r="N20" s="26" t="str">
        <f>IF($C20="","",'Outturn ex VAT'!N20*INDEX('Global Constants'!G$45:G$49,$H20))</f>
        <v/>
      </c>
      <c r="O20" s="26" t="str">
        <f>IF($C20="","",'Outturn ex VAT'!O20*INDEX('Global Constants'!H$45:H$49,$H20))</f>
        <v/>
      </c>
      <c r="P20" s="26" t="str">
        <f>IF($C20="","",'Outturn ex VAT'!P20*INDEX('Global Constants'!I$45:I$49,$H20))</f>
        <v/>
      </c>
      <c r="Q20" s="26" t="str">
        <f>IF($C20="","",'Outturn ex VAT'!Q20*INDEX('Global Constants'!J$45:J$49,$H20))</f>
        <v/>
      </c>
      <c r="R20" s="26" t="str">
        <f>IF($C20="","",'Outturn ex VAT'!R20*INDEX('Global Constants'!K$45:K$49,$H20))</f>
        <v/>
      </c>
      <c r="S20" s="26" t="str">
        <f>IF($C20="","",'Outturn ex VAT'!S20*INDEX('Global Constants'!L$45:L$49,$H20))</f>
        <v/>
      </c>
      <c r="T20" s="26" t="str">
        <f>IF($C20="","",'Outturn ex VAT'!T20*INDEX('Global Constants'!M$45:M$49,$H20))</f>
        <v/>
      </c>
      <c r="U20" s="26" t="str">
        <f>IF($C20="","",'Outturn ex VAT'!U20*INDEX('Global Constants'!N$45:N$49,$H20))</f>
        <v/>
      </c>
      <c r="V20" s="26" t="str">
        <f>IF($C20="","",'Outturn ex VAT'!V20*INDEX('Global Constants'!O$45:O$49,$H20))</f>
        <v/>
      </c>
      <c r="W20" s="26" t="str">
        <f>IF($C20="","",'Outturn ex VAT'!W20*INDEX('Global Constants'!P$45:P$49,$H20))</f>
        <v/>
      </c>
      <c r="X20" s="26" t="str">
        <f>IF($C20="","",'Outturn ex VAT'!X20*INDEX('Global Constants'!Q$45:Q$49,$H20))</f>
        <v/>
      </c>
      <c r="Y20" s="26" t="str">
        <f>IF($C20="","",'Outturn ex VAT'!Y20*INDEX('Global Constants'!R$45:R$49,$H20))</f>
        <v/>
      </c>
      <c r="Z20" s="26" t="str">
        <f>IF($C20="","",'Outturn ex VAT'!Z20*INDEX('Global Constants'!S$45:S$49,$H20))</f>
        <v/>
      </c>
      <c r="AA20" s="26" t="str">
        <f>IF($C20="","",'Outturn ex VAT'!AA20*INDEX('Global Constants'!T$45:T$49,$H20))</f>
        <v/>
      </c>
      <c r="AB20" s="26" t="str">
        <f>IF($C20="","",'Outturn ex VAT'!AB20*INDEX('Global Constants'!U$45:U$49,$H20))</f>
        <v/>
      </c>
      <c r="AC20" s="26" t="str">
        <f>IF($C20="","",'Outturn ex VAT'!AC20*INDEX('Global Constants'!V$45:V$49,$H20))</f>
        <v/>
      </c>
      <c r="AD20" s="26" t="str">
        <f>IF($C20="","",'Outturn ex VAT'!AD20*INDEX('Global Constants'!W$45:W$49,$H20))</f>
        <v/>
      </c>
      <c r="AE20" s="26" t="str">
        <f>IF($C20="","",'Outturn ex VAT'!AE20*INDEX('Global Constants'!X$45:X$49,$H20))</f>
        <v/>
      </c>
      <c r="AF20" s="26" t="str">
        <f>IF($C20="","",'Outturn ex VAT'!AF20*INDEX('Global Constants'!Y$45:Y$49,$H20))</f>
        <v/>
      </c>
      <c r="AG20" s="26" t="str">
        <f>IF($C20="","",'Outturn ex VAT'!AG20*INDEX('Global Constants'!Z$45:Z$49,$H20))</f>
        <v/>
      </c>
      <c r="AH20" s="26" t="str">
        <f>IF($C20="","",'Outturn ex VAT'!AH20*INDEX('Global Constants'!AA$45:AA$49,$H20))</f>
        <v/>
      </c>
      <c r="AI20" s="26" t="str">
        <f>IF($C20="","",'Outturn ex VAT'!AI20*INDEX('Global Constants'!AB$45:AB$49,$H20))</f>
        <v/>
      </c>
      <c r="AJ20" s="26" t="str">
        <f>IF($C20="","",'Outturn ex VAT'!AJ20*INDEX('Global Constants'!AC$45:AC$49,$H20))</f>
        <v/>
      </c>
      <c r="AK20" s="26" t="str">
        <f>IF($C20="","",'Outturn ex VAT'!AK20*INDEX('Global Constants'!AD$45:AD$49,$H20))</f>
        <v/>
      </c>
      <c r="AL20" s="26" t="str">
        <f>IF($C20="","",'Outturn ex VAT'!AL20*INDEX('Global Constants'!AE$45:AE$49,$H20))</f>
        <v/>
      </c>
      <c r="AM20" s="26" t="str">
        <f>IF($C20="","",'Outturn ex VAT'!AM20*INDEX('Global Constants'!AF$45:AF$49,$H20))</f>
        <v/>
      </c>
      <c r="AN20" s="26" t="str">
        <f>IF($C20="","",'Outturn ex VAT'!AN20*INDEX('Global Constants'!AG$45:AG$49,$H20))</f>
        <v/>
      </c>
      <c r="AO20" s="26" t="str">
        <f>IF($C20="","",'Outturn ex VAT'!AO20*INDEX('Global Constants'!AH$45:AH$49,$H20))</f>
        <v/>
      </c>
      <c r="AP20" s="26" t="str">
        <f>IF($C20="","",'Outturn ex VAT'!AP20*INDEX('Global Constants'!AI$45:AI$49,$H20))</f>
        <v/>
      </c>
      <c r="AQ20" s="26" t="str">
        <f>IF($C20="","",'Outturn ex VAT'!AQ20*INDEX('Global Constants'!AJ$45:AJ$49,$H20))</f>
        <v/>
      </c>
      <c r="AR20" s="26" t="str">
        <f>IF($C20="","",'Outturn ex VAT'!AR20*INDEX('Global Constants'!AK$45:AK$49,$H20))</f>
        <v/>
      </c>
      <c r="AS20" s="26" t="str">
        <f>IF($C20="","",'Outturn ex VAT'!AS20*INDEX('Global Constants'!AL$45:AL$49,$H20))</f>
        <v/>
      </c>
      <c r="AT20" s="26" t="str">
        <f>IF($C20="","",'Outturn ex VAT'!AT20*INDEX('Global Constants'!AM$45:AM$49,$H20))</f>
        <v/>
      </c>
      <c r="AU20" s="26" t="str">
        <f>IF($C20="","",'Outturn ex VAT'!AU20*INDEX('Global Constants'!AN$45:AN$49,$H20))</f>
        <v/>
      </c>
      <c r="AV20" s="26" t="str">
        <f>IF($C20="","",'Outturn ex VAT'!AV20*INDEX('Global Constants'!AO$45:AO$49,$H20))</f>
        <v/>
      </c>
      <c r="AW20" s="26" t="str">
        <f>IF($C20="","",'Outturn ex VAT'!AW20*INDEX('Global Constants'!AP$45:AP$49,$H20))</f>
        <v/>
      </c>
      <c r="AX20" s="26" t="str">
        <f>IF($C20="","",'Outturn ex VAT'!AX20*INDEX('Global Constants'!AQ$45:AQ$49,$H20))</f>
        <v/>
      </c>
      <c r="AY20" s="26" t="str">
        <f>IF($C20="","",'Outturn ex VAT'!AY20*INDEX('Global Constants'!AR$45:AR$49,$H20))</f>
        <v/>
      </c>
      <c r="AZ20" s="26" t="str">
        <f>IF($C20="","",'Outturn ex VAT'!AZ20*INDEX('Global Constants'!AS$45:AS$49,$H20))</f>
        <v/>
      </c>
      <c r="BA20" s="26" t="str">
        <f>IF($C20="","",'Outturn ex VAT'!BA20*INDEX('Global Constants'!AT$45:AT$49,$H20))</f>
        <v/>
      </c>
      <c r="BB20" s="26" t="str">
        <f>IF($C20="","",'Outturn ex VAT'!BB20*INDEX('Global Constants'!AU$45:AU$49,$H20))</f>
        <v/>
      </c>
      <c r="BC20" s="26" t="str">
        <f>IF($C20="","",'Outturn ex VAT'!BC20*INDEX('Global Constants'!AV$45:AV$49,$H20))</f>
        <v/>
      </c>
      <c r="BD20" s="26" t="str">
        <f>IF($C20="","",'Outturn ex VAT'!BD20*INDEX('Global Constants'!AW$45:AW$49,$H20))</f>
        <v/>
      </c>
      <c r="BE20" s="26" t="str">
        <f>IF($C20="","",'Outturn ex VAT'!BE20*INDEX('Global Constants'!AX$45:AX$49,$H20))</f>
        <v/>
      </c>
      <c r="BF20" s="26" t="str">
        <f>IF($C20="","",'Outturn ex VAT'!BF20*INDEX('Global Constants'!AY$45:AY$49,$H20))</f>
        <v/>
      </c>
      <c r="BG20" s="26" t="str">
        <f>IF($C20="","",'Outturn ex VAT'!BG20*INDEX('Global Constants'!AZ$45:AZ$49,$H20))</f>
        <v/>
      </c>
      <c r="BH20" s="26" t="str">
        <f>IF($C20="","",'Outturn ex VAT'!BH20*INDEX('Global Constants'!BA$45:BA$49,$H20))</f>
        <v/>
      </c>
      <c r="BI20" s="26" t="str">
        <f>IF($C20="","",'Outturn ex VAT'!BI20*INDEX('Global Constants'!BB$45:BB$49,$H20))</f>
        <v/>
      </c>
      <c r="BJ20" s="26" t="str">
        <f>IF($C20="","",'Outturn ex VAT'!BJ20*INDEX('Global Constants'!BC$45:BC$49,$H20))</f>
        <v/>
      </c>
      <c r="BK20" s="26" t="str">
        <f>IF($C20="","",'Outturn ex VAT'!BK20*INDEX('Global Constants'!BD$45:BD$49,$H20))</f>
        <v/>
      </c>
      <c r="BL20" s="26" t="str">
        <f>IF($C20="","",'Outturn ex VAT'!BL20*INDEX('Global Constants'!BE$45:BE$49,$H20))</f>
        <v/>
      </c>
      <c r="BM20" s="26" t="str">
        <f>IF($C20="","",'Outturn ex VAT'!BM20*INDEX('Global Constants'!BF$45:BF$49,$H20))</f>
        <v/>
      </c>
      <c r="BN20" s="26" t="str">
        <f>IF($C20="","",'Outturn ex VAT'!BN20*INDEX('Global Constants'!BG$45:BG$49,$H20))</f>
        <v/>
      </c>
      <c r="BO20" s="26" t="str">
        <f>IF($C20="","",'Outturn ex VAT'!BO20*INDEX('Global Constants'!BH$45:BH$49,$H20))</f>
        <v/>
      </c>
      <c r="BP20" s="26" t="str">
        <f>IF($C20="","",'Outturn ex VAT'!BP20*INDEX('Global Constants'!BI$45:BI$49,$H20))</f>
        <v/>
      </c>
      <c r="BQ20" s="26" t="str">
        <f>IF($C20="","",'Outturn ex VAT'!BQ20*INDEX('Global Constants'!BJ$45:BJ$49,$H20))</f>
        <v/>
      </c>
      <c r="BR20" s="26" t="str">
        <f>IF($C20="","",'Outturn ex VAT'!BR20*INDEX('Global Constants'!BK$45:BK$49,$H20))</f>
        <v/>
      </c>
      <c r="BS20" s="26" t="str">
        <f>IF($C20="","",'Outturn ex VAT'!BS20*INDEX('Global Constants'!BL$45:BL$49,$H20))</f>
        <v/>
      </c>
      <c r="BT20" s="26" t="str">
        <f>IF($C20="","",'Outturn ex VAT'!BT20*INDEX('Global Constants'!BM$45:BM$49,$H20))</f>
        <v/>
      </c>
      <c r="BU20" s="26" t="str">
        <f>IF($C20="","",'Outturn ex VAT'!BU20*INDEX('Global Constants'!BN$45:BN$49,$H20))</f>
        <v/>
      </c>
      <c r="BV20" s="26" t="str">
        <f>IF($C20="","",'Outturn ex VAT'!BV20*INDEX('Global Constants'!BO$45:BO$49,$H20))</f>
        <v/>
      </c>
      <c r="BW20" s="26" t="str">
        <f>IF($C20="","",'Outturn ex VAT'!BW20*INDEX('Global Constants'!BP$45:BP$49,$H20))</f>
        <v/>
      </c>
      <c r="BX20" s="26" t="str">
        <f>IF($C20="","",'Outturn ex VAT'!BX20*INDEX('Global Constants'!BQ$45:BQ$49,$H20))</f>
        <v/>
      </c>
      <c r="BY20" s="26" t="str">
        <f>IF($C20="","",'Outturn ex VAT'!BY20*INDEX('Global Constants'!BR$45:BR$49,$H20))</f>
        <v/>
      </c>
      <c r="BZ20" s="26" t="str">
        <f>IF($C20="","",'Outturn ex VAT'!BZ20*INDEX('Global Constants'!BS$45:BS$49,$H20))</f>
        <v/>
      </c>
      <c r="CA20" s="26" t="str">
        <f>IF($C20="","",'Outturn ex VAT'!CA20*INDEX('Global Constants'!BT$45:BT$49,$H20))</f>
        <v/>
      </c>
      <c r="CB20" s="26" t="str">
        <f>IF($C20="","",'Outturn ex VAT'!CB20*INDEX('Global Constants'!BU$45:BU$49,$H20))</f>
        <v/>
      </c>
      <c r="CC20" s="26" t="str">
        <f>IF($C20="","",'Outturn ex VAT'!CC20*INDEX('Global Constants'!BV$45:BV$49,$H20))</f>
        <v/>
      </c>
      <c r="CD20" s="26" t="str">
        <f>IF($C20="","",'Outturn ex VAT'!CD20*INDEX('Global Constants'!BW$45:BW$49,$H20))</f>
        <v/>
      </c>
      <c r="CE20" s="26" t="str">
        <f>IF($C20="","",'Outturn ex VAT'!CE20*INDEX('Global Constants'!BX$45:BX$49,$H20))</f>
        <v/>
      </c>
      <c r="CF20" s="26" t="str">
        <f>IF($C20="","",'Outturn ex VAT'!CF20*INDEX('Global Constants'!BY$45:BY$49,$H20))</f>
        <v/>
      </c>
      <c r="CG20" s="26" t="str">
        <f>IF($C20="","",'Outturn ex VAT'!CG20*INDEX('Global Constants'!BZ$45:BZ$49,$H20))</f>
        <v/>
      </c>
      <c r="CH20" s="26" t="str">
        <f>IF($C20="","",'Outturn ex VAT'!CH20*INDEX('Global Constants'!CA$45:CA$49,$H20))</f>
        <v/>
      </c>
      <c r="CI20" s="26" t="str">
        <f>IF($C20="","",'Outturn ex VAT'!CI20*INDEX('Global Constants'!CB$45:CB$49,$H20))</f>
        <v/>
      </c>
      <c r="CJ20" s="26" t="str">
        <f>IF($C20="","",'Outturn ex VAT'!CJ20*INDEX('Global Constants'!CC$45:CC$49,$H20))</f>
        <v/>
      </c>
      <c r="CK20" s="26" t="str">
        <f>IF($C20="","",'Outturn ex VAT'!CK20*INDEX('Global Constants'!CD$45:CD$49,$H20))</f>
        <v/>
      </c>
      <c r="CL20" s="26" t="str">
        <f>IF($C20="","",'Outturn ex VAT'!CL20*INDEX('Global Constants'!CE$45:CE$49,$H20))</f>
        <v/>
      </c>
      <c r="CM20" s="26" t="str">
        <f>IF($C20="","",'Outturn ex VAT'!CM20*INDEX('Global Constants'!CF$45:CF$49,$H20))</f>
        <v/>
      </c>
      <c r="CN20" s="26" t="str">
        <f>IF($C20="","",'Outturn ex VAT'!CN20*INDEX('Global Constants'!CG$45:CG$49,$H20))</f>
        <v/>
      </c>
      <c r="CO20" s="26" t="str">
        <f>IF($C20="","",'Outturn ex VAT'!CO20*INDEX('Global Constants'!CH$45:CH$49,$H20))</f>
        <v/>
      </c>
      <c r="CP20" s="26" t="str">
        <f>IF($C20="","",'Outturn ex VAT'!CP20*INDEX('Global Constants'!CI$45:CI$49,$H20))</f>
        <v/>
      </c>
      <c r="CQ20" s="26" t="str">
        <f>IF($C20="","",'Outturn ex VAT'!CQ20*INDEX('Global Constants'!CJ$45:CJ$49,$H20))</f>
        <v/>
      </c>
      <c r="CR20" s="26" t="str">
        <f>IF($C20="","",'Outturn ex VAT'!CR20*INDEX('Global Constants'!CK$45:CK$49,$H20))</f>
        <v/>
      </c>
      <c r="CS20" s="26" t="str">
        <f>IF($C20="","",'Outturn ex VAT'!CS20*INDEX('Global Constants'!CL$45:CL$49,$H20))</f>
        <v/>
      </c>
      <c r="CT20" s="26" t="str">
        <f>IF($C20="","",'Outturn ex VAT'!CT20*INDEX('Global Constants'!CM$45:CM$49,$H20))</f>
        <v/>
      </c>
      <c r="CU20" s="26" t="str">
        <f>IF($C20="","",'Outturn ex VAT'!CU20*INDEX('Global Constants'!CN$45:CN$49,$H20))</f>
        <v/>
      </c>
      <c r="CV20" s="26" t="str">
        <f>IF($C20="","",'Outturn ex VAT'!CV20*INDEX('Global Constants'!CO$45:CO$49,$H20))</f>
        <v/>
      </c>
      <c r="CW20" s="26" t="str">
        <f>IF($C20="","",'Outturn ex VAT'!CW20*INDEX('Global Constants'!CP$45:CP$49,$H20))</f>
        <v/>
      </c>
      <c r="CX20" s="26" t="str">
        <f>IF($C20="","",'Outturn ex VAT'!CX20*INDEX('Global Constants'!CQ$45:CQ$49,$H20))</f>
        <v/>
      </c>
      <c r="CZ20" s="26">
        <f t="shared" ca="1" si="1"/>
        <v>0</v>
      </c>
      <c r="DA20" s="26">
        <f t="shared" si="2"/>
        <v>0</v>
      </c>
    </row>
    <row r="21" spans="3:105" x14ac:dyDescent="0.3">
      <c r="C21" s="4" t="str">
        <f>IF('Cost &amp; Risk Inputs'!C22="","",'Cost &amp; Risk Inputs'!C22)</f>
        <v/>
      </c>
      <c r="D21" s="4" t="str">
        <f>IF(C21="","",'Cost &amp; Risk Inputs'!H22)</f>
        <v/>
      </c>
      <c r="E21" s="4" t="str">
        <f>IF(C21="","",'Cost &amp; Risk Inputs'!I22)</f>
        <v/>
      </c>
      <c r="F21" s="4" t="str">
        <f>IF(C21="","",'Cost &amp; Risk Inputs'!E22)</f>
        <v/>
      </c>
      <c r="H21" s="18" t="str">
        <f t="shared" si="0"/>
        <v/>
      </c>
      <c r="M21" s="26" t="str">
        <f>IF($C21="","",'Outturn ex VAT'!M21*INDEX('Global Constants'!F$45:F$49,$H21))</f>
        <v/>
      </c>
      <c r="N21" s="26" t="str">
        <f>IF($C21="","",'Outturn ex VAT'!N21*INDEX('Global Constants'!G$45:G$49,$H21))</f>
        <v/>
      </c>
      <c r="O21" s="26" t="str">
        <f>IF($C21="","",'Outturn ex VAT'!O21*INDEX('Global Constants'!H$45:H$49,$H21))</f>
        <v/>
      </c>
      <c r="P21" s="26" t="str">
        <f>IF($C21="","",'Outturn ex VAT'!P21*INDEX('Global Constants'!I$45:I$49,$H21))</f>
        <v/>
      </c>
      <c r="Q21" s="26" t="str">
        <f>IF($C21="","",'Outturn ex VAT'!Q21*INDEX('Global Constants'!J$45:J$49,$H21))</f>
        <v/>
      </c>
      <c r="R21" s="26" t="str">
        <f>IF($C21="","",'Outturn ex VAT'!R21*INDEX('Global Constants'!K$45:K$49,$H21))</f>
        <v/>
      </c>
      <c r="S21" s="26" t="str">
        <f>IF($C21="","",'Outturn ex VAT'!S21*INDEX('Global Constants'!L$45:L$49,$H21))</f>
        <v/>
      </c>
      <c r="T21" s="26" t="str">
        <f>IF($C21="","",'Outturn ex VAT'!T21*INDEX('Global Constants'!M$45:M$49,$H21))</f>
        <v/>
      </c>
      <c r="U21" s="26" t="str">
        <f>IF($C21="","",'Outturn ex VAT'!U21*INDEX('Global Constants'!N$45:N$49,$H21))</f>
        <v/>
      </c>
      <c r="V21" s="26" t="str">
        <f>IF($C21="","",'Outturn ex VAT'!V21*INDEX('Global Constants'!O$45:O$49,$H21))</f>
        <v/>
      </c>
      <c r="W21" s="26" t="str">
        <f>IF($C21="","",'Outturn ex VAT'!W21*INDEX('Global Constants'!P$45:P$49,$H21))</f>
        <v/>
      </c>
      <c r="X21" s="26" t="str">
        <f>IF($C21="","",'Outturn ex VAT'!X21*INDEX('Global Constants'!Q$45:Q$49,$H21))</f>
        <v/>
      </c>
      <c r="Y21" s="26" t="str">
        <f>IF($C21="","",'Outturn ex VAT'!Y21*INDEX('Global Constants'!R$45:R$49,$H21))</f>
        <v/>
      </c>
      <c r="Z21" s="26" t="str">
        <f>IF($C21="","",'Outturn ex VAT'!Z21*INDEX('Global Constants'!S$45:S$49,$H21))</f>
        <v/>
      </c>
      <c r="AA21" s="26" t="str">
        <f>IF($C21="","",'Outturn ex VAT'!AA21*INDEX('Global Constants'!T$45:T$49,$H21))</f>
        <v/>
      </c>
      <c r="AB21" s="26" t="str">
        <f>IF($C21="","",'Outturn ex VAT'!AB21*INDEX('Global Constants'!U$45:U$49,$H21))</f>
        <v/>
      </c>
      <c r="AC21" s="26" t="str">
        <f>IF($C21="","",'Outturn ex VAT'!AC21*INDEX('Global Constants'!V$45:V$49,$H21))</f>
        <v/>
      </c>
      <c r="AD21" s="26" t="str">
        <f>IF($C21="","",'Outturn ex VAT'!AD21*INDEX('Global Constants'!W$45:W$49,$H21))</f>
        <v/>
      </c>
      <c r="AE21" s="26" t="str">
        <f>IF($C21="","",'Outturn ex VAT'!AE21*INDEX('Global Constants'!X$45:X$49,$H21))</f>
        <v/>
      </c>
      <c r="AF21" s="26" t="str">
        <f>IF($C21="","",'Outturn ex VAT'!AF21*INDEX('Global Constants'!Y$45:Y$49,$H21))</f>
        <v/>
      </c>
      <c r="AG21" s="26" t="str">
        <f>IF($C21="","",'Outturn ex VAT'!AG21*INDEX('Global Constants'!Z$45:Z$49,$H21))</f>
        <v/>
      </c>
      <c r="AH21" s="26" t="str">
        <f>IF($C21="","",'Outturn ex VAT'!AH21*INDEX('Global Constants'!AA$45:AA$49,$H21))</f>
        <v/>
      </c>
      <c r="AI21" s="26" t="str">
        <f>IF($C21="","",'Outturn ex VAT'!AI21*INDEX('Global Constants'!AB$45:AB$49,$H21))</f>
        <v/>
      </c>
      <c r="AJ21" s="26" t="str">
        <f>IF($C21="","",'Outturn ex VAT'!AJ21*INDEX('Global Constants'!AC$45:AC$49,$H21))</f>
        <v/>
      </c>
      <c r="AK21" s="26" t="str">
        <f>IF($C21="","",'Outturn ex VAT'!AK21*INDEX('Global Constants'!AD$45:AD$49,$H21))</f>
        <v/>
      </c>
      <c r="AL21" s="26" t="str">
        <f>IF($C21="","",'Outturn ex VAT'!AL21*INDEX('Global Constants'!AE$45:AE$49,$H21))</f>
        <v/>
      </c>
      <c r="AM21" s="26" t="str">
        <f>IF($C21="","",'Outturn ex VAT'!AM21*INDEX('Global Constants'!AF$45:AF$49,$H21))</f>
        <v/>
      </c>
      <c r="AN21" s="26" t="str">
        <f>IF($C21="","",'Outturn ex VAT'!AN21*INDEX('Global Constants'!AG$45:AG$49,$H21))</f>
        <v/>
      </c>
      <c r="AO21" s="26" t="str">
        <f>IF($C21="","",'Outturn ex VAT'!AO21*INDEX('Global Constants'!AH$45:AH$49,$H21))</f>
        <v/>
      </c>
      <c r="AP21" s="26" t="str">
        <f>IF($C21="","",'Outturn ex VAT'!AP21*INDEX('Global Constants'!AI$45:AI$49,$H21))</f>
        <v/>
      </c>
      <c r="AQ21" s="26" t="str">
        <f>IF($C21="","",'Outturn ex VAT'!AQ21*INDEX('Global Constants'!AJ$45:AJ$49,$H21))</f>
        <v/>
      </c>
      <c r="AR21" s="26" t="str">
        <f>IF($C21="","",'Outturn ex VAT'!AR21*INDEX('Global Constants'!AK$45:AK$49,$H21))</f>
        <v/>
      </c>
      <c r="AS21" s="26" t="str">
        <f>IF($C21="","",'Outturn ex VAT'!AS21*INDEX('Global Constants'!AL$45:AL$49,$H21))</f>
        <v/>
      </c>
      <c r="AT21" s="26" t="str">
        <f>IF($C21="","",'Outturn ex VAT'!AT21*INDEX('Global Constants'!AM$45:AM$49,$H21))</f>
        <v/>
      </c>
      <c r="AU21" s="26" t="str">
        <f>IF($C21="","",'Outturn ex VAT'!AU21*INDEX('Global Constants'!AN$45:AN$49,$H21))</f>
        <v/>
      </c>
      <c r="AV21" s="26" t="str">
        <f>IF($C21="","",'Outturn ex VAT'!AV21*INDEX('Global Constants'!AO$45:AO$49,$H21))</f>
        <v/>
      </c>
      <c r="AW21" s="26" t="str">
        <f>IF($C21="","",'Outturn ex VAT'!AW21*INDEX('Global Constants'!AP$45:AP$49,$H21))</f>
        <v/>
      </c>
      <c r="AX21" s="26" t="str">
        <f>IF($C21="","",'Outturn ex VAT'!AX21*INDEX('Global Constants'!AQ$45:AQ$49,$H21))</f>
        <v/>
      </c>
      <c r="AY21" s="26" t="str">
        <f>IF($C21="","",'Outturn ex VAT'!AY21*INDEX('Global Constants'!AR$45:AR$49,$H21))</f>
        <v/>
      </c>
      <c r="AZ21" s="26" t="str">
        <f>IF($C21="","",'Outturn ex VAT'!AZ21*INDEX('Global Constants'!AS$45:AS$49,$H21))</f>
        <v/>
      </c>
      <c r="BA21" s="26" t="str">
        <f>IF($C21="","",'Outturn ex VAT'!BA21*INDEX('Global Constants'!AT$45:AT$49,$H21))</f>
        <v/>
      </c>
      <c r="BB21" s="26" t="str">
        <f>IF($C21="","",'Outturn ex VAT'!BB21*INDEX('Global Constants'!AU$45:AU$49,$H21))</f>
        <v/>
      </c>
      <c r="BC21" s="26" t="str">
        <f>IF($C21="","",'Outturn ex VAT'!BC21*INDEX('Global Constants'!AV$45:AV$49,$H21))</f>
        <v/>
      </c>
      <c r="BD21" s="26" t="str">
        <f>IF($C21="","",'Outturn ex VAT'!BD21*INDEX('Global Constants'!AW$45:AW$49,$H21))</f>
        <v/>
      </c>
      <c r="BE21" s="26" t="str">
        <f>IF($C21="","",'Outturn ex VAT'!BE21*INDEX('Global Constants'!AX$45:AX$49,$H21))</f>
        <v/>
      </c>
      <c r="BF21" s="26" t="str">
        <f>IF($C21="","",'Outturn ex VAT'!BF21*INDEX('Global Constants'!AY$45:AY$49,$H21))</f>
        <v/>
      </c>
      <c r="BG21" s="26" t="str">
        <f>IF($C21="","",'Outturn ex VAT'!BG21*INDEX('Global Constants'!AZ$45:AZ$49,$H21))</f>
        <v/>
      </c>
      <c r="BH21" s="26" t="str">
        <f>IF($C21="","",'Outturn ex VAT'!BH21*INDEX('Global Constants'!BA$45:BA$49,$H21))</f>
        <v/>
      </c>
      <c r="BI21" s="26" t="str">
        <f>IF($C21="","",'Outturn ex VAT'!BI21*INDEX('Global Constants'!BB$45:BB$49,$H21))</f>
        <v/>
      </c>
      <c r="BJ21" s="26" t="str">
        <f>IF($C21="","",'Outturn ex VAT'!BJ21*INDEX('Global Constants'!BC$45:BC$49,$H21))</f>
        <v/>
      </c>
      <c r="BK21" s="26" t="str">
        <f>IF($C21="","",'Outturn ex VAT'!BK21*INDEX('Global Constants'!BD$45:BD$49,$H21))</f>
        <v/>
      </c>
      <c r="BL21" s="26" t="str">
        <f>IF($C21="","",'Outturn ex VAT'!BL21*INDEX('Global Constants'!BE$45:BE$49,$H21))</f>
        <v/>
      </c>
      <c r="BM21" s="26" t="str">
        <f>IF($C21="","",'Outturn ex VAT'!BM21*INDEX('Global Constants'!BF$45:BF$49,$H21))</f>
        <v/>
      </c>
      <c r="BN21" s="26" t="str">
        <f>IF($C21="","",'Outturn ex VAT'!BN21*INDEX('Global Constants'!BG$45:BG$49,$H21))</f>
        <v/>
      </c>
      <c r="BO21" s="26" t="str">
        <f>IF($C21="","",'Outturn ex VAT'!BO21*INDEX('Global Constants'!BH$45:BH$49,$H21))</f>
        <v/>
      </c>
      <c r="BP21" s="26" t="str">
        <f>IF($C21="","",'Outturn ex VAT'!BP21*INDEX('Global Constants'!BI$45:BI$49,$H21))</f>
        <v/>
      </c>
      <c r="BQ21" s="26" t="str">
        <f>IF($C21="","",'Outturn ex VAT'!BQ21*INDEX('Global Constants'!BJ$45:BJ$49,$H21))</f>
        <v/>
      </c>
      <c r="BR21" s="26" t="str">
        <f>IF($C21="","",'Outturn ex VAT'!BR21*INDEX('Global Constants'!BK$45:BK$49,$H21))</f>
        <v/>
      </c>
      <c r="BS21" s="26" t="str">
        <f>IF($C21="","",'Outturn ex VAT'!BS21*INDEX('Global Constants'!BL$45:BL$49,$H21))</f>
        <v/>
      </c>
      <c r="BT21" s="26" t="str">
        <f>IF($C21="","",'Outturn ex VAT'!BT21*INDEX('Global Constants'!BM$45:BM$49,$H21))</f>
        <v/>
      </c>
      <c r="BU21" s="26" t="str">
        <f>IF($C21="","",'Outturn ex VAT'!BU21*INDEX('Global Constants'!BN$45:BN$49,$H21))</f>
        <v/>
      </c>
      <c r="BV21" s="26" t="str">
        <f>IF($C21="","",'Outturn ex VAT'!BV21*INDEX('Global Constants'!BO$45:BO$49,$H21))</f>
        <v/>
      </c>
      <c r="BW21" s="26" t="str">
        <f>IF($C21="","",'Outturn ex VAT'!BW21*INDEX('Global Constants'!BP$45:BP$49,$H21))</f>
        <v/>
      </c>
      <c r="BX21" s="26" t="str">
        <f>IF($C21="","",'Outturn ex VAT'!BX21*INDEX('Global Constants'!BQ$45:BQ$49,$H21))</f>
        <v/>
      </c>
      <c r="BY21" s="26" t="str">
        <f>IF($C21="","",'Outturn ex VAT'!BY21*INDEX('Global Constants'!BR$45:BR$49,$H21))</f>
        <v/>
      </c>
      <c r="BZ21" s="26" t="str">
        <f>IF($C21="","",'Outturn ex VAT'!BZ21*INDEX('Global Constants'!BS$45:BS$49,$H21))</f>
        <v/>
      </c>
      <c r="CA21" s="26" t="str">
        <f>IF($C21="","",'Outturn ex VAT'!CA21*INDEX('Global Constants'!BT$45:BT$49,$H21))</f>
        <v/>
      </c>
      <c r="CB21" s="26" t="str">
        <f>IF($C21="","",'Outturn ex VAT'!CB21*INDEX('Global Constants'!BU$45:BU$49,$H21))</f>
        <v/>
      </c>
      <c r="CC21" s="26" t="str">
        <f>IF($C21="","",'Outturn ex VAT'!CC21*INDEX('Global Constants'!BV$45:BV$49,$H21))</f>
        <v/>
      </c>
      <c r="CD21" s="26" t="str">
        <f>IF($C21="","",'Outturn ex VAT'!CD21*INDEX('Global Constants'!BW$45:BW$49,$H21))</f>
        <v/>
      </c>
      <c r="CE21" s="26" t="str">
        <f>IF($C21="","",'Outturn ex VAT'!CE21*INDEX('Global Constants'!BX$45:BX$49,$H21))</f>
        <v/>
      </c>
      <c r="CF21" s="26" t="str">
        <f>IF($C21="","",'Outturn ex VAT'!CF21*INDEX('Global Constants'!BY$45:BY$49,$H21))</f>
        <v/>
      </c>
      <c r="CG21" s="26" t="str">
        <f>IF($C21="","",'Outturn ex VAT'!CG21*INDEX('Global Constants'!BZ$45:BZ$49,$H21))</f>
        <v/>
      </c>
      <c r="CH21" s="26" t="str">
        <f>IF($C21="","",'Outturn ex VAT'!CH21*INDEX('Global Constants'!CA$45:CA$49,$H21))</f>
        <v/>
      </c>
      <c r="CI21" s="26" t="str">
        <f>IF($C21="","",'Outturn ex VAT'!CI21*INDEX('Global Constants'!CB$45:CB$49,$H21))</f>
        <v/>
      </c>
      <c r="CJ21" s="26" t="str">
        <f>IF($C21="","",'Outturn ex VAT'!CJ21*INDEX('Global Constants'!CC$45:CC$49,$H21))</f>
        <v/>
      </c>
      <c r="CK21" s="26" t="str">
        <f>IF($C21="","",'Outturn ex VAT'!CK21*INDEX('Global Constants'!CD$45:CD$49,$H21))</f>
        <v/>
      </c>
      <c r="CL21" s="26" t="str">
        <f>IF($C21="","",'Outturn ex VAT'!CL21*INDEX('Global Constants'!CE$45:CE$49,$H21))</f>
        <v/>
      </c>
      <c r="CM21" s="26" t="str">
        <f>IF($C21="","",'Outturn ex VAT'!CM21*INDEX('Global Constants'!CF$45:CF$49,$H21))</f>
        <v/>
      </c>
      <c r="CN21" s="26" t="str">
        <f>IF($C21="","",'Outturn ex VAT'!CN21*INDEX('Global Constants'!CG$45:CG$49,$H21))</f>
        <v/>
      </c>
      <c r="CO21" s="26" t="str">
        <f>IF($C21="","",'Outturn ex VAT'!CO21*INDEX('Global Constants'!CH$45:CH$49,$H21))</f>
        <v/>
      </c>
      <c r="CP21" s="26" t="str">
        <f>IF($C21="","",'Outturn ex VAT'!CP21*INDEX('Global Constants'!CI$45:CI$49,$H21))</f>
        <v/>
      </c>
      <c r="CQ21" s="26" t="str">
        <f>IF($C21="","",'Outturn ex VAT'!CQ21*INDEX('Global Constants'!CJ$45:CJ$49,$H21))</f>
        <v/>
      </c>
      <c r="CR21" s="26" t="str">
        <f>IF($C21="","",'Outturn ex VAT'!CR21*INDEX('Global Constants'!CK$45:CK$49,$H21))</f>
        <v/>
      </c>
      <c r="CS21" s="26" t="str">
        <f>IF($C21="","",'Outturn ex VAT'!CS21*INDEX('Global Constants'!CL$45:CL$49,$H21))</f>
        <v/>
      </c>
      <c r="CT21" s="26" t="str">
        <f>IF($C21="","",'Outturn ex VAT'!CT21*INDEX('Global Constants'!CM$45:CM$49,$H21))</f>
        <v/>
      </c>
      <c r="CU21" s="26" t="str">
        <f>IF($C21="","",'Outturn ex VAT'!CU21*INDEX('Global Constants'!CN$45:CN$49,$H21))</f>
        <v/>
      </c>
      <c r="CV21" s="26" t="str">
        <f>IF($C21="","",'Outturn ex VAT'!CV21*INDEX('Global Constants'!CO$45:CO$49,$H21))</f>
        <v/>
      </c>
      <c r="CW21" s="26" t="str">
        <f>IF($C21="","",'Outturn ex VAT'!CW21*INDEX('Global Constants'!CP$45:CP$49,$H21))</f>
        <v/>
      </c>
      <c r="CX21" s="26" t="str">
        <f>IF($C21="","",'Outturn ex VAT'!CX21*INDEX('Global Constants'!CQ$45:CQ$49,$H21))</f>
        <v/>
      </c>
      <c r="CZ21" s="26">
        <f t="shared" ca="1" si="1"/>
        <v>0</v>
      </c>
      <c r="DA21" s="26">
        <f t="shared" si="2"/>
        <v>0</v>
      </c>
    </row>
    <row r="22" spans="3:105" x14ac:dyDescent="0.3">
      <c r="C22" s="4" t="str">
        <f>IF('Cost &amp; Risk Inputs'!C23="","",'Cost &amp; Risk Inputs'!C23)</f>
        <v/>
      </c>
      <c r="D22" s="4" t="str">
        <f>IF(C22="","",'Cost &amp; Risk Inputs'!H23)</f>
        <v/>
      </c>
      <c r="E22" s="4" t="str">
        <f>IF(C22="","",'Cost &amp; Risk Inputs'!I23)</f>
        <v/>
      </c>
      <c r="F22" s="4" t="str">
        <f>IF(C22="","",'Cost &amp; Risk Inputs'!E23)</f>
        <v/>
      </c>
      <c r="H22" s="18" t="str">
        <f t="shared" si="0"/>
        <v/>
      </c>
      <c r="M22" s="26" t="str">
        <f>IF($C22="","",'Outturn ex VAT'!M22*INDEX('Global Constants'!F$45:F$49,$H22))</f>
        <v/>
      </c>
      <c r="N22" s="26" t="str">
        <f>IF($C22="","",'Outturn ex VAT'!N22*INDEX('Global Constants'!G$45:G$49,$H22))</f>
        <v/>
      </c>
      <c r="O22" s="26" t="str">
        <f>IF($C22="","",'Outturn ex VAT'!O22*INDEX('Global Constants'!H$45:H$49,$H22))</f>
        <v/>
      </c>
      <c r="P22" s="26" t="str">
        <f>IF($C22="","",'Outturn ex VAT'!P22*INDEX('Global Constants'!I$45:I$49,$H22))</f>
        <v/>
      </c>
      <c r="Q22" s="26" t="str">
        <f>IF($C22="","",'Outturn ex VAT'!Q22*INDEX('Global Constants'!J$45:J$49,$H22))</f>
        <v/>
      </c>
      <c r="R22" s="26" t="str">
        <f>IF($C22="","",'Outturn ex VAT'!R22*INDEX('Global Constants'!K$45:K$49,$H22))</f>
        <v/>
      </c>
      <c r="S22" s="26" t="str">
        <f>IF($C22="","",'Outturn ex VAT'!S22*INDEX('Global Constants'!L$45:L$49,$H22))</f>
        <v/>
      </c>
      <c r="T22" s="26" t="str">
        <f>IF($C22="","",'Outturn ex VAT'!T22*INDEX('Global Constants'!M$45:M$49,$H22))</f>
        <v/>
      </c>
      <c r="U22" s="26" t="str">
        <f>IF($C22="","",'Outturn ex VAT'!U22*INDEX('Global Constants'!N$45:N$49,$H22))</f>
        <v/>
      </c>
      <c r="V22" s="26" t="str">
        <f>IF($C22="","",'Outturn ex VAT'!V22*INDEX('Global Constants'!O$45:O$49,$H22))</f>
        <v/>
      </c>
      <c r="W22" s="26" t="str">
        <f>IF($C22="","",'Outturn ex VAT'!W22*INDEX('Global Constants'!P$45:P$49,$H22))</f>
        <v/>
      </c>
      <c r="X22" s="26" t="str">
        <f>IF($C22="","",'Outturn ex VAT'!X22*INDEX('Global Constants'!Q$45:Q$49,$H22))</f>
        <v/>
      </c>
      <c r="Y22" s="26" t="str">
        <f>IF($C22="","",'Outturn ex VAT'!Y22*INDEX('Global Constants'!R$45:R$49,$H22))</f>
        <v/>
      </c>
      <c r="Z22" s="26" t="str">
        <f>IF($C22="","",'Outturn ex VAT'!Z22*INDEX('Global Constants'!S$45:S$49,$H22))</f>
        <v/>
      </c>
      <c r="AA22" s="26" t="str">
        <f>IF($C22="","",'Outturn ex VAT'!AA22*INDEX('Global Constants'!T$45:T$49,$H22))</f>
        <v/>
      </c>
      <c r="AB22" s="26" t="str">
        <f>IF($C22="","",'Outturn ex VAT'!AB22*INDEX('Global Constants'!U$45:U$49,$H22))</f>
        <v/>
      </c>
      <c r="AC22" s="26" t="str">
        <f>IF($C22="","",'Outturn ex VAT'!AC22*INDEX('Global Constants'!V$45:V$49,$H22))</f>
        <v/>
      </c>
      <c r="AD22" s="26" t="str">
        <f>IF($C22="","",'Outturn ex VAT'!AD22*INDEX('Global Constants'!W$45:W$49,$H22))</f>
        <v/>
      </c>
      <c r="AE22" s="26" t="str">
        <f>IF($C22="","",'Outturn ex VAT'!AE22*INDEX('Global Constants'!X$45:X$49,$H22))</f>
        <v/>
      </c>
      <c r="AF22" s="26" t="str">
        <f>IF($C22="","",'Outturn ex VAT'!AF22*INDEX('Global Constants'!Y$45:Y$49,$H22))</f>
        <v/>
      </c>
      <c r="AG22" s="26" t="str">
        <f>IF($C22="","",'Outturn ex VAT'!AG22*INDEX('Global Constants'!Z$45:Z$49,$H22))</f>
        <v/>
      </c>
      <c r="AH22" s="26" t="str">
        <f>IF($C22="","",'Outturn ex VAT'!AH22*INDEX('Global Constants'!AA$45:AA$49,$H22))</f>
        <v/>
      </c>
      <c r="AI22" s="26" t="str">
        <f>IF($C22="","",'Outturn ex VAT'!AI22*INDEX('Global Constants'!AB$45:AB$49,$H22))</f>
        <v/>
      </c>
      <c r="AJ22" s="26" t="str">
        <f>IF($C22="","",'Outturn ex VAT'!AJ22*INDEX('Global Constants'!AC$45:AC$49,$H22))</f>
        <v/>
      </c>
      <c r="AK22" s="26" t="str">
        <f>IF($C22="","",'Outturn ex VAT'!AK22*INDEX('Global Constants'!AD$45:AD$49,$H22))</f>
        <v/>
      </c>
      <c r="AL22" s="26" t="str">
        <f>IF($C22="","",'Outturn ex VAT'!AL22*INDEX('Global Constants'!AE$45:AE$49,$H22))</f>
        <v/>
      </c>
      <c r="AM22" s="26" t="str">
        <f>IF($C22="","",'Outturn ex VAT'!AM22*INDEX('Global Constants'!AF$45:AF$49,$H22))</f>
        <v/>
      </c>
      <c r="AN22" s="26" t="str">
        <f>IF($C22="","",'Outturn ex VAT'!AN22*INDEX('Global Constants'!AG$45:AG$49,$H22))</f>
        <v/>
      </c>
      <c r="AO22" s="26" t="str">
        <f>IF($C22="","",'Outturn ex VAT'!AO22*INDEX('Global Constants'!AH$45:AH$49,$H22))</f>
        <v/>
      </c>
      <c r="AP22" s="26" t="str">
        <f>IF($C22="","",'Outturn ex VAT'!AP22*INDEX('Global Constants'!AI$45:AI$49,$H22))</f>
        <v/>
      </c>
      <c r="AQ22" s="26" t="str">
        <f>IF($C22="","",'Outturn ex VAT'!AQ22*INDEX('Global Constants'!AJ$45:AJ$49,$H22))</f>
        <v/>
      </c>
      <c r="AR22" s="26" t="str">
        <f>IF($C22="","",'Outturn ex VAT'!AR22*INDEX('Global Constants'!AK$45:AK$49,$H22))</f>
        <v/>
      </c>
      <c r="AS22" s="26" t="str">
        <f>IF($C22="","",'Outturn ex VAT'!AS22*INDEX('Global Constants'!AL$45:AL$49,$H22))</f>
        <v/>
      </c>
      <c r="AT22" s="26" t="str">
        <f>IF($C22="","",'Outturn ex VAT'!AT22*INDEX('Global Constants'!AM$45:AM$49,$H22))</f>
        <v/>
      </c>
      <c r="AU22" s="26" t="str">
        <f>IF($C22="","",'Outturn ex VAT'!AU22*INDEX('Global Constants'!AN$45:AN$49,$H22))</f>
        <v/>
      </c>
      <c r="AV22" s="26" t="str">
        <f>IF($C22="","",'Outturn ex VAT'!AV22*INDEX('Global Constants'!AO$45:AO$49,$H22))</f>
        <v/>
      </c>
      <c r="AW22" s="26" t="str">
        <f>IF($C22="","",'Outturn ex VAT'!AW22*INDEX('Global Constants'!AP$45:AP$49,$H22))</f>
        <v/>
      </c>
      <c r="AX22" s="26" t="str">
        <f>IF($C22="","",'Outturn ex VAT'!AX22*INDEX('Global Constants'!AQ$45:AQ$49,$H22))</f>
        <v/>
      </c>
      <c r="AY22" s="26" t="str">
        <f>IF($C22="","",'Outturn ex VAT'!AY22*INDEX('Global Constants'!AR$45:AR$49,$H22))</f>
        <v/>
      </c>
      <c r="AZ22" s="26" t="str">
        <f>IF($C22="","",'Outturn ex VAT'!AZ22*INDEX('Global Constants'!AS$45:AS$49,$H22))</f>
        <v/>
      </c>
      <c r="BA22" s="26" t="str">
        <f>IF($C22="","",'Outturn ex VAT'!BA22*INDEX('Global Constants'!AT$45:AT$49,$H22))</f>
        <v/>
      </c>
      <c r="BB22" s="26" t="str">
        <f>IF($C22="","",'Outturn ex VAT'!BB22*INDEX('Global Constants'!AU$45:AU$49,$H22))</f>
        <v/>
      </c>
      <c r="BC22" s="26" t="str">
        <f>IF($C22="","",'Outturn ex VAT'!BC22*INDEX('Global Constants'!AV$45:AV$49,$H22))</f>
        <v/>
      </c>
      <c r="BD22" s="26" t="str">
        <f>IF($C22="","",'Outturn ex VAT'!BD22*INDEX('Global Constants'!AW$45:AW$49,$H22))</f>
        <v/>
      </c>
      <c r="BE22" s="26" t="str">
        <f>IF($C22="","",'Outturn ex VAT'!BE22*INDEX('Global Constants'!AX$45:AX$49,$H22))</f>
        <v/>
      </c>
      <c r="BF22" s="26" t="str">
        <f>IF($C22="","",'Outturn ex VAT'!BF22*INDEX('Global Constants'!AY$45:AY$49,$H22))</f>
        <v/>
      </c>
      <c r="BG22" s="26" t="str">
        <f>IF($C22="","",'Outturn ex VAT'!BG22*INDEX('Global Constants'!AZ$45:AZ$49,$H22))</f>
        <v/>
      </c>
      <c r="BH22" s="26" t="str">
        <f>IF($C22="","",'Outturn ex VAT'!BH22*INDEX('Global Constants'!BA$45:BA$49,$H22))</f>
        <v/>
      </c>
      <c r="BI22" s="26" t="str">
        <f>IF($C22="","",'Outturn ex VAT'!BI22*INDEX('Global Constants'!BB$45:BB$49,$H22))</f>
        <v/>
      </c>
      <c r="BJ22" s="26" t="str">
        <f>IF($C22="","",'Outturn ex VAT'!BJ22*INDEX('Global Constants'!BC$45:BC$49,$H22))</f>
        <v/>
      </c>
      <c r="BK22" s="26" t="str">
        <f>IF($C22="","",'Outturn ex VAT'!BK22*INDEX('Global Constants'!BD$45:BD$49,$H22))</f>
        <v/>
      </c>
      <c r="BL22" s="26" t="str">
        <f>IF($C22="","",'Outturn ex VAT'!BL22*INDEX('Global Constants'!BE$45:BE$49,$H22))</f>
        <v/>
      </c>
      <c r="BM22" s="26" t="str">
        <f>IF($C22="","",'Outturn ex VAT'!BM22*INDEX('Global Constants'!BF$45:BF$49,$H22))</f>
        <v/>
      </c>
      <c r="BN22" s="26" t="str">
        <f>IF($C22="","",'Outturn ex VAT'!BN22*INDEX('Global Constants'!BG$45:BG$49,$H22))</f>
        <v/>
      </c>
      <c r="BO22" s="26" t="str">
        <f>IF($C22="","",'Outturn ex VAT'!BO22*INDEX('Global Constants'!BH$45:BH$49,$H22))</f>
        <v/>
      </c>
      <c r="BP22" s="26" t="str">
        <f>IF($C22="","",'Outturn ex VAT'!BP22*INDEX('Global Constants'!BI$45:BI$49,$H22))</f>
        <v/>
      </c>
      <c r="BQ22" s="26" t="str">
        <f>IF($C22="","",'Outturn ex VAT'!BQ22*INDEX('Global Constants'!BJ$45:BJ$49,$H22))</f>
        <v/>
      </c>
      <c r="BR22" s="26" t="str">
        <f>IF($C22="","",'Outturn ex VAT'!BR22*INDEX('Global Constants'!BK$45:BK$49,$H22))</f>
        <v/>
      </c>
      <c r="BS22" s="26" t="str">
        <f>IF($C22="","",'Outturn ex VAT'!BS22*INDEX('Global Constants'!BL$45:BL$49,$H22))</f>
        <v/>
      </c>
      <c r="BT22" s="26" t="str">
        <f>IF($C22="","",'Outturn ex VAT'!BT22*INDEX('Global Constants'!BM$45:BM$49,$H22))</f>
        <v/>
      </c>
      <c r="BU22" s="26" t="str">
        <f>IF($C22="","",'Outturn ex VAT'!BU22*INDEX('Global Constants'!BN$45:BN$49,$H22))</f>
        <v/>
      </c>
      <c r="BV22" s="26" t="str">
        <f>IF($C22="","",'Outturn ex VAT'!BV22*INDEX('Global Constants'!BO$45:BO$49,$H22))</f>
        <v/>
      </c>
      <c r="BW22" s="26" t="str">
        <f>IF($C22="","",'Outturn ex VAT'!BW22*INDEX('Global Constants'!BP$45:BP$49,$H22))</f>
        <v/>
      </c>
      <c r="BX22" s="26" t="str">
        <f>IF($C22="","",'Outturn ex VAT'!BX22*INDEX('Global Constants'!BQ$45:BQ$49,$H22))</f>
        <v/>
      </c>
      <c r="BY22" s="26" t="str">
        <f>IF($C22="","",'Outturn ex VAT'!BY22*INDEX('Global Constants'!BR$45:BR$49,$H22))</f>
        <v/>
      </c>
      <c r="BZ22" s="26" t="str">
        <f>IF($C22="","",'Outturn ex VAT'!BZ22*INDEX('Global Constants'!BS$45:BS$49,$H22))</f>
        <v/>
      </c>
      <c r="CA22" s="26" t="str">
        <f>IF($C22="","",'Outturn ex VAT'!CA22*INDEX('Global Constants'!BT$45:BT$49,$H22))</f>
        <v/>
      </c>
      <c r="CB22" s="26" t="str">
        <f>IF($C22="","",'Outturn ex VAT'!CB22*INDEX('Global Constants'!BU$45:BU$49,$H22))</f>
        <v/>
      </c>
      <c r="CC22" s="26" t="str">
        <f>IF($C22="","",'Outturn ex VAT'!CC22*INDEX('Global Constants'!BV$45:BV$49,$H22))</f>
        <v/>
      </c>
      <c r="CD22" s="26" t="str">
        <f>IF($C22="","",'Outturn ex VAT'!CD22*INDEX('Global Constants'!BW$45:BW$49,$H22))</f>
        <v/>
      </c>
      <c r="CE22" s="26" t="str">
        <f>IF($C22="","",'Outturn ex VAT'!CE22*INDEX('Global Constants'!BX$45:BX$49,$H22))</f>
        <v/>
      </c>
      <c r="CF22" s="26" t="str">
        <f>IF($C22="","",'Outturn ex VAT'!CF22*INDEX('Global Constants'!BY$45:BY$49,$H22))</f>
        <v/>
      </c>
      <c r="CG22" s="26" t="str">
        <f>IF($C22="","",'Outturn ex VAT'!CG22*INDEX('Global Constants'!BZ$45:BZ$49,$H22))</f>
        <v/>
      </c>
      <c r="CH22" s="26" t="str">
        <f>IF($C22="","",'Outturn ex VAT'!CH22*INDEX('Global Constants'!CA$45:CA$49,$H22))</f>
        <v/>
      </c>
      <c r="CI22" s="26" t="str">
        <f>IF($C22="","",'Outturn ex VAT'!CI22*INDEX('Global Constants'!CB$45:CB$49,$H22))</f>
        <v/>
      </c>
      <c r="CJ22" s="26" t="str">
        <f>IF($C22="","",'Outturn ex VAT'!CJ22*INDEX('Global Constants'!CC$45:CC$49,$H22))</f>
        <v/>
      </c>
      <c r="CK22" s="26" t="str">
        <f>IF($C22="","",'Outturn ex VAT'!CK22*INDEX('Global Constants'!CD$45:CD$49,$H22))</f>
        <v/>
      </c>
      <c r="CL22" s="26" t="str">
        <f>IF($C22="","",'Outturn ex VAT'!CL22*INDEX('Global Constants'!CE$45:CE$49,$H22))</f>
        <v/>
      </c>
      <c r="CM22" s="26" t="str">
        <f>IF($C22="","",'Outturn ex VAT'!CM22*INDEX('Global Constants'!CF$45:CF$49,$H22))</f>
        <v/>
      </c>
      <c r="CN22" s="26" t="str">
        <f>IF($C22="","",'Outturn ex VAT'!CN22*INDEX('Global Constants'!CG$45:CG$49,$H22))</f>
        <v/>
      </c>
      <c r="CO22" s="26" t="str">
        <f>IF($C22="","",'Outturn ex VAT'!CO22*INDEX('Global Constants'!CH$45:CH$49,$H22))</f>
        <v/>
      </c>
      <c r="CP22" s="26" t="str">
        <f>IF($C22="","",'Outturn ex VAT'!CP22*INDEX('Global Constants'!CI$45:CI$49,$H22))</f>
        <v/>
      </c>
      <c r="CQ22" s="26" t="str">
        <f>IF($C22="","",'Outturn ex VAT'!CQ22*INDEX('Global Constants'!CJ$45:CJ$49,$H22))</f>
        <v/>
      </c>
      <c r="CR22" s="26" t="str">
        <f>IF($C22="","",'Outturn ex VAT'!CR22*INDEX('Global Constants'!CK$45:CK$49,$H22))</f>
        <v/>
      </c>
      <c r="CS22" s="26" t="str">
        <f>IF($C22="","",'Outturn ex VAT'!CS22*INDEX('Global Constants'!CL$45:CL$49,$H22))</f>
        <v/>
      </c>
      <c r="CT22" s="26" t="str">
        <f>IF($C22="","",'Outturn ex VAT'!CT22*INDEX('Global Constants'!CM$45:CM$49,$H22))</f>
        <v/>
      </c>
      <c r="CU22" s="26" t="str">
        <f>IF($C22="","",'Outturn ex VAT'!CU22*INDEX('Global Constants'!CN$45:CN$49,$H22))</f>
        <v/>
      </c>
      <c r="CV22" s="26" t="str">
        <f>IF($C22="","",'Outturn ex VAT'!CV22*INDEX('Global Constants'!CO$45:CO$49,$H22))</f>
        <v/>
      </c>
      <c r="CW22" s="26" t="str">
        <f>IF($C22="","",'Outturn ex VAT'!CW22*INDEX('Global Constants'!CP$45:CP$49,$H22))</f>
        <v/>
      </c>
      <c r="CX22" s="26" t="str">
        <f>IF($C22="","",'Outturn ex VAT'!CX22*INDEX('Global Constants'!CQ$45:CQ$49,$H22))</f>
        <v/>
      </c>
      <c r="CZ22" s="26">
        <f t="shared" ca="1" si="1"/>
        <v>0</v>
      </c>
      <c r="DA22" s="26">
        <f t="shared" si="2"/>
        <v>0</v>
      </c>
    </row>
    <row r="23" spans="3:105" x14ac:dyDescent="0.3">
      <c r="C23" s="4" t="str">
        <f>IF('Cost &amp; Risk Inputs'!C24="","",'Cost &amp; Risk Inputs'!C24)</f>
        <v/>
      </c>
      <c r="D23" s="4" t="str">
        <f>IF(C23="","",'Cost &amp; Risk Inputs'!H24)</f>
        <v/>
      </c>
      <c r="E23" s="4" t="str">
        <f>IF(C23="","",'Cost &amp; Risk Inputs'!I24)</f>
        <v/>
      </c>
      <c r="F23" s="4" t="str">
        <f>IF(C23="","",'Cost &amp; Risk Inputs'!E24)</f>
        <v/>
      </c>
      <c r="H23" s="18" t="str">
        <f t="shared" si="0"/>
        <v/>
      </c>
      <c r="M23" s="26" t="str">
        <f>IF($C23="","",'Outturn ex VAT'!M23*INDEX('Global Constants'!F$45:F$49,$H23))</f>
        <v/>
      </c>
      <c r="N23" s="26" t="str">
        <f>IF($C23="","",'Outturn ex VAT'!N23*INDEX('Global Constants'!G$45:G$49,$H23))</f>
        <v/>
      </c>
      <c r="O23" s="26" t="str">
        <f>IF($C23="","",'Outturn ex VAT'!O23*INDEX('Global Constants'!H$45:H$49,$H23))</f>
        <v/>
      </c>
      <c r="P23" s="26" t="str">
        <f>IF($C23="","",'Outturn ex VAT'!P23*INDEX('Global Constants'!I$45:I$49,$H23))</f>
        <v/>
      </c>
      <c r="Q23" s="26" t="str">
        <f>IF($C23="","",'Outturn ex VAT'!Q23*INDEX('Global Constants'!J$45:J$49,$H23))</f>
        <v/>
      </c>
      <c r="R23" s="26" t="str">
        <f>IF($C23="","",'Outturn ex VAT'!R23*INDEX('Global Constants'!K$45:K$49,$H23))</f>
        <v/>
      </c>
      <c r="S23" s="26" t="str">
        <f>IF($C23="","",'Outturn ex VAT'!S23*INDEX('Global Constants'!L$45:L$49,$H23))</f>
        <v/>
      </c>
      <c r="T23" s="26" t="str">
        <f>IF($C23="","",'Outturn ex VAT'!T23*INDEX('Global Constants'!M$45:M$49,$H23))</f>
        <v/>
      </c>
      <c r="U23" s="26" t="str">
        <f>IF($C23="","",'Outturn ex VAT'!U23*INDEX('Global Constants'!N$45:N$49,$H23))</f>
        <v/>
      </c>
      <c r="V23" s="26" t="str">
        <f>IF($C23="","",'Outturn ex VAT'!V23*INDEX('Global Constants'!O$45:O$49,$H23))</f>
        <v/>
      </c>
      <c r="W23" s="26" t="str">
        <f>IF($C23="","",'Outturn ex VAT'!W23*INDEX('Global Constants'!P$45:P$49,$H23))</f>
        <v/>
      </c>
      <c r="X23" s="26" t="str">
        <f>IF($C23="","",'Outturn ex VAT'!X23*INDEX('Global Constants'!Q$45:Q$49,$H23))</f>
        <v/>
      </c>
      <c r="Y23" s="26" t="str">
        <f>IF($C23="","",'Outturn ex VAT'!Y23*INDEX('Global Constants'!R$45:R$49,$H23))</f>
        <v/>
      </c>
      <c r="Z23" s="26" t="str">
        <f>IF($C23="","",'Outturn ex VAT'!Z23*INDEX('Global Constants'!S$45:S$49,$H23))</f>
        <v/>
      </c>
      <c r="AA23" s="26" t="str">
        <f>IF($C23="","",'Outturn ex VAT'!AA23*INDEX('Global Constants'!T$45:T$49,$H23))</f>
        <v/>
      </c>
      <c r="AB23" s="26" t="str">
        <f>IF($C23="","",'Outturn ex VAT'!AB23*INDEX('Global Constants'!U$45:U$49,$H23))</f>
        <v/>
      </c>
      <c r="AC23" s="26" t="str">
        <f>IF($C23="","",'Outturn ex VAT'!AC23*INDEX('Global Constants'!V$45:V$49,$H23))</f>
        <v/>
      </c>
      <c r="AD23" s="26" t="str">
        <f>IF($C23="","",'Outturn ex VAT'!AD23*INDEX('Global Constants'!W$45:W$49,$H23))</f>
        <v/>
      </c>
      <c r="AE23" s="26" t="str">
        <f>IF($C23="","",'Outturn ex VAT'!AE23*INDEX('Global Constants'!X$45:X$49,$H23))</f>
        <v/>
      </c>
      <c r="AF23" s="26" t="str">
        <f>IF($C23="","",'Outturn ex VAT'!AF23*INDEX('Global Constants'!Y$45:Y$49,$H23))</f>
        <v/>
      </c>
      <c r="AG23" s="26" t="str">
        <f>IF($C23="","",'Outturn ex VAT'!AG23*INDEX('Global Constants'!Z$45:Z$49,$H23))</f>
        <v/>
      </c>
      <c r="AH23" s="26" t="str">
        <f>IF($C23="","",'Outturn ex VAT'!AH23*INDEX('Global Constants'!AA$45:AA$49,$H23))</f>
        <v/>
      </c>
      <c r="AI23" s="26" t="str">
        <f>IF($C23="","",'Outturn ex VAT'!AI23*INDEX('Global Constants'!AB$45:AB$49,$H23))</f>
        <v/>
      </c>
      <c r="AJ23" s="26" t="str">
        <f>IF($C23="","",'Outturn ex VAT'!AJ23*INDEX('Global Constants'!AC$45:AC$49,$H23))</f>
        <v/>
      </c>
      <c r="AK23" s="26" t="str">
        <f>IF($C23="","",'Outturn ex VAT'!AK23*INDEX('Global Constants'!AD$45:AD$49,$H23))</f>
        <v/>
      </c>
      <c r="AL23" s="26" t="str">
        <f>IF($C23="","",'Outturn ex VAT'!AL23*INDEX('Global Constants'!AE$45:AE$49,$H23))</f>
        <v/>
      </c>
      <c r="AM23" s="26" t="str">
        <f>IF($C23="","",'Outturn ex VAT'!AM23*INDEX('Global Constants'!AF$45:AF$49,$H23))</f>
        <v/>
      </c>
      <c r="AN23" s="26" t="str">
        <f>IF($C23="","",'Outturn ex VAT'!AN23*INDEX('Global Constants'!AG$45:AG$49,$H23))</f>
        <v/>
      </c>
      <c r="AO23" s="26" t="str">
        <f>IF($C23="","",'Outturn ex VAT'!AO23*INDEX('Global Constants'!AH$45:AH$49,$H23))</f>
        <v/>
      </c>
      <c r="AP23" s="26" t="str">
        <f>IF($C23="","",'Outturn ex VAT'!AP23*INDEX('Global Constants'!AI$45:AI$49,$H23))</f>
        <v/>
      </c>
      <c r="AQ23" s="26" t="str">
        <f>IF($C23="","",'Outturn ex VAT'!AQ23*INDEX('Global Constants'!AJ$45:AJ$49,$H23))</f>
        <v/>
      </c>
      <c r="AR23" s="26" t="str">
        <f>IF($C23="","",'Outturn ex VAT'!AR23*INDEX('Global Constants'!AK$45:AK$49,$H23))</f>
        <v/>
      </c>
      <c r="AS23" s="26" t="str">
        <f>IF($C23="","",'Outturn ex VAT'!AS23*INDEX('Global Constants'!AL$45:AL$49,$H23))</f>
        <v/>
      </c>
      <c r="AT23" s="26" t="str">
        <f>IF($C23="","",'Outturn ex VAT'!AT23*INDEX('Global Constants'!AM$45:AM$49,$H23))</f>
        <v/>
      </c>
      <c r="AU23" s="26" t="str">
        <f>IF($C23="","",'Outturn ex VAT'!AU23*INDEX('Global Constants'!AN$45:AN$49,$H23))</f>
        <v/>
      </c>
      <c r="AV23" s="26" t="str">
        <f>IF($C23="","",'Outturn ex VAT'!AV23*INDEX('Global Constants'!AO$45:AO$49,$H23))</f>
        <v/>
      </c>
      <c r="AW23" s="26" t="str">
        <f>IF($C23="","",'Outturn ex VAT'!AW23*INDEX('Global Constants'!AP$45:AP$49,$H23))</f>
        <v/>
      </c>
      <c r="AX23" s="26" t="str">
        <f>IF($C23="","",'Outturn ex VAT'!AX23*INDEX('Global Constants'!AQ$45:AQ$49,$H23))</f>
        <v/>
      </c>
      <c r="AY23" s="26" t="str">
        <f>IF($C23="","",'Outturn ex VAT'!AY23*INDEX('Global Constants'!AR$45:AR$49,$H23))</f>
        <v/>
      </c>
      <c r="AZ23" s="26" t="str">
        <f>IF($C23="","",'Outturn ex VAT'!AZ23*INDEX('Global Constants'!AS$45:AS$49,$H23))</f>
        <v/>
      </c>
      <c r="BA23" s="26" t="str">
        <f>IF($C23="","",'Outturn ex VAT'!BA23*INDEX('Global Constants'!AT$45:AT$49,$H23))</f>
        <v/>
      </c>
      <c r="BB23" s="26" t="str">
        <f>IF($C23="","",'Outturn ex VAT'!BB23*INDEX('Global Constants'!AU$45:AU$49,$H23))</f>
        <v/>
      </c>
      <c r="BC23" s="26" t="str">
        <f>IF($C23="","",'Outturn ex VAT'!BC23*INDEX('Global Constants'!AV$45:AV$49,$H23))</f>
        <v/>
      </c>
      <c r="BD23" s="26" t="str">
        <f>IF($C23="","",'Outturn ex VAT'!BD23*INDEX('Global Constants'!AW$45:AW$49,$H23))</f>
        <v/>
      </c>
      <c r="BE23" s="26" t="str">
        <f>IF($C23="","",'Outturn ex VAT'!BE23*INDEX('Global Constants'!AX$45:AX$49,$H23))</f>
        <v/>
      </c>
      <c r="BF23" s="26" t="str">
        <f>IF($C23="","",'Outturn ex VAT'!BF23*INDEX('Global Constants'!AY$45:AY$49,$H23))</f>
        <v/>
      </c>
      <c r="BG23" s="26" t="str">
        <f>IF($C23="","",'Outturn ex VAT'!BG23*INDEX('Global Constants'!AZ$45:AZ$49,$H23))</f>
        <v/>
      </c>
      <c r="BH23" s="26" t="str">
        <f>IF($C23="","",'Outturn ex VAT'!BH23*INDEX('Global Constants'!BA$45:BA$49,$H23))</f>
        <v/>
      </c>
      <c r="BI23" s="26" t="str">
        <f>IF($C23="","",'Outturn ex VAT'!BI23*INDEX('Global Constants'!BB$45:BB$49,$H23))</f>
        <v/>
      </c>
      <c r="BJ23" s="26" t="str">
        <f>IF($C23="","",'Outturn ex VAT'!BJ23*INDEX('Global Constants'!BC$45:BC$49,$H23))</f>
        <v/>
      </c>
      <c r="BK23" s="26" t="str">
        <f>IF($C23="","",'Outturn ex VAT'!BK23*INDEX('Global Constants'!BD$45:BD$49,$H23))</f>
        <v/>
      </c>
      <c r="BL23" s="26" t="str">
        <f>IF($C23="","",'Outturn ex VAT'!BL23*INDEX('Global Constants'!BE$45:BE$49,$H23))</f>
        <v/>
      </c>
      <c r="BM23" s="26" t="str">
        <f>IF($C23="","",'Outturn ex VAT'!BM23*INDEX('Global Constants'!BF$45:BF$49,$H23))</f>
        <v/>
      </c>
      <c r="BN23" s="26" t="str">
        <f>IF($C23="","",'Outturn ex VAT'!BN23*INDEX('Global Constants'!BG$45:BG$49,$H23))</f>
        <v/>
      </c>
      <c r="BO23" s="26" t="str">
        <f>IF($C23="","",'Outturn ex VAT'!BO23*INDEX('Global Constants'!BH$45:BH$49,$H23))</f>
        <v/>
      </c>
      <c r="BP23" s="26" t="str">
        <f>IF($C23="","",'Outturn ex VAT'!BP23*INDEX('Global Constants'!BI$45:BI$49,$H23))</f>
        <v/>
      </c>
      <c r="BQ23" s="26" t="str">
        <f>IF($C23="","",'Outturn ex VAT'!BQ23*INDEX('Global Constants'!BJ$45:BJ$49,$H23))</f>
        <v/>
      </c>
      <c r="BR23" s="26" t="str">
        <f>IF($C23="","",'Outturn ex VAT'!BR23*INDEX('Global Constants'!BK$45:BK$49,$H23))</f>
        <v/>
      </c>
      <c r="BS23" s="26" t="str">
        <f>IF($C23="","",'Outturn ex VAT'!BS23*INDEX('Global Constants'!BL$45:BL$49,$H23))</f>
        <v/>
      </c>
      <c r="BT23" s="26" t="str">
        <f>IF($C23="","",'Outturn ex VAT'!BT23*INDEX('Global Constants'!BM$45:BM$49,$H23))</f>
        <v/>
      </c>
      <c r="BU23" s="26" t="str">
        <f>IF($C23="","",'Outturn ex VAT'!BU23*INDEX('Global Constants'!BN$45:BN$49,$H23))</f>
        <v/>
      </c>
      <c r="BV23" s="26" t="str">
        <f>IF($C23="","",'Outturn ex VAT'!BV23*INDEX('Global Constants'!BO$45:BO$49,$H23))</f>
        <v/>
      </c>
      <c r="BW23" s="26" t="str">
        <f>IF($C23="","",'Outturn ex VAT'!BW23*INDEX('Global Constants'!BP$45:BP$49,$H23))</f>
        <v/>
      </c>
      <c r="BX23" s="26" t="str">
        <f>IF($C23="","",'Outturn ex VAT'!BX23*INDEX('Global Constants'!BQ$45:BQ$49,$H23))</f>
        <v/>
      </c>
      <c r="BY23" s="26" t="str">
        <f>IF($C23="","",'Outturn ex VAT'!BY23*INDEX('Global Constants'!BR$45:BR$49,$H23))</f>
        <v/>
      </c>
      <c r="BZ23" s="26" t="str">
        <f>IF($C23="","",'Outturn ex VAT'!BZ23*INDEX('Global Constants'!BS$45:BS$49,$H23))</f>
        <v/>
      </c>
      <c r="CA23" s="26" t="str">
        <f>IF($C23="","",'Outturn ex VAT'!CA23*INDEX('Global Constants'!BT$45:BT$49,$H23))</f>
        <v/>
      </c>
      <c r="CB23" s="26" t="str">
        <f>IF($C23="","",'Outturn ex VAT'!CB23*INDEX('Global Constants'!BU$45:BU$49,$H23))</f>
        <v/>
      </c>
      <c r="CC23" s="26" t="str">
        <f>IF($C23="","",'Outturn ex VAT'!CC23*INDEX('Global Constants'!BV$45:BV$49,$H23))</f>
        <v/>
      </c>
      <c r="CD23" s="26" t="str">
        <f>IF($C23="","",'Outturn ex VAT'!CD23*INDEX('Global Constants'!BW$45:BW$49,$H23))</f>
        <v/>
      </c>
      <c r="CE23" s="26" t="str">
        <f>IF($C23="","",'Outturn ex VAT'!CE23*INDEX('Global Constants'!BX$45:BX$49,$H23))</f>
        <v/>
      </c>
      <c r="CF23" s="26" t="str">
        <f>IF($C23="","",'Outturn ex VAT'!CF23*INDEX('Global Constants'!BY$45:BY$49,$H23))</f>
        <v/>
      </c>
      <c r="CG23" s="26" t="str">
        <f>IF($C23="","",'Outturn ex VAT'!CG23*INDEX('Global Constants'!BZ$45:BZ$49,$H23))</f>
        <v/>
      </c>
      <c r="CH23" s="26" t="str">
        <f>IF($C23="","",'Outturn ex VAT'!CH23*INDEX('Global Constants'!CA$45:CA$49,$H23))</f>
        <v/>
      </c>
      <c r="CI23" s="26" t="str">
        <f>IF($C23="","",'Outturn ex VAT'!CI23*INDEX('Global Constants'!CB$45:CB$49,$H23))</f>
        <v/>
      </c>
      <c r="CJ23" s="26" t="str">
        <f>IF($C23="","",'Outturn ex VAT'!CJ23*INDEX('Global Constants'!CC$45:CC$49,$H23))</f>
        <v/>
      </c>
      <c r="CK23" s="26" t="str">
        <f>IF($C23="","",'Outturn ex VAT'!CK23*INDEX('Global Constants'!CD$45:CD$49,$H23))</f>
        <v/>
      </c>
      <c r="CL23" s="26" t="str">
        <f>IF($C23="","",'Outturn ex VAT'!CL23*INDEX('Global Constants'!CE$45:CE$49,$H23))</f>
        <v/>
      </c>
      <c r="CM23" s="26" t="str">
        <f>IF($C23="","",'Outturn ex VAT'!CM23*INDEX('Global Constants'!CF$45:CF$49,$H23))</f>
        <v/>
      </c>
      <c r="CN23" s="26" t="str">
        <f>IF($C23="","",'Outturn ex VAT'!CN23*INDEX('Global Constants'!CG$45:CG$49,$H23))</f>
        <v/>
      </c>
      <c r="CO23" s="26" t="str">
        <f>IF($C23="","",'Outturn ex VAT'!CO23*INDEX('Global Constants'!CH$45:CH$49,$H23))</f>
        <v/>
      </c>
      <c r="CP23" s="26" t="str">
        <f>IF($C23="","",'Outturn ex VAT'!CP23*INDEX('Global Constants'!CI$45:CI$49,$H23))</f>
        <v/>
      </c>
      <c r="CQ23" s="26" t="str">
        <f>IF($C23="","",'Outturn ex VAT'!CQ23*INDEX('Global Constants'!CJ$45:CJ$49,$H23))</f>
        <v/>
      </c>
      <c r="CR23" s="26" t="str">
        <f>IF($C23="","",'Outturn ex VAT'!CR23*INDEX('Global Constants'!CK$45:CK$49,$H23))</f>
        <v/>
      </c>
      <c r="CS23" s="26" t="str">
        <f>IF($C23="","",'Outturn ex VAT'!CS23*INDEX('Global Constants'!CL$45:CL$49,$H23))</f>
        <v/>
      </c>
      <c r="CT23" s="26" t="str">
        <f>IF($C23="","",'Outturn ex VAT'!CT23*INDEX('Global Constants'!CM$45:CM$49,$H23))</f>
        <v/>
      </c>
      <c r="CU23" s="26" t="str">
        <f>IF($C23="","",'Outturn ex VAT'!CU23*INDEX('Global Constants'!CN$45:CN$49,$H23))</f>
        <v/>
      </c>
      <c r="CV23" s="26" t="str">
        <f>IF($C23="","",'Outturn ex VAT'!CV23*INDEX('Global Constants'!CO$45:CO$49,$H23))</f>
        <v/>
      </c>
      <c r="CW23" s="26" t="str">
        <f>IF($C23="","",'Outturn ex VAT'!CW23*INDEX('Global Constants'!CP$45:CP$49,$H23))</f>
        <v/>
      </c>
      <c r="CX23" s="26" t="str">
        <f>IF($C23="","",'Outturn ex VAT'!CX23*INDEX('Global Constants'!CQ$45:CQ$49,$H23))</f>
        <v/>
      </c>
      <c r="CZ23" s="26">
        <f t="shared" ca="1" si="1"/>
        <v>0</v>
      </c>
      <c r="DA23" s="26">
        <f t="shared" si="2"/>
        <v>0</v>
      </c>
    </row>
    <row r="24" spans="3:105" x14ac:dyDescent="0.3">
      <c r="C24" s="4" t="str">
        <f>IF('Cost &amp; Risk Inputs'!C25="","",'Cost &amp; Risk Inputs'!C25)</f>
        <v/>
      </c>
      <c r="D24" s="4" t="str">
        <f>IF(C24="","",'Cost &amp; Risk Inputs'!H25)</f>
        <v/>
      </c>
      <c r="E24" s="4" t="str">
        <f>IF(C24="","",'Cost &amp; Risk Inputs'!I25)</f>
        <v/>
      </c>
      <c r="F24" s="4" t="str">
        <f>IF(C24="","",'Cost &amp; Risk Inputs'!E25)</f>
        <v/>
      </c>
      <c r="H24" s="18" t="str">
        <f t="shared" si="0"/>
        <v/>
      </c>
      <c r="M24" s="26" t="str">
        <f>IF($C24="","",'Outturn ex VAT'!M24*INDEX('Global Constants'!F$45:F$49,$H24))</f>
        <v/>
      </c>
      <c r="N24" s="26" t="str">
        <f>IF($C24="","",'Outturn ex VAT'!N24*INDEX('Global Constants'!G$45:G$49,$H24))</f>
        <v/>
      </c>
      <c r="O24" s="26" t="str">
        <f>IF($C24="","",'Outturn ex VAT'!O24*INDEX('Global Constants'!H$45:H$49,$H24))</f>
        <v/>
      </c>
      <c r="P24" s="26" t="str">
        <f>IF($C24="","",'Outturn ex VAT'!P24*INDEX('Global Constants'!I$45:I$49,$H24))</f>
        <v/>
      </c>
      <c r="Q24" s="26" t="str">
        <f>IF($C24="","",'Outturn ex VAT'!Q24*INDEX('Global Constants'!J$45:J$49,$H24))</f>
        <v/>
      </c>
      <c r="R24" s="26" t="str">
        <f>IF($C24="","",'Outturn ex VAT'!R24*INDEX('Global Constants'!K$45:K$49,$H24))</f>
        <v/>
      </c>
      <c r="S24" s="26" t="str">
        <f>IF($C24="","",'Outturn ex VAT'!S24*INDEX('Global Constants'!L$45:L$49,$H24))</f>
        <v/>
      </c>
      <c r="T24" s="26" t="str">
        <f>IF($C24="","",'Outturn ex VAT'!T24*INDEX('Global Constants'!M$45:M$49,$H24))</f>
        <v/>
      </c>
      <c r="U24" s="26" t="str">
        <f>IF($C24="","",'Outturn ex VAT'!U24*INDEX('Global Constants'!N$45:N$49,$H24))</f>
        <v/>
      </c>
      <c r="V24" s="26" t="str">
        <f>IF($C24="","",'Outturn ex VAT'!V24*INDEX('Global Constants'!O$45:O$49,$H24))</f>
        <v/>
      </c>
      <c r="W24" s="26" t="str">
        <f>IF($C24="","",'Outturn ex VAT'!W24*INDEX('Global Constants'!P$45:P$49,$H24))</f>
        <v/>
      </c>
      <c r="X24" s="26" t="str">
        <f>IF($C24="","",'Outturn ex VAT'!X24*INDEX('Global Constants'!Q$45:Q$49,$H24))</f>
        <v/>
      </c>
      <c r="Y24" s="26" t="str">
        <f>IF($C24="","",'Outturn ex VAT'!Y24*INDEX('Global Constants'!R$45:R$49,$H24))</f>
        <v/>
      </c>
      <c r="Z24" s="26" t="str">
        <f>IF($C24="","",'Outturn ex VAT'!Z24*INDEX('Global Constants'!S$45:S$49,$H24))</f>
        <v/>
      </c>
      <c r="AA24" s="26" t="str">
        <f>IF($C24="","",'Outturn ex VAT'!AA24*INDEX('Global Constants'!T$45:T$49,$H24))</f>
        <v/>
      </c>
      <c r="AB24" s="26" t="str">
        <f>IF($C24="","",'Outturn ex VAT'!AB24*INDEX('Global Constants'!U$45:U$49,$H24))</f>
        <v/>
      </c>
      <c r="AC24" s="26" t="str">
        <f>IF($C24="","",'Outturn ex VAT'!AC24*INDEX('Global Constants'!V$45:V$49,$H24))</f>
        <v/>
      </c>
      <c r="AD24" s="26" t="str">
        <f>IF($C24="","",'Outturn ex VAT'!AD24*INDEX('Global Constants'!W$45:W$49,$H24))</f>
        <v/>
      </c>
      <c r="AE24" s="26" t="str">
        <f>IF($C24="","",'Outturn ex VAT'!AE24*INDEX('Global Constants'!X$45:X$49,$H24))</f>
        <v/>
      </c>
      <c r="AF24" s="26" t="str">
        <f>IF($C24="","",'Outturn ex VAT'!AF24*INDEX('Global Constants'!Y$45:Y$49,$H24))</f>
        <v/>
      </c>
      <c r="AG24" s="26" t="str">
        <f>IF($C24="","",'Outturn ex VAT'!AG24*INDEX('Global Constants'!Z$45:Z$49,$H24))</f>
        <v/>
      </c>
      <c r="AH24" s="26" t="str">
        <f>IF($C24="","",'Outturn ex VAT'!AH24*INDEX('Global Constants'!AA$45:AA$49,$H24))</f>
        <v/>
      </c>
      <c r="AI24" s="26" t="str">
        <f>IF($C24="","",'Outturn ex VAT'!AI24*INDEX('Global Constants'!AB$45:AB$49,$H24))</f>
        <v/>
      </c>
      <c r="AJ24" s="26" t="str">
        <f>IF($C24="","",'Outturn ex VAT'!AJ24*INDEX('Global Constants'!AC$45:AC$49,$H24))</f>
        <v/>
      </c>
      <c r="AK24" s="26" t="str">
        <f>IF($C24="","",'Outturn ex VAT'!AK24*INDEX('Global Constants'!AD$45:AD$49,$H24))</f>
        <v/>
      </c>
      <c r="AL24" s="26" t="str">
        <f>IF($C24="","",'Outturn ex VAT'!AL24*INDEX('Global Constants'!AE$45:AE$49,$H24))</f>
        <v/>
      </c>
      <c r="AM24" s="26" t="str">
        <f>IF($C24="","",'Outturn ex VAT'!AM24*INDEX('Global Constants'!AF$45:AF$49,$H24))</f>
        <v/>
      </c>
      <c r="AN24" s="26" t="str">
        <f>IF($C24="","",'Outturn ex VAT'!AN24*INDEX('Global Constants'!AG$45:AG$49,$H24))</f>
        <v/>
      </c>
      <c r="AO24" s="26" t="str">
        <f>IF($C24="","",'Outturn ex VAT'!AO24*INDEX('Global Constants'!AH$45:AH$49,$H24))</f>
        <v/>
      </c>
      <c r="AP24" s="26" t="str">
        <f>IF($C24="","",'Outturn ex VAT'!AP24*INDEX('Global Constants'!AI$45:AI$49,$H24))</f>
        <v/>
      </c>
      <c r="AQ24" s="26" t="str">
        <f>IF($C24="","",'Outturn ex VAT'!AQ24*INDEX('Global Constants'!AJ$45:AJ$49,$H24))</f>
        <v/>
      </c>
      <c r="AR24" s="26" t="str">
        <f>IF($C24="","",'Outturn ex VAT'!AR24*INDEX('Global Constants'!AK$45:AK$49,$H24))</f>
        <v/>
      </c>
      <c r="AS24" s="26" t="str">
        <f>IF($C24="","",'Outturn ex VAT'!AS24*INDEX('Global Constants'!AL$45:AL$49,$H24))</f>
        <v/>
      </c>
      <c r="AT24" s="26" t="str">
        <f>IF($C24="","",'Outturn ex VAT'!AT24*INDEX('Global Constants'!AM$45:AM$49,$H24))</f>
        <v/>
      </c>
      <c r="AU24" s="26" t="str">
        <f>IF($C24="","",'Outturn ex VAT'!AU24*INDEX('Global Constants'!AN$45:AN$49,$H24))</f>
        <v/>
      </c>
      <c r="AV24" s="26" t="str">
        <f>IF($C24="","",'Outturn ex VAT'!AV24*INDEX('Global Constants'!AO$45:AO$49,$H24))</f>
        <v/>
      </c>
      <c r="AW24" s="26" t="str">
        <f>IF($C24="","",'Outturn ex VAT'!AW24*INDEX('Global Constants'!AP$45:AP$49,$H24))</f>
        <v/>
      </c>
      <c r="AX24" s="26" t="str">
        <f>IF($C24="","",'Outturn ex VAT'!AX24*INDEX('Global Constants'!AQ$45:AQ$49,$H24))</f>
        <v/>
      </c>
      <c r="AY24" s="26" t="str">
        <f>IF($C24="","",'Outturn ex VAT'!AY24*INDEX('Global Constants'!AR$45:AR$49,$H24))</f>
        <v/>
      </c>
      <c r="AZ24" s="26" t="str">
        <f>IF($C24="","",'Outturn ex VAT'!AZ24*INDEX('Global Constants'!AS$45:AS$49,$H24))</f>
        <v/>
      </c>
      <c r="BA24" s="26" t="str">
        <f>IF($C24="","",'Outturn ex VAT'!BA24*INDEX('Global Constants'!AT$45:AT$49,$H24))</f>
        <v/>
      </c>
      <c r="BB24" s="26" t="str">
        <f>IF($C24="","",'Outturn ex VAT'!BB24*INDEX('Global Constants'!AU$45:AU$49,$H24))</f>
        <v/>
      </c>
      <c r="BC24" s="26" t="str">
        <f>IF($C24="","",'Outturn ex VAT'!BC24*INDEX('Global Constants'!AV$45:AV$49,$H24))</f>
        <v/>
      </c>
      <c r="BD24" s="26" t="str">
        <f>IF($C24="","",'Outturn ex VAT'!BD24*INDEX('Global Constants'!AW$45:AW$49,$H24))</f>
        <v/>
      </c>
      <c r="BE24" s="26" t="str">
        <f>IF($C24="","",'Outturn ex VAT'!BE24*INDEX('Global Constants'!AX$45:AX$49,$H24))</f>
        <v/>
      </c>
      <c r="BF24" s="26" t="str">
        <f>IF($C24="","",'Outturn ex VAT'!BF24*INDEX('Global Constants'!AY$45:AY$49,$H24))</f>
        <v/>
      </c>
      <c r="BG24" s="26" t="str">
        <f>IF($C24="","",'Outturn ex VAT'!BG24*INDEX('Global Constants'!AZ$45:AZ$49,$H24))</f>
        <v/>
      </c>
      <c r="BH24" s="26" t="str">
        <f>IF($C24="","",'Outturn ex VAT'!BH24*INDEX('Global Constants'!BA$45:BA$49,$H24))</f>
        <v/>
      </c>
      <c r="BI24" s="26" t="str">
        <f>IF($C24="","",'Outturn ex VAT'!BI24*INDEX('Global Constants'!BB$45:BB$49,$H24))</f>
        <v/>
      </c>
      <c r="BJ24" s="26" t="str">
        <f>IF($C24="","",'Outturn ex VAT'!BJ24*INDEX('Global Constants'!BC$45:BC$49,$H24))</f>
        <v/>
      </c>
      <c r="BK24" s="26" t="str">
        <f>IF($C24="","",'Outturn ex VAT'!BK24*INDEX('Global Constants'!BD$45:BD$49,$H24))</f>
        <v/>
      </c>
      <c r="BL24" s="26" t="str">
        <f>IF($C24="","",'Outturn ex VAT'!BL24*INDEX('Global Constants'!BE$45:BE$49,$H24))</f>
        <v/>
      </c>
      <c r="BM24" s="26" t="str">
        <f>IF($C24="","",'Outturn ex VAT'!BM24*INDEX('Global Constants'!BF$45:BF$49,$H24))</f>
        <v/>
      </c>
      <c r="BN24" s="26" t="str">
        <f>IF($C24="","",'Outturn ex VAT'!BN24*INDEX('Global Constants'!BG$45:BG$49,$H24))</f>
        <v/>
      </c>
      <c r="BO24" s="26" t="str">
        <f>IF($C24="","",'Outturn ex VAT'!BO24*INDEX('Global Constants'!BH$45:BH$49,$H24))</f>
        <v/>
      </c>
      <c r="BP24" s="26" t="str">
        <f>IF($C24="","",'Outturn ex VAT'!BP24*INDEX('Global Constants'!BI$45:BI$49,$H24))</f>
        <v/>
      </c>
      <c r="BQ24" s="26" t="str">
        <f>IF($C24="","",'Outturn ex VAT'!BQ24*INDEX('Global Constants'!BJ$45:BJ$49,$H24))</f>
        <v/>
      </c>
      <c r="BR24" s="26" t="str">
        <f>IF($C24="","",'Outturn ex VAT'!BR24*INDEX('Global Constants'!BK$45:BK$49,$H24))</f>
        <v/>
      </c>
      <c r="BS24" s="26" t="str">
        <f>IF($C24="","",'Outturn ex VAT'!BS24*INDEX('Global Constants'!BL$45:BL$49,$H24))</f>
        <v/>
      </c>
      <c r="BT24" s="26" t="str">
        <f>IF($C24="","",'Outturn ex VAT'!BT24*INDEX('Global Constants'!BM$45:BM$49,$H24))</f>
        <v/>
      </c>
      <c r="BU24" s="26" t="str">
        <f>IF($C24="","",'Outturn ex VAT'!BU24*INDEX('Global Constants'!BN$45:BN$49,$H24))</f>
        <v/>
      </c>
      <c r="BV24" s="26" t="str">
        <f>IF($C24="","",'Outturn ex VAT'!BV24*INDEX('Global Constants'!BO$45:BO$49,$H24))</f>
        <v/>
      </c>
      <c r="BW24" s="26" t="str">
        <f>IF($C24="","",'Outturn ex VAT'!BW24*INDEX('Global Constants'!BP$45:BP$49,$H24))</f>
        <v/>
      </c>
      <c r="BX24" s="26" t="str">
        <f>IF($C24="","",'Outturn ex VAT'!BX24*INDEX('Global Constants'!BQ$45:BQ$49,$H24))</f>
        <v/>
      </c>
      <c r="BY24" s="26" t="str">
        <f>IF($C24="","",'Outturn ex VAT'!BY24*INDEX('Global Constants'!BR$45:BR$49,$H24))</f>
        <v/>
      </c>
      <c r="BZ24" s="26" t="str">
        <f>IF($C24="","",'Outturn ex VAT'!BZ24*INDEX('Global Constants'!BS$45:BS$49,$H24))</f>
        <v/>
      </c>
      <c r="CA24" s="26" t="str">
        <f>IF($C24="","",'Outturn ex VAT'!CA24*INDEX('Global Constants'!BT$45:BT$49,$H24))</f>
        <v/>
      </c>
      <c r="CB24" s="26" t="str">
        <f>IF($C24="","",'Outturn ex VAT'!CB24*INDEX('Global Constants'!BU$45:BU$49,$H24))</f>
        <v/>
      </c>
      <c r="CC24" s="26" t="str">
        <f>IF($C24="","",'Outturn ex VAT'!CC24*INDEX('Global Constants'!BV$45:BV$49,$H24))</f>
        <v/>
      </c>
      <c r="CD24" s="26" t="str">
        <f>IF($C24="","",'Outturn ex VAT'!CD24*INDEX('Global Constants'!BW$45:BW$49,$H24))</f>
        <v/>
      </c>
      <c r="CE24" s="26" t="str">
        <f>IF($C24="","",'Outturn ex VAT'!CE24*INDEX('Global Constants'!BX$45:BX$49,$H24))</f>
        <v/>
      </c>
      <c r="CF24" s="26" t="str">
        <f>IF($C24="","",'Outturn ex VAT'!CF24*INDEX('Global Constants'!BY$45:BY$49,$H24))</f>
        <v/>
      </c>
      <c r="CG24" s="26" t="str">
        <f>IF($C24="","",'Outturn ex VAT'!CG24*INDEX('Global Constants'!BZ$45:BZ$49,$H24))</f>
        <v/>
      </c>
      <c r="CH24" s="26" t="str">
        <f>IF($C24="","",'Outturn ex VAT'!CH24*INDEX('Global Constants'!CA$45:CA$49,$H24))</f>
        <v/>
      </c>
      <c r="CI24" s="26" t="str">
        <f>IF($C24="","",'Outturn ex VAT'!CI24*INDEX('Global Constants'!CB$45:CB$49,$H24))</f>
        <v/>
      </c>
      <c r="CJ24" s="26" t="str">
        <f>IF($C24="","",'Outturn ex VAT'!CJ24*INDEX('Global Constants'!CC$45:CC$49,$H24))</f>
        <v/>
      </c>
      <c r="CK24" s="26" t="str">
        <f>IF($C24="","",'Outturn ex VAT'!CK24*INDEX('Global Constants'!CD$45:CD$49,$H24))</f>
        <v/>
      </c>
      <c r="CL24" s="26" t="str">
        <f>IF($C24="","",'Outturn ex VAT'!CL24*INDEX('Global Constants'!CE$45:CE$49,$H24))</f>
        <v/>
      </c>
      <c r="CM24" s="26" t="str">
        <f>IF($C24="","",'Outturn ex VAT'!CM24*INDEX('Global Constants'!CF$45:CF$49,$H24))</f>
        <v/>
      </c>
      <c r="CN24" s="26" t="str">
        <f>IF($C24="","",'Outturn ex VAT'!CN24*INDEX('Global Constants'!CG$45:CG$49,$H24))</f>
        <v/>
      </c>
      <c r="CO24" s="26" t="str">
        <f>IF($C24="","",'Outturn ex VAT'!CO24*INDEX('Global Constants'!CH$45:CH$49,$H24))</f>
        <v/>
      </c>
      <c r="CP24" s="26" t="str">
        <f>IF($C24="","",'Outturn ex VAT'!CP24*INDEX('Global Constants'!CI$45:CI$49,$H24))</f>
        <v/>
      </c>
      <c r="CQ24" s="26" t="str">
        <f>IF($C24="","",'Outturn ex VAT'!CQ24*INDEX('Global Constants'!CJ$45:CJ$49,$H24))</f>
        <v/>
      </c>
      <c r="CR24" s="26" t="str">
        <f>IF($C24="","",'Outturn ex VAT'!CR24*INDEX('Global Constants'!CK$45:CK$49,$H24))</f>
        <v/>
      </c>
      <c r="CS24" s="26" t="str">
        <f>IF($C24="","",'Outturn ex VAT'!CS24*INDEX('Global Constants'!CL$45:CL$49,$H24))</f>
        <v/>
      </c>
      <c r="CT24" s="26" t="str">
        <f>IF($C24="","",'Outturn ex VAT'!CT24*INDEX('Global Constants'!CM$45:CM$49,$H24))</f>
        <v/>
      </c>
      <c r="CU24" s="26" t="str">
        <f>IF($C24="","",'Outturn ex VAT'!CU24*INDEX('Global Constants'!CN$45:CN$49,$H24))</f>
        <v/>
      </c>
      <c r="CV24" s="26" t="str">
        <f>IF($C24="","",'Outturn ex VAT'!CV24*INDEX('Global Constants'!CO$45:CO$49,$H24))</f>
        <v/>
      </c>
      <c r="CW24" s="26" t="str">
        <f>IF($C24="","",'Outturn ex VAT'!CW24*INDEX('Global Constants'!CP$45:CP$49,$H24))</f>
        <v/>
      </c>
      <c r="CX24" s="26" t="str">
        <f>IF($C24="","",'Outturn ex VAT'!CX24*INDEX('Global Constants'!CQ$45:CQ$49,$H24))</f>
        <v/>
      </c>
      <c r="CZ24" s="26">
        <f t="shared" ca="1" si="1"/>
        <v>0</v>
      </c>
      <c r="DA24" s="26">
        <f t="shared" si="2"/>
        <v>0</v>
      </c>
    </row>
    <row r="25" spans="3:105" x14ac:dyDescent="0.3">
      <c r="C25" s="4" t="str">
        <f>IF('Cost &amp; Risk Inputs'!C26="","",'Cost &amp; Risk Inputs'!C26)</f>
        <v/>
      </c>
      <c r="D25" s="4" t="str">
        <f>IF(C25="","",'Cost &amp; Risk Inputs'!H26)</f>
        <v/>
      </c>
      <c r="E25" s="4" t="str">
        <f>IF(C25="","",'Cost &amp; Risk Inputs'!I26)</f>
        <v/>
      </c>
      <c r="F25" s="4" t="str">
        <f>IF(C25="","",'Cost &amp; Risk Inputs'!E26)</f>
        <v/>
      </c>
      <c r="H25" s="18" t="str">
        <f t="shared" si="0"/>
        <v/>
      </c>
      <c r="M25" s="26" t="str">
        <f>IF($C25="","",'Outturn ex VAT'!M25*INDEX('Global Constants'!F$45:F$49,$H25))</f>
        <v/>
      </c>
      <c r="N25" s="26" t="str">
        <f>IF($C25="","",'Outturn ex VAT'!N25*INDEX('Global Constants'!G$45:G$49,$H25))</f>
        <v/>
      </c>
      <c r="O25" s="26" t="str">
        <f>IF($C25="","",'Outturn ex VAT'!O25*INDEX('Global Constants'!H$45:H$49,$H25))</f>
        <v/>
      </c>
      <c r="P25" s="26" t="str">
        <f>IF($C25="","",'Outturn ex VAT'!P25*INDEX('Global Constants'!I$45:I$49,$H25))</f>
        <v/>
      </c>
      <c r="Q25" s="26" t="str">
        <f>IF($C25="","",'Outturn ex VAT'!Q25*INDEX('Global Constants'!J$45:J$49,$H25))</f>
        <v/>
      </c>
      <c r="R25" s="26" t="str">
        <f>IF($C25="","",'Outturn ex VAT'!R25*INDEX('Global Constants'!K$45:K$49,$H25))</f>
        <v/>
      </c>
      <c r="S25" s="26" t="str">
        <f>IF($C25="","",'Outturn ex VAT'!S25*INDEX('Global Constants'!L$45:L$49,$H25))</f>
        <v/>
      </c>
      <c r="T25" s="26" t="str">
        <f>IF($C25="","",'Outturn ex VAT'!T25*INDEX('Global Constants'!M$45:M$49,$H25))</f>
        <v/>
      </c>
      <c r="U25" s="26" t="str">
        <f>IF($C25="","",'Outturn ex VAT'!U25*INDEX('Global Constants'!N$45:N$49,$H25))</f>
        <v/>
      </c>
      <c r="V25" s="26" t="str">
        <f>IF($C25="","",'Outturn ex VAT'!V25*INDEX('Global Constants'!O$45:O$49,$H25))</f>
        <v/>
      </c>
      <c r="W25" s="26" t="str">
        <f>IF($C25="","",'Outturn ex VAT'!W25*INDEX('Global Constants'!P$45:P$49,$H25))</f>
        <v/>
      </c>
      <c r="X25" s="26" t="str">
        <f>IF($C25="","",'Outturn ex VAT'!X25*INDEX('Global Constants'!Q$45:Q$49,$H25))</f>
        <v/>
      </c>
      <c r="Y25" s="26" t="str">
        <f>IF($C25="","",'Outturn ex VAT'!Y25*INDEX('Global Constants'!R$45:R$49,$H25))</f>
        <v/>
      </c>
      <c r="Z25" s="26" t="str">
        <f>IF($C25="","",'Outturn ex VAT'!Z25*INDEX('Global Constants'!S$45:S$49,$H25))</f>
        <v/>
      </c>
      <c r="AA25" s="26" t="str">
        <f>IF($C25="","",'Outturn ex VAT'!AA25*INDEX('Global Constants'!T$45:T$49,$H25))</f>
        <v/>
      </c>
      <c r="AB25" s="26" t="str">
        <f>IF($C25="","",'Outturn ex VAT'!AB25*INDEX('Global Constants'!U$45:U$49,$H25))</f>
        <v/>
      </c>
      <c r="AC25" s="26" t="str">
        <f>IF($C25="","",'Outturn ex VAT'!AC25*INDEX('Global Constants'!V$45:V$49,$H25))</f>
        <v/>
      </c>
      <c r="AD25" s="26" t="str">
        <f>IF($C25="","",'Outturn ex VAT'!AD25*INDEX('Global Constants'!W$45:W$49,$H25))</f>
        <v/>
      </c>
      <c r="AE25" s="26" t="str">
        <f>IF($C25="","",'Outturn ex VAT'!AE25*INDEX('Global Constants'!X$45:X$49,$H25))</f>
        <v/>
      </c>
      <c r="AF25" s="26" t="str">
        <f>IF($C25="","",'Outturn ex VAT'!AF25*INDEX('Global Constants'!Y$45:Y$49,$H25))</f>
        <v/>
      </c>
      <c r="AG25" s="26" t="str">
        <f>IF($C25="","",'Outturn ex VAT'!AG25*INDEX('Global Constants'!Z$45:Z$49,$H25))</f>
        <v/>
      </c>
      <c r="AH25" s="26" t="str">
        <f>IF($C25="","",'Outturn ex VAT'!AH25*INDEX('Global Constants'!AA$45:AA$49,$H25))</f>
        <v/>
      </c>
      <c r="AI25" s="26" t="str">
        <f>IF($C25="","",'Outturn ex VAT'!AI25*INDEX('Global Constants'!AB$45:AB$49,$H25))</f>
        <v/>
      </c>
      <c r="AJ25" s="26" t="str">
        <f>IF($C25="","",'Outturn ex VAT'!AJ25*INDEX('Global Constants'!AC$45:AC$49,$H25))</f>
        <v/>
      </c>
      <c r="AK25" s="26" t="str">
        <f>IF($C25="","",'Outturn ex VAT'!AK25*INDEX('Global Constants'!AD$45:AD$49,$H25))</f>
        <v/>
      </c>
      <c r="AL25" s="26" t="str">
        <f>IF($C25="","",'Outturn ex VAT'!AL25*INDEX('Global Constants'!AE$45:AE$49,$H25))</f>
        <v/>
      </c>
      <c r="AM25" s="26" t="str">
        <f>IF($C25="","",'Outturn ex VAT'!AM25*INDEX('Global Constants'!AF$45:AF$49,$H25))</f>
        <v/>
      </c>
      <c r="AN25" s="26" t="str">
        <f>IF($C25="","",'Outturn ex VAT'!AN25*INDEX('Global Constants'!AG$45:AG$49,$H25))</f>
        <v/>
      </c>
      <c r="AO25" s="26" t="str">
        <f>IF($C25="","",'Outturn ex VAT'!AO25*INDEX('Global Constants'!AH$45:AH$49,$H25))</f>
        <v/>
      </c>
      <c r="AP25" s="26" t="str">
        <f>IF($C25="","",'Outturn ex VAT'!AP25*INDEX('Global Constants'!AI$45:AI$49,$H25))</f>
        <v/>
      </c>
      <c r="AQ25" s="26" t="str">
        <f>IF($C25="","",'Outturn ex VAT'!AQ25*INDEX('Global Constants'!AJ$45:AJ$49,$H25))</f>
        <v/>
      </c>
      <c r="AR25" s="26" t="str">
        <f>IF($C25="","",'Outturn ex VAT'!AR25*INDEX('Global Constants'!AK$45:AK$49,$H25))</f>
        <v/>
      </c>
      <c r="AS25" s="26" t="str">
        <f>IF($C25="","",'Outturn ex VAT'!AS25*INDEX('Global Constants'!AL$45:AL$49,$H25))</f>
        <v/>
      </c>
      <c r="AT25" s="26" t="str">
        <f>IF($C25="","",'Outturn ex VAT'!AT25*INDEX('Global Constants'!AM$45:AM$49,$H25))</f>
        <v/>
      </c>
      <c r="AU25" s="26" t="str">
        <f>IF($C25="","",'Outturn ex VAT'!AU25*INDEX('Global Constants'!AN$45:AN$49,$H25))</f>
        <v/>
      </c>
      <c r="AV25" s="26" t="str">
        <f>IF($C25="","",'Outturn ex VAT'!AV25*INDEX('Global Constants'!AO$45:AO$49,$H25))</f>
        <v/>
      </c>
      <c r="AW25" s="26" t="str">
        <f>IF($C25="","",'Outturn ex VAT'!AW25*INDEX('Global Constants'!AP$45:AP$49,$H25))</f>
        <v/>
      </c>
      <c r="AX25" s="26" t="str">
        <f>IF($C25="","",'Outturn ex VAT'!AX25*INDEX('Global Constants'!AQ$45:AQ$49,$H25))</f>
        <v/>
      </c>
      <c r="AY25" s="26" t="str">
        <f>IF($C25="","",'Outturn ex VAT'!AY25*INDEX('Global Constants'!AR$45:AR$49,$H25))</f>
        <v/>
      </c>
      <c r="AZ25" s="26" t="str">
        <f>IF($C25="","",'Outturn ex VAT'!AZ25*INDEX('Global Constants'!AS$45:AS$49,$H25))</f>
        <v/>
      </c>
      <c r="BA25" s="26" t="str">
        <f>IF($C25="","",'Outturn ex VAT'!BA25*INDEX('Global Constants'!AT$45:AT$49,$H25))</f>
        <v/>
      </c>
      <c r="BB25" s="26" t="str">
        <f>IF($C25="","",'Outturn ex VAT'!BB25*INDEX('Global Constants'!AU$45:AU$49,$H25))</f>
        <v/>
      </c>
      <c r="BC25" s="26" t="str">
        <f>IF($C25="","",'Outturn ex VAT'!BC25*INDEX('Global Constants'!AV$45:AV$49,$H25))</f>
        <v/>
      </c>
      <c r="BD25" s="26" t="str">
        <f>IF($C25="","",'Outturn ex VAT'!BD25*INDEX('Global Constants'!AW$45:AW$49,$H25))</f>
        <v/>
      </c>
      <c r="BE25" s="26" t="str">
        <f>IF($C25="","",'Outturn ex VAT'!BE25*INDEX('Global Constants'!AX$45:AX$49,$H25))</f>
        <v/>
      </c>
      <c r="BF25" s="26" t="str">
        <f>IF($C25="","",'Outturn ex VAT'!BF25*INDEX('Global Constants'!AY$45:AY$49,$H25))</f>
        <v/>
      </c>
      <c r="BG25" s="26" t="str">
        <f>IF($C25="","",'Outturn ex VAT'!BG25*INDEX('Global Constants'!AZ$45:AZ$49,$H25))</f>
        <v/>
      </c>
      <c r="BH25" s="26" t="str">
        <f>IF($C25="","",'Outturn ex VAT'!BH25*INDEX('Global Constants'!BA$45:BA$49,$H25))</f>
        <v/>
      </c>
      <c r="BI25" s="26" t="str">
        <f>IF($C25="","",'Outturn ex VAT'!BI25*INDEX('Global Constants'!BB$45:BB$49,$H25))</f>
        <v/>
      </c>
      <c r="BJ25" s="26" t="str">
        <f>IF($C25="","",'Outturn ex VAT'!BJ25*INDEX('Global Constants'!BC$45:BC$49,$H25))</f>
        <v/>
      </c>
      <c r="BK25" s="26" t="str">
        <f>IF($C25="","",'Outturn ex VAT'!BK25*INDEX('Global Constants'!BD$45:BD$49,$H25))</f>
        <v/>
      </c>
      <c r="BL25" s="26" t="str">
        <f>IF($C25="","",'Outturn ex VAT'!BL25*INDEX('Global Constants'!BE$45:BE$49,$H25))</f>
        <v/>
      </c>
      <c r="BM25" s="26" t="str">
        <f>IF($C25="","",'Outturn ex VAT'!BM25*INDEX('Global Constants'!BF$45:BF$49,$H25))</f>
        <v/>
      </c>
      <c r="BN25" s="26" t="str">
        <f>IF($C25="","",'Outturn ex VAT'!BN25*INDEX('Global Constants'!BG$45:BG$49,$H25))</f>
        <v/>
      </c>
      <c r="BO25" s="26" t="str">
        <f>IF($C25="","",'Outturn ex VAT'!BO25*INDEX('Global Constants'!BH$45:BH$49,$H25))</f>
        <v/>
      </c>
      <c r="BP25" s="26" t="str">
        <f>IF($C25="","",'Outturn ex VAT'!BP25*INDEX('Global Constants'!BI$45:BI$49,$H25))</f>
        <v/>
      </c>
      <c r="BQ25" s="26" t="str">
        <f>IF($C25="","",'Outturn ex VAT'!BQ25*INDEX('Global Constants'!BJ$45:BJ$49,$H25))</f>
        <v/>
      </c>
      <c r="BR25" s="26" t="str">
        <f>IF($C25="","",'Outturn ex VAT'!BR25*INDEX('Global Constants'!BK$45:BK$49,$H25))</f>
        <v/>
      </c>
      <c r="BS25" s="26" t="str">
        <f>IF($C25="","",'Outturn ex VAT'!BS25*INDEX('Global Constants'!BL$45:BL$49,$H25))</f>
        <v/>
      </c>
      <c r="BT25" s="26" t="str">
        <f>IF($C25="","",'Outturn ex VAT'!BT25*INDEX('Global Constants'!BM$45:BM$49,$H25))</f>
        <v/>
      </c>
      <c r="BU25" s="26" t="str">
        <f>IF($C25="","",'Outturn ex VAT'!BU25*INDEX('Global Constants'!BN$45:BN$49,$H25))</f>
        <v/>
      </c>
      <c r="BV25" s="26" t="str">
        <f>IF($C25="","",'Outturn ex VAT'!BV25*INDEX('Global Constants'!BO$45:BO$49,$H25))</f>
        <v/>
      </c>
      <c r="BW25" s="26" t="str">
        <f>IF($C25="","",'Outturn ex VAT'!BW25*INDEX('Global Constants'!BP$45:BP$49,$H25))</f>
        <v/>
      </c>
      <c r="BX25" s="26" t="str">
        <f>IF($C25="","",'Outturn ex VAT'!BX25*INDEX('Global Constants'!BQ$45:BQ$49,$H25))</f>
        <v/>
      </c>
      <c r="BY25" s="26" t="str">
        <f>IF($C25="","",'Outturn ex VAT'!BY25*INDEX('Global Constants'!BR$45:BR$49,$H25))</f>
        <v/>
      </c>
      <c r="BZ25" s="26" t="str">
        <f>IF($C25="","",'Outturn ex VAT'!BZ25*INDEX('Global Constants'!BS$45:BS$49,$H25))</f>
        <v/>
      </c>
      <c r="CA25" s="26" t="str">
        <f>IF($C25="","",'Outturn ex VAT'!CA25*INDEX('Global Constants'!BT$45:BT$49,$H25))</f>
        <v/>
      </c>
      <c r="CB25" s="26" t="str">
        <f>IF($C25="","",'Outturn ex VAT'!CB25*INDEX('Global Constants'!BU$45:BU$49,$H25))</f>
        <v/>
      </c>
      <c r="CC25" s="26" t="str">
        <f>IF($C25="","",'Outturn ex VAT'!CC25*INDEX('Global Constants'!BV$45:BV$49,$H25))</f>
        <v/>
      </c>
      <c r="CD25" s="26" t="str">
        <f>IF($C25="","",'Outturn ex VAT'!CD25*INDEX('Global Constants'!BW$45:BW$49,$H25))</f>
        <v/>
      </c>
      <c r="CE25" s="26" t="str">
        <f>IF($C25="","",'Outturn ex VAT'!CE25*INDEX('Global Constants'!BX$45:BX$49,$H25))</f>
        <v/>
      </c>
      <c r="CF25" s="26" t="str">
        <f>IF($C25="","",'Outturn ex VAT'!CF25*INDEX('Global Constants'!BY$45:BY$49,$H25))</f>
        <v/>
      </c>
      <c r="CG25" s="26" t="str">
        <f>IF($C25="","",'Outturn ex VAT'!CG25*INDEX('Global Constants'!BZ$45:BZ$49,$H25))</f>
        <v/>
      </c>
      <c r="CH25" s="26" t="str">
        <f>IF($C25="","",'Outturn ex VAT'!CH25*INDEX('Global Constants'!CA$45:CA$49,$H25))</f>
        <v/>
      </c>
      <c r="CI25" s="26" t="str">
        <f>IF($C25="","",'Outturn ex VAT'!CI25*INDEX('Global Constants'!CB$45:CB$49,$H25))</f>
        <v/>
      </c>
      <c r="CJ25" s="26" t="str">
        <f>IF($C25="","",'Outturn ex VAT'!CJ25*INDEX('Global Constants'!CC$45:CC$49,$H25))</f>
        <v/>
      </c>
      <c r="CK25" s="26" t="str">
        <f>IF($C25="","",'Outturn ex VAT'!CK25*INDEX('Global Constants'!CD$45:CD$49,$H25))</f>
        <v/>
      </c>
      <c r="CL25" s="26" t="str">
        <f>IF($C25="","",'Outturn ex VAT'!CL25*INDEX('Global Constants'!CE$45:CE$49,$H25))</f>
        <v/>
      </c>
      <c r="CM25" s="26" t="str">
        <f>IF($C25="","",'Outturn ex VAT'!CM25*INDEX('Global Constants'!CF$45:CF$49,$H25))</f>
        <v/>
      </c>
      <c r="CN25" s="26" t="str">
        <f>IF($C25="","",'Outturn ex VAT'!CN25*INDEX('Global Constants'!CG$45:CG$49,$H25))</f>
        <v/>
      </c>
      <c r="CO25" s="26" t="str">
        <f>IF($C25="","",'Outturn ex VAT'!CO25*INDEX('Global Constants'!CH$45:CH$49,$H25))</f>
        <v/>
      </c>
      <c r="CP25" s="26" t="str">
        <f>IF($C25="","",'Outturn ex VAT'!CP25*INDEX('Global Constants'!CI$45:CI$49,$H25))</f>
        <v/>
      </c>
      <c r="CQ25" s="26" t="str">
        <f>IF($C25="","",'Outturn ex VAT'!CQ25*INDEX('Global Constants'!CJ$45:CJ$49,$H25))</f>
        <v/>
      </c>
      <c r="CR25" s="26" t="str">
        <f>IF($C25="","",'Outturn ex VAT'!CR25*INDEX('Global Constants'!CK$45:CK$49,$H25))</f>
        <v/>
      </c>
      <c r="CS25" s="26" t="str">
        <f>IF($C25="","",'Outturn ex VAT'!CS25*INDEX('Global Constants'!CL$45:CL$49,$H25))</f>
        <v/>
      </c>
      <c r="CT25" s="26" t="str">
        <f>IF($C25="","",'Outturn ex VAT'!CT25*INDEX('Global Constants'!CM$45:CM$49,$H25))</f>
        <v/>
      </c>
      <c r="CU25" s="26" t="str">
        <f>IF($C25="","",'Outturn ex VAT'!CU25*INDEX('Global Constants'!CN$45:CN$49,$H25))</f>
        <v/>
      </c>
      <c r="CV25" s="26" t="str">
        <f>IF($C25="","",'Outturn ex VAT'!CV25*INDEX('Global Constants'!CO$45:CO$49,$H25))</f>
        <v/>
      </c>
      <c r="CW25" s="26" t="str">
        <f>IF($C25="","",'Outturn ex VAT'!CW25*INDEX('Global Constants'!CP$45:CP$49,$H25))</f>
        <v/>
      </c>
      <c r="CX25" s="26" t="str">
        <f>IF($C25="","",'Outturn ex VAT'!CX25*INDEX('Global Constants'!CQ$45:CQ$49,$H25))</f>
        <v/>
      </c>
      <c r="CZ25" s="26">
        <f t="shared" ca="1" si="1"/>
        <v>0</v>
      </c>
      <c r="DA25" s="26">
        <f t="shared" si="2"/>
        <v>0</v>
      </c>
    </row>
    <row r="26" spans="3:105" x14ac:dyDescent="0.3">
      <c r="C26" s="4" t="str">
        <f>IF('Cost &amp; Risk Inputs'!C27="","",'Cost &amp; Risk Inputs'!C27)</f>
        <v/>
      </c>
      <c r="D26" s="4" t="str">
        <f>IF(C26="","",'Cost &amp; Risk Inputs'!H27)</f>
        <v/>
      </c>
      <c r="E26" s="4" t="str">
        <f>IF(C26="","",'Cost &amp; Risk Inputs'!I27)</f>
        <v/>
      </c>
      <c r="F26" s="4" t="str">
        <f>IF(C26="","",'Cost &amp; Risk Inputs'!E27)</f>
        <v/>
      </c>
      <c r="H26" s="18" t="str">
        <f t="shared" si="0"/>
        <v/>
      </c>
      <c r="M26" s="26" t="str">
        <f>IF($C26="","",'Outturn ex VAT'!M26*INDEX('Global Constants'!F$45:F$49,$H26))</f>
        <v/>
      </c>
      <c r="N26" s="26" t="str">
        <f>IF($C26="","",'Outturn ex VAT'!N26*INDEX('Global Constants'!G$45:G$49,$H26))</f>
        <v/>
      </c>
      <c r="O26" s="26" t="str">
        <f>IF($C26="","",'Outturn ex VAT'!O26*INDEX('Global Constants'!H$45:H$49,$H26))</f>
        <v/>
      </c>
      <c r="P26" s="26" t="str">
        <f>IF($C26="","",'Outturn ex VAT'!P26*INDEX('Global Constants'!I$45:I$49,$H26))</f>
        <v/>
      </c>
      <c r="Q26" s="26" t="str">
        <f>IF($C26="","",'Outturn ex VAT'!Q26*INDEX('Global Constants'!J$45:J$49,$H26))</f>
        <v/>
      </c>
      <c r="R26" s="26" t="str">
        <f>IF($C26="","",'Outturn ex VAT'!R26*INDEX('Global Constants'!K$45:K$49,$H26))</f>
        <v/>
      </c>
      <c r="S26" s="26" t="str">
        <f>IF($C26="","",'Outturn ex VAT'!S26*INDEX('Global Constants'!L$45:L$49,$H26))</f>
        <v/>
      </c>
      <c r="T26" s="26" t="str">
        <f>IF($C26="","",'Outturn ex VAT'!T26*INDEX('Global Constants'!M$45:M$49,$H26))</f>
        <v/>
      </c>
      <c r="U26" s="26" t="str">
        <f>IF($C26="","",'Outturn ex VAT'!U26*INDEX('Global Constants'!N$45:N$49,$H26))</f>
        <v/>
      </c>
      <c r="V26" s="26" t="str">
        <f>IF($C26="","",'Outturn ex VAT'!V26*INDEX('Global Constants'!O$45:O$49,$H26))</f>
        <v/>
      </c>
      <c r="W26" s="26" t="str">
        <f>IF($C26="","",'Outturn ex VAT'!W26*INDEX('Global Constants'!P$45:P$49,$H26))</f>
        <v/>
      </c>
      <c r="X26" s="26" t="str">
        <f>IF($C26="","",'Outturn ex VAT'!X26*INDEX('Global Constants'!Q$45:Q$49,$H26))</f>
        <v/>
      </c>
      <c r="Y26" s="26" t="str">
        <f>IF($C26="","",'Outturn ex VAT'!Y26*INDEX('Global Constants'!R$45:R$49,$H26))</f>
        <v/>
      </c>
      <c r="Z26" s="26" t="str">
        <f>IF($C26="","",'Outturn ex VAT'!Z26*INDEX('Global Constants'!S$45:S$49,$H26))</f>
        <v/>
      </c>
      <c r="AA26" s="26" t="str">
        <f>IF($C26="","",'Outturn ex VAT'!AA26*INDEX('Global Constants'!T$45:T$49,$H26))</f>
        <v/>
      </c>
      <c r="AB26" s="26" t="str">
        <f>IF($C26="","",'Outturn ex VAT'!AB26*INDEX('Global Constants'!U$45:U$49,$H26))</f>
        <v/>
      </c>
      <c r="AC26" s="26" t="str">
        <f>IF($C26="","",'Outturn ex VAT'!AC26*INDEX('Global Constants'!V$45:V$49,$H26))</f>
        <v/>
      </c>
      <c r="AD26" s="26" t="str">
        <f>IF($C26="","",'Outturn ex VAT'!AD26*INDEX('Global Constants'!W$45:W$49,$H26))</f>
        <v/>
      </c>
      <c r="AE26" s="26" t="str">
        <f>IF($C26="","",'Outturn ex VAT'!AE26*INDEX('Global Constants'!X$45:X$49,$H26))</f>
        <v/>
      </c>
      <c r="AF26" s="26" t="str">
        <f>IF($C26="","",'Outturn ex VAT'!AF26*INDEX('Global Constants'!Y$45:Y$49,$H26))</f>
        <v/>
      </c>
      <c r="AG26" s="26" t="str">
        <f>IF($C26="","",'Outturn ex VAT'!AG26*INDEX('Global Constants'!Z$45:Z$49,$H26))</f>
        <v/>
      </c>
      <c r="AH26" s="26" t="str">
        <f>IF($C26="","",'Outturn ex VAT'!AH26*INDEX('Global Constants'!AA$45:AA$49,$H26))</f>
        <v/>
      </c>
      <c r="AI26" s="26" t="str">
        <f>IF($C26="","",'Outturn ex VAT'!AI26*INDEX('Global Constants'!AB$45:AB$49,$H26))</f>
        <v/>
      </c>
      <c r="AJ26" s="26" t="str">
        <f>IF($C26="","",'Outturn ex VAT'!AJ26*INDEX('Global Constants'!AC$45:AC$49,$H26))</f>
        <v/>
      </c>
      <c r="AK26" s="26" t="str">
        <f>IF($C26="","",'Outturn ex VAT'!AK26*INDEX('Global Constants'!AD$45:AD$49,$H26))</f>
        <v/>
      </c>
      <c r="AL26" s="26" t="str">
        <f>IF($C26="","",'Outturn ex VAT'!AL26*INDEX('Global Constants'!AE$45:AE$49,$H26))</f>
        <v/>
      </c>
      <c r="AM26" s="26" t="str">
        <f>IF($C26="","",'Outturn ex VAT'!AM26*INDEX('Global Constants'!AF$45:AF$49,$H26))</f>
        <v/>
      </c>
      <c r="AN26" s="26" t="str">
        <f>IF($C26="","",'Outturn ex VAT'!AN26*INDEX('Global Constants'!AG$45:AG$49,$H26))</f>
        <v/>
      </c>
      <c r="AO26" s="26" t="str">
        <f>IF($C26="","",'Outturn ex VAT'!AO26*INDEX('Global Constants'!AH$45:AH$49,$H26))</f>
        <v/>
      </c>
      <c r="AP26" s="26" t="str">
        <f>IF($C26="","",'Outturn ex VAT'!AP26*INDEX('Global Constants'!AI$45:AI$49,$H26))</f>
        <v/>
      </c>
      <c r="AQ26" s="26" t="str">
        <f>IF($C26="","",'Outturn ex VAT'!AQ26*INDEX('Global Constants'!AJ$45:AJ$49,$H26))</f>
        <v/>
      </c>
      <c r="AR26" s="26" t="str">
        <f>IF($C26="","",'Outturn ex VAT'!AR26*INDEX('Global Constants'!AK$45:AK$49,$H26))</f>
        <v/>
      </c>
      <c r="AS26" s="26" t="str">
        <f>IF($C26="","",'Outturn ex VAT'!AS26*INDEX('Global Constants'!AL$45:AL$49,$H26))</f>
        <v/>
      </c>
      <c r="AT26" s="26" t="str">
        <f>IF($C26="","",'Outturn ex VAT'!AT26*INDEX('Global Constants'!AM$45:AM$49,$H26))</f>
        <v/>
      </c>
      <c r="AU26" s="26" t="str">
        <f>IF($C26="","",'Outturn ex VAT'!AU26*INDEX('Global Constants'!AN$45:AN$49,$H26))</f>
        <v/>
      </c>
      <c r="AV26" s="26" t="str">
        <f>IF($C26="","",'Outturn ex VAT'!AV26*INDEX('Global Constants'!AO$45:AO$49,$H26))</f>
        <v/>
      </c>
      <c r="AW26" s="26" t="str">
        <f>IF($C26="","",'Outturn ex VAT'!AW26*INDEX('Global Constants'!AP$45:AP$49,$H26))</f>
        <v/>
      </c>
      <c r="AX26" s="26" t="str">
        <f>IF($C26="","",'Outturn ex VAT'!AX26*INDEX('Global Constants'!AQ$45:AQ$49,$H26))</f>
        <v/>
      </c>
      <c r="AY26" s="26" t="str">
        <f>IF($C26="","",'Outturn ex VAT'!AY26*INDEX('Global Constants'!AR$45:AR$49,$H26))</f>
        <v/>
      </c>
      <c r="AZ26" s="26" t="str">
        <f>IF($C26="","",'Outturn ex VAT'!AZ26*INDEX('Global Constants'!AS$45:AS$49,$H26))</f>
        <v/>
      </c>
      <c r="BA26" s="26" t="str">
        <f>IF($C26="","",'Outturn ex VAT'!BA26*INDEX('Global Constants'!AT$45:AT$49,$H26))</f>
        <v/>
      </c>
      <c r="BB26" s="26" t="str">
        <f>IF($C26="","",'Outturn ex VAT'!BB26*INDEX('Global Constants'!AU$45:AU$49,$H26))</f>
        <v/>
      </c>
      <c r="BC26" s="26" t="str">
        <f>IF($C26="","",'Outturn ex VAT'!BC26*INDEX('Global Constants'!AV$45:AV$49,$H26))</f>
        <v/>
      </c>
      <c r="BD26" s="26" t="str">
        <f>IF($C26="","",'Outturn ex VAT'!BD26*INDEX('Global Constants'!AW$45:AW$49,$H26))</f>
        <v/>
      </c>
      <c r="BE26" s="26" t="str">
        <f>IF($C26="","",'Outturn ex VAT'!BE26*INDEX('Global Constants'!AX$45:AX$49,$H26))</f>
        <v/>
      </c>
      <c r="BF26" s="26" t="str">
        <f>IF($C26="","",'Outturn ex VAT'!BF26*INDEX('Global Constants'!AY$45:AY$49,$H26))</f>
        <v/>
      </c>
      <c r="BG26" s="26" t="str">
        <f>IF($C26="","",'Outturn ex VAT'!BG26*INDEX('Global Constants'!AZ$45:AZ$49,$H26))</f>
        <v/>
      </c>
      <c r="BH26" s="26" t="str">
        <f>IF($C26="","",'Outturn ex VAT'!BH26*INDEX('Global Constants'!BA$45:BA$49,$H26))</f>
        <v/>
      </c>
      <c r="BI26" s="26" t="str">
        <f>IF($C26="","",'Outturn ex VAT'!BI26*INDEX('Global Constants'!BB$45:BB$49,$H26))</f>
        <v/>
      </c>
      <c r="BJ26" s="26" t="str">
        <f>IF($C26="","",'Outturn ex VAT'!BJ26*INDEX('Global Constants'!BC$45:BC$49,$H26))</f>
        <v/>
      </c>
      <c r="BK26" s="26" t="str">
        <f>IF($C26="","",'Outturn ex VAT'!BK26*INDEX('Global Constants'!BD$45:BD$49,$H26))</f>
        <v/>
      </c>
      <c r="BL26" s="26" t="str">
        <f>IF($C26="","",'Outturn ex VAT'!BL26*INDEX('Global Constants'!BE$45:BE$49,$H26))</f>
        <v/>
      </c>
      <c r="BM26" s="26" t="str">
        <f>IF($C26="","",'Outturn ex VAT'!BM26*INDEX('Global Constants'!BF$45:BF$49,$H26))</f>
        <v/>
      </c>
      <c r="BN26" s="26" t="str">
        <f>IF($C26="","",'Outturn ex VAT'!BN26*INDEX('Global Constants'!BG$45:BG$49,$H26))</f>
        <v/>
      </c>
      <c r="BO26" s="26" t="str">
        <f>IF($C26="","",'Outturn ex VAT'!BO26*INDEX('Global Constants'!BH$45:BH$49,$H26))</f>
        <v/>
      </c>
      <c r="BP26" s="26" t="str">
        <f>IF($C26="","",'Outturn ex VAT'!BP26*INDEX('Global Constants'!BI$45:BI$49,$H26))</f>
        <v/>
      </c>
      <c r="BQ26" s="26" t="str">
        <f>IF($C26="","",'Outturn ex VAT'!BQ26*INDEX('Global Constants'!BJ$45:BJ$49,$H26))</f>
        <v/>
      </c>
      <c r="BR26" s="26" t="str">
        <f>IF($C26="","",'Outturn ex VAT'!BR26*INDEX('Global Constants'!BK$45:BK$49,$H26))</f>
        <v/>
      </c>
      <c r="BS26" s="26" t="str">
        <f>IF($C26="","",'Outturn ex VAT'!BS26*INDEX('Global Constants'!BL$45:BL$49,$H26))</f>
        <v/>
      </c>
      <c r="BT26" s="26" t="str">
        <f>IF($C26="","",'Outturn ex VAT'!BT26*INDEX('Global Constants'!BM$45:BM$49,$H26))</f>
        <v/>
      </c>
      <c r="BU26" s="26" t="str">
        <f>IF($C26="","",'Outturn ex VAT'!BU26*INDEX('Global Constants'!BN$45:BN$49,$H26))</f>
        <v/>
      </c>
      <c r="BV26" s="26" t="str">
        <f>IF($C26="","",'Outturn ex VAT'!BV26*INDEX('Global Constants'!BO$45:BO$49,$H26))</f>
        <v/>
      </c>
      <c r="BW26" s="26" t="str">
        <f>IF($C26="","",'Outturn ex VAT'!BW26*INDEX('Global Constants'!BP$45:BP$49,$H26))</f>
        <v/>
      </c>
      <c r="BX26" s="26" t="str">
        <f>IF($C26="","",'Outturn ex VAT'!BX26*INDEX('Global Constants'!BQ$45:BQ$49,$H26))</f>
        <v/>
      </c>
      <c r="BY26" s="26" t="str">
        <f>IF($C26="","",'Outturn ex VAT'!BY26*INDEX('Global Constants'!BR$45:BR$49,$H26))</f>
        <v/>
      </c>
      <c r="BZ26" s="26" t="str">
        <f>IF($C26="","",'Outturn ex VAT'!BZ26*INDEX('Global Constants'!BS$45:BS$49,$H26))</f>
        <v/>
      </c>
      <c r="CA26" s="26" t="str">
        <f>IF($C26="","",'Outturn ex VAT'!CA26*INDEX('Global Constants'!BT$45:BT$49,$H26))</f>
        <v/>
      </c>
      <c r="CB26" s="26" t="str">
        <f>IF($C26="","",'Outturn ex VAT'!CB26*INDEX('Global Constants'!BU$45:BU$49,$H26))</f>
        <v/>
      </c>
      <c r="CC26" s="26" t="str">
        <f>IF($C26="","",'Outturn ex VAT'!CC26*INDEX('Global Constants'!BV$45:BV$49,$H26))</f>
        <v/>
      </c>
      <c r="CD26" s="26" t="str">
        <f>IF($C26="","",'Outturn ex VAT'!CD26*INDEX('Global Constants'!BW$45:BW$49,$H26))</f>
        <v/>
      </c>
      <c r="CE26" s="26" t="str">
        <f>IF($C26="","",'Outturn ex VAT'!CE26*INDEX('Global Constants'!BX$45:BX$49,$H26))</f>
        <v/>
      </c>
      <c r="CF26" s="26" t="str">
        <f>IF($C26="","",'Outturn ex VAT'!CF26*INDEX('Global Constants'!BY$45:BY$49,$H26))</f>
        <v/>
      </c>
      <c r="CG26" s="26" t="str">
        <f>IF($C26="","",'Outturn ex VAT'!CG26*INDEX('Global Constants'!BZ$45:BZ$49,$H26))</f>
        <v/>
      </c>
      <c r="CH26" s="26" t="str">
        <f>IF($C26="","",'Outturn ex VAT'!CH26*INDEX('Global Constants'!CA$45:CA$49,$H26))</f>
        <v/>
      </c>
      <c r="CI26" s="26" t="str">
        <f>IF($C26="","",'Outturn ex VAT'!CI26*INDEX('Global Constants'!CB$45:CB$49,$H26))</f>
        <v/>
      </c>
      <c r="CJ26" s="26" t="str">
        <f>IF($C26="","",'Outturn ex VAT'!CJ26*INDEX('Global Constants'!CC$45:CC$49,$H26))</f>
        <v/>
      </c>
      <c r="CK26" s="26" t="str">
        <f>IF($C26="","",'Outturn ex VAT'!CK26*INDEX('Global Constants'!CD$45:CD$49,$H26))</f>
        <v/>
      </c>
      <c r="CL26" s="26" t="str">
        <f>IF($C26="","",'Outturn ex VAT'!CL26*INDEX('Global Constants'!CE$45:CE$49,$H26))</f>
        <v/>
      </c>
      <c r="CM26" s="26" t="str">
        <f>IF($C26="","",'Outturn ex VAT'!CM26*INDEX('Global Constants'!CF$45:CF$49,$H26))</f>
        <v/>
      </c>
      <c r="CN26" s="26" t="str">
        <f>IF($C26="","",'Outturn ex VAT'!CN26*INDEX('Global Constants'!CG$45:CG$49,$H26))</f>
        <v/>
      </c>
      <c r="CO26" s="26" t="str">
        <f>IF($C26="","",'Outturn ex VAT'!CO26*INDEX('Global Constants'!CH$45:CH$49,$H26))</f>
        <v/>
      </c>
      <c r="CP26" s="26" t="str">
        <f>IF($C26="","",'Outturn ex VAT'!CP26*INDEX('Global Constants'!CI$45:CI$49,$H26))</f>
        <v/>
      </c>
      <c r="CQ26" s="26" t="str">
        <f>IF($C26="","",'Outturn ex VAT'!CQ26*INDEX('Global Constants'!CJ$45:CJ$49,$H26))</f>
        <v/>
      </c>
      <c r="CR26" s="26" t="str">
        <f>IF($C26="","",'Outturn ex VAT'!CR26*INDEX('Global Constants'!CK$45:CK$49,$H26))</f>
        <v/>
      </c>
      <c r="CS26" s="26" t="str">
        <f>IF($C26="","",'Outturn ex VAT'!CS26*INDEX('Global Constants'!CL$45:CL$49,$H26))</f>
        <v/>
      </c>
      <c r="CT26" s="26" t="str">
        <f>IF($C26="","",'Outturn ex VAT'!CT26*INDEX('Global Constants'!CM$45:CM$49,$H26))</f>
        <v/>
      </c>
      <c r="CU26" s="26" t="str">
        <f>IF($C26="","",'Outturn ex VAT'!CU26*INDEX('Global Constants'!CN$45:CN$49,$H26))</f>
        <v/>
      </c>
      <c r="CV26" s="26" t="str">
        <f>IF($C26="","",'Outturn ex VAT'!CV26*INDEX('Global Constants'!CO$45:CO$49,$H26))</f>
        <v/>
      </c>
      <c r="CW26" s="26" t="str">
        <f>IF($C26="","",'Outturn ex VAT'!CW26*INDEX('Global Constants'!CP$45:CP$49,$H26))</f>
        <v/>
      </c>
      <c r="CX26" s="26" t="str">
        <f>IF($C26="","",'Outturn ex VAT'!CX26*INDEX('Global Constants'!CQ$45:CQ$49,$H26))</f>
        <v/>
      </c>
      <c r="CZ26" s="26">
        <f t="shared" ca="1" si="1"/>
        <v>0</v>
      </c>
      <c r="DA26" s="26">
        <f t="shared" si="2"/>
        <v>0</v>
      </c>
    </row>
    <row r="27" spans="3:105" x14ac:dyDescent="0.3">
      <c r="C27" s="4" t="str">
        <f>IF('Cost &amp; Risk Inputs'!C28="","",'Cost &amp; Risk Inputs'!C28)</f>
        <v/>
      </c>
      <c r="D27" s="4" t="str">
        <f>IF(C27="","",'Cost &amp; Risk Inputs'!H28)</f>
        <v/>
      </c>
      <c r="E27" s="4" t="str">
        <f>IF(C27="","",'Cost &amp; Risk Inputs'!I28)</f>
        <v/>
      </c>
      <c r="F27" s="4" t="str">
        <f>IF(C27="","",'Cost &amp; Risk Inputs'!E28)</f>
        <v/>
      </c>
      <c r="H27" s="18" t="str">
        <f t="shared" si="0"/>
        <v/>
      </c>
      <c r="M27" s="26" t="str">
        <f>IF($C27="","",'Outturn ex VAT'!M27*INDEX('Global Constants'!F$45:F$49,$H27))</f>
        <v/>
      </c>
      <c r="N27" s="26" t="str">
        <f>IF($C27="","",'Outturn ex VAT'!N27*INDEX('Global Constants'!G$45:G$49,$H27))</f>
        <v/>
      </c>
      <c r="O27" s="26" t="str">
        <f>IF($C27="","",'Outturn ex VAT'!O27*INDEX('Global Constants'!H$45:H$49,$H27))</f>
        <v/>
      </c>
      <c r="P27" s="26" t="str">
        <f>IF($C27="","",'Outturn ex VAT'!P27*INDEX('Global Constants'!I$45:I$49,$H27))</f>
        <v/>
      </c>
      <c r="Q27" s="26" t="str">
        <f>IF($C27="","",'Outturn ex VAT'!Q27*INDEX('Global Constants'!J$45:J$49,$H27))</f>
        <v/>
      </c>
      <c r="R27" s="26" t="str">
        <f>IF($C27="","",'Outturn ex VAT'!R27*INDEX('Global Constants'!K$45:K$49,$H27))</f>
        <v/>
      </c>
      <c r="S27" s="26" t="str">
        <f>IF($C27="","",'Outturn ex VAT'!S27*INDEX('Global Constants'!L$45:L$49,$H27))</f>
        <v/>
      </c>
      <c r="T27" s="26" t="str">
        <f>IF($C27="","",'Outturn ex VAT'!T27*INDEX('Global Constants'!M$45:M$49,$H27))</f>
        <v/>
      </c>
      <c r="U27" s="26" t="str">
        <f>IF($C27="","",'Outturn ex VAT'!U27*INDEX('Global Constants'!N$45:N$49,$H27))</f>
        <v/>
      </c>
      <c r="V27" s="26" t="str">
        <f>IF($C27="","",'Outturn ex VAT'!V27*INDEX('Global Constants'!O$45:O$49,$H27))</f>
        <v/>
      </c>
      <c r="W27" s="26" t="str">
        <f>IF($C27="","",'Outturn ex VAT'!W27*INDEX('Global Constants'!P$45:P$49,$H27))</f>
        <v/>
      </c>
      <c r="X27" s="26" t="str">
        <f>IF($C27="","",'Outturn ex VAT'!X27*INDEX('Global Constants'!Q$45:Q$49,$H27))</f>
        <v/>
      </c>
      <c r="Y27" s="26" t="str">
        <f>IF($C27="","",'Outturn ex VAT'!Y27*INDEX('Global Constants'!R$45:R$49,$H27))</f>
        <v/>
      </c>
      <c r="Z27" s="26" t="str">
        <f>IF($C27="","",'Outturn ex VAT'!Z27*INDEX('Global Constants'!S$45:S$49,$H27))</f>
        <v/>
      </c>
      <c r="AA27" s="26" t="str">
        <f>IF($C27="","",'Outturn ex VAT'!AA27*INDEX('Global Constants'!T$45:T$49,$H27))</f>
        <v/>
      </c>
      <c r="AB27" s="26" t="str">
        <f>IF($C27="","",'Outturn ex VAT'!AB27*INDEX('Global Constants'!U$45:U$49,$H27))</f>
        <v/>
      </c>
      <c r="AC27" s="26" t="str">
        <f>IF($C27="","",'Outturn ex VAT'!AC27*INDEX('Global Constants'!V$45:V$49,$H27))</f>
        <v/>
      </c>
      <c r="AD27" s="26" t="str">
        <f>IF($C27="","",'Outturn ex VAT'!AD27*INDEX('Global Constants'!W$45:W$49,$H27))</f>
        <v/>
      </c>
      <c r="AE27" s="26" t="str">
        <f>IF($C27="","",'Outturn ex VAT'!AE27*INDEX('Global Constants'!X$45:X$49,$H27))</f>
        <v/>
      </c>
      <c r="AF27" s="26" t="str">
        <f>IF($C27="","",'Outturn ex VAT'!AF27*INDEX('Global Constants'!Y$45:Y$49,$H27))</f>
        <v/>
      </c>
      <c r="AG27" s="26" t="str">
        <f>IF($C27="","",'Outturn ex VAT'!AG27*INDEX('Global Constants'!Z$45:Z$49,$H27))</f>
        <v/>
      </c>
      <c r="AH27" s="26" t="str">
        <f>IF($C27="","",'Outturn ex VAT'!AH27*INDEX('Global Constants'!AA$45:AA$49,$H27))</f>
        <v/>
      </c>
      <c r="AI27" s="26" t="str">
        <f>IF($C27="","",'Outturn ex VAT'!AI27*INDEX('Global Constants'!AB$45:AB$49,$H27))</f>
        <v/>
      </c>
      <c r="AJ27" s="26" t="str">
        <f>IF($C27="","",'Outturn ex VAT'!AJ27*INDEX('Global Constants'!AC$45:AC$49,$H27))</f>
        <v/>
      </c>
      <c r="AK27" s="26" t="str">
        <f>IF($C27="","",'Outturn ex VAT'!AK27*INDEX('Global Constants'!AD$45:AD$49,$H27))</f>
        <v/>
      </c>
      <c r="AL27" s="26" t="str">
        <f>IF($C27="","",'Outturn ex VAT'!AL27*INDEX('Global Constants'!AE$45:AE$49,$H27))</f>
        <v/>
      </c>
      <c r="AM27" s="26" t="str">
        <f>IF($C27="","",'Outturn ex VAT'!AM27*INDEX('Global Constants'!AF$45:AF$49,$H27))</f>
        <v/>
      </c>
      <c r="AN27" s="26" t="str">
        <f>IF($C27="","",'Outturn ex VAT'!AN27*INDEX('Global Constants'!AG$45:AG$49,$H27))</f>
        <v/>
      </c>
      <c r="AO27" s="26" t="str">
        <f>IF($C27="","",'Outturn ex VAT'!AO27*INDEX('Global Constants'!AH$45:AH$49,$H27))</f>
        <v/>
      </c>
      <c r="AP27" s="26" t="str">
        <f>IF($C27="","",'Outturn ex VAT'!AP27*INDEX('Global Constants'!AI$45:AI$49,$H27))</f>
        <v/>
      </c>
      <c r="AQ27" s="26" t="str">
        <f>IF($C27="","",'Outturn ex VAT'!AQ27*INDEX('Global Constants'!AJ$45:AJ$49,$H27))</f>
        <v/>
      </c>
      <c r="AR27" s="26" t="str">
        <f>IF($C27="","",'Outturn ex VAT'!AR27*INDEX('Global Constants'!AK$45:AK$49,$H27))</f>
        <v/>
      </c>
      <c r="AS27" s="26" t="str">
        <f>IF($C27="","",'Outturn ex VAT'!AS27*INDEX('Global Constants'!AL$45:AL$49,$H27))</f>
        <v/>
      </c>
      <c r="AT27" s="26" t="str">
        <f>IF($C27="","",'Outturn ex VAT'!AT27*INDEX('Global Constants'!AM$45:AM$49,$H27))</f>
        <v/>
      </c>
      <c r="AU27" s="26" t="str">
        <f>IF($C27="","",'Outturn ex VAT'!AU27*INDEX('Global Constants'!AN$45:AN$49,$H27))</f>
        <v/>
      </c>
      <c r="AV27" s="26" t="str">
        <f>IF($C27="","",'Outturn ex VAT'!AV27*INDEX('Global Constants'!AO$45:AO$49,$H27))</f>
        <v/>
      </c>
      <c r="AW27" s="26" t="str">
        <f>IF($C27="","",'Outturn ex VAT'!AW27*INDEX('Global Constants'!AP$45:AP$49,$H27))</f>
        <v/>
      </c>
      <c r="AX27" s="26" t="str">
        <f>IF($C27="","",'Outturn ex VAT'!AX27*INDEX('Global Constants'!AQ$45:AQ$49,$H27))</f>
        <v/>
      </c>
      <c r="AY27" s="26" t="str">
        <f>IF($C27="","",'Outturn ex VAT'!AY27*INDEX('Global Constants'!AR$45:AR$49,$H27))</f>
        <v/>
      </c>
      <c r="AZ27" s="26" t="str">
        <f>IF($C27="","",'Outturn ex VAT'!AZ27*INDEX('Global Constants'!AS$45:AS$49,$H27))</f>
        <v/>
      </c>
      <c r="BA27" s="26" t="str">
        <f>IF($C27="","",'Outturn ex VAT'!BA27*INDEX('Global Constants'!AT$45:AT$49,$H27))</f>
        <v/>
      </c>
      <c r="BB27" s="26" t="str">
        <f>IF($C27="","",'Outturn ex VAT'!BB27*INDEX('Global Constants'!AU$45:AU$49,$H27))</f>
        <v/>
      </c>
      <c r="BC27" s="26" t="str">
        <f>IF($C27="","",'Outturn ex VAT'!BC27*INDEX('Global Constants'!AV$45:AV$49,$H27))</f>
        <v/>
      </c>
      <c r="BD27" s="26" t="str">
        <f>IF($C27="","",'Outturn ex VAT'!BD27*INDEX('Global Constants'!AW$45:AW$49,$H27))</f>
        <v/>
      </c>
      <c r="BE27" s="26" t="str">
        <f>IF($C27="","",'Outturn ex VAT'!BE27*INDEX('Global Constants'!AX$45:AX$49,$H27))</f>
        <v/>
      </c>
      <c r="BF27" s="26" t="str">
        <f>IF($C27="","",'Outturn ex VAT'!BF27*INDEX('Global Constants'!AY$45:AY$49,$H27))</f>
        <v/>
      </c>
      <c r="BG27" s="26" t="str">
        <f>IF($C27="","",'Outturn ex VAT'!BG27*INDEX('Global Constants'!AZ$45:AZ$49,$H27))</f>
        <v/>
      </c>
      <c r="BH27" s="26" t="str">
        <f>IF($C27="","",'Outturn ex VAT'!BH27*INDEX('Global Constants'!BA$45:BA$49,$H27))</f>
        <v/>
      </c>
      <c r="BI27" s="26" t="str">
        <f>IF($C27="","",'Outturn ex VAT'!BI27*INDEX('Global Constants'!BB$45:BB$49,$H27))</f>
        <v/>
      </c>
      <c r="BJ27" s="26" t="str">
        <f>IF($C27="","",'Outturn ex VAT'!BJ27*INDEX('Global Constants'!BC$45:BC$49,$H27))</f>
        <v/>
      </c>
      <c r="BK27" s="26" t="str">
        <f>IF($C27="","",'Outturn ex VAT'!BK27*INDEX('Global Constants'!BD$45:BD$49,$H27))</f>
        <v/>
      </c>
      <c r="BL27" s="26" t="str">
        <f>IF($C27="","",'Outturn ex VAT'!BL27*INDEX('Global Constants'!BE$45:BE$49,$H27))</f>
        <v/>
      </c>
      <c r="BM27" s="26" t="str">
        <f>IF($C27="","",'Outturn ex VAT'!BM27*INDEX('Global Constants'!BF$45:BF$49,$H27))</f>
        <v/>
      </c>
      <c r="BN27" s="26" t="str">
        <f>IF($C27="","",'Outturn ex VAT'!BN27*INDEX('Global Constants'!BG$45:BG$49,$H27))</f>
        <v/>
      </c>
      <c r="BO27" s="26" t="str">
        <f>IF($C27="","",'Outturn ex VAT'!BO27*INDEX('Global Constants'!BH$45:BH$49,$H27))</f>
        <v/>
      </c>
      <c r="BP27" s="26" t="str">
        <f>IF($C27="","",'Outturn ex VAT'!BP27*INDEX('Global Constants'!BI$45:BI$49,$H27))</f>
        <v/>
      </c>
      <c r="BQ27" s="26" t="str">
        <f>IF($C27="","",'Outturn ex VAT'!BQ27*INDEX('Global Constants'!BJ$45:BJ$49,$H27))</f>
        <v/>
      </c>
      <c r="BR27" s="26" t="str">
        <f>IF($C27="","",'Outturn ex VAT'!BR27*INDEX('Global Constants'!BK$45:BK$49,$H27))</f>
        <v/>
      </c>
      <c r="BS27" s="26" t="str">
        <f>IF($C27="","",'Outturn ex VAT'!BS27*INDEX('Global Constants'!BL$45:BL$49,$H27))</f>
        <v/>
      </c>
      <c r="BT27" s="26" t="str">
        <f>IF($C27="","",'Outturn ex VAT'!BT27*INDEX('Global Constants'!BM$45:BM$49,$H27))</f>
        <v/>
      </c>
      <c r="BU27" s="26" t="str">
        <f>IF($C27="","",'Outturn ex VAT'!BU27*INDEX('Global Constants'!BN$45:BN$49,$H27))</f>
        <v/>
      </c>
      <c r="BV27" s="26" t="str">
        <f>IF($C27="","",'Outturn ex VAT'!BV27*INDEX('Global Constants'!BO$45:BO$49,$H27))</f>
        <v/>
      </c>
      <c r="BW27" s="26" t="str">
        <f>IF($C27="","",'Outturn ex VAT'!BW27*INDEX('Global Constants'!BP$45:BP$49,$H27))</f>
        <v/>
      </c>
      <c r="BX27" s="26" t="str">
        <f>IF($C27="","",'Outturn ex VAT'!BX27*INDEX('Global Constants'!BQ$45:BQ$49,$H27))</f>
        <v/>
      </c>
      <c r="BY27" s="26" t="str">
        <f>IF($C27="","",'Outturn ex VAT'!BY27*INDEX('Global Constants'!BR$45:BR$49,$H27))</f>
        <v/>
      </c>
      <c r="BZ27" s="26" t="str">
        <f>IF($C27="","",'Outturn ex VAT'!BZ27*INDEX('Global Constants'!BS$45:BS$49,$H27))</f>
        <v/>
      </c>
      <c r="CA27" s="26" t="str">
        <f>IF($C27="","",'Outturn ex VAT'!CA27*INDEX('Global Constants'!BT$45:BT$49,$H27))</f>
        <v/>
      </c>
      <c r="CB27" s="26" t="str">
        <f>IF($C27="","",'Outturn ex VAT'!CB27*INDEX('Global Constants'!BU$45:BU$49,$H27))</f>
        <v/>
      </c>
      <c r="CC27" s="26" t="str">
        <f>IF($C27="","",'Outturn ex VAT'!CC27*INDEX('Global Constants'!BV$45:BV$49,$H27))</f>
        <v/>
      </c>
      <c r="CD27" s="26" t="str">
        <f>IF($C27="","",'Outturn ex VAT'!CD27*INDEX('Global Constants'!BW$45:BW$49,$H27))</f>
        <v/>
      </c>
      <c r="CE27" s="26" t="str">
        <f>IF($C27="","",'Outturn ex VAT'!CE27*INDEX('Global Constants'!BX$45:BX$49,$H27))</f>
        <v/>
      </c>
      <c r="CF27" s="26" t="str">
        <f>IF($C27="","",'Outturn ex VAT'!CF27*INDEX('Global Constants'!BY$45:BY$49,$H27))</f>
        <v/>
      </c>
      <c r="CG27" s="26" t="str">
        <f>IF($C27="","",'Outturn ex VAT'!CG27*INDEX('Global Constants'!BZ$45:BZ$49,$H27))</f>
        <v/>
      </c>
      <c r="CH27" s="26" t="str">
        <f>IF($C27="","",'Outturn ex VAT'!CH27*INDEX('Global Constants'!CA$45:CA$49,$H27))</f>
        <v/>
      </c>
      <c r="CI27" s="26" t="str">
        <f>IF($C27="","",'Outturn ex VAT'!CI27*INDEX('Global Constants'!CB$45:CB$49,$H27))</f>
        <v/>
      </c>
      <c r="CJ27" s="26" t="str">
        <f>IF($C27="","",'Outturn ex VAT'!CJ27*INDEX('Global Constants'!CC$45:CC$49,$H27))</f>
        <v/>
      </c>
      <c r="CK27" s="26" t="str">
        <f>IF($C27="","",'Outturn ex VAT'!CK27*INDEX('Global Constants'!CD$45:CD$49,$H27))</f>
        <v/>
      </c>
      <c r="CL27" s="26" t="str">
        <f>IF($C27="","",'Outturn ex VAT'!CL27*INDEX('Global Constants'!CE$45:CE$49,$H27))</f>
        <v/>
      </c>
      <c r="CM27" s="26" t="str">
        <f>IF($C27="","",'Outturn ex VAT'!CM27*INDEX('Global Constants'!CF$45:CF$49,$H27))</f>
        <v/>
      </c>
      <c r="CN27" s="26" t="str">
        <f>IF($C27="","",'Outturn ex VAT'!CN27*INDEX('Global Constants'!CG$45:CG$49,$H27))</f>
        <v/>
      </c>
      <c r="CO27" s="26" t="str">
        <f>IF($C27="","",'Outturn ex VAT'!CO27*INDEX('Global Constants'!CH$45:CH$49,$H27))</f>
        <v/>
      </c>
      <c r="CP27" s="26" t="str">
        <f>IF($C27="","",'Outturn ex VAT'!CP27*INDEX('Global Constants'!CI$45:CI$49,$H27))</f>
        <v/>
      </c>
      <c r="CQ27" s="26" t="str">
        <f>IF($C27="","",'Outturn ex VAT'!CQ27*INDEX('Global Constants'!CJ$45:CJ$49,$H27))</f>
        <v/>
      </c>
      <c r="CR27" s="26" t="str">
        <f>IF($C27="","",'Outturn ex VAT'!CR27*INDEX('Global Constants'!CK$45:CK$49,$H27))</f>
        <v/>
      </c>
      <c r="CS27" s="26" t="str">
        <f>IF($C27="","",'Outturn ex VAT'!CS27*INDEX('Global Constants'!CL$45:CL$49,$H27))</f>
        <v/>
      </c>
      <c r="CT27" s="26" t="str">
        <f>IF($C27="","",'Outturn ex VAT'!CT27*INDEX('Global Constants'!CM$45:CM$49,$H27))</f>
        <v/>
      </c>
      <c r="CU27" s="26" t="str">
        <f>IF($C27="","",'Outturn ex VAT'!CU27*INDEX('Global Constants'!CN$45:CN$49,$H27))</f>
        <v/>
      </c>
      <c r="CV27" s="26" t="str">
        <f>IF($C27="","",'Outturn ex VAT'!CV27*INDEX('Global Constants'!CO$45:CO$49,$H27))</f>
        <v/>
      </c>
      <c r="CW27" s="26" t="str">
        <f>IF($C27="","",'Outturn ex VAT'!CW27*INDEX('Global Constants'!CP$45:CP$49,$H27))</f>
        <v/>
      </c>
      <c r="CX27" s="26" t="str">
        <f>IF($C27="","",'Outturn ex VAT'!CX27*INDEX('Global Constants'!CQ$45:CQ$49,$H27))</f>
        <v/>
      </c>
      <c r="CZ27" s="26">
        <f t="shared" ca="1" si="1"/>
        <v>0</v>
      </c>
      <c r="DA27" s="26">
        <f t="shared" si="2"/>
        <v>0</v>
      </c>
    </row>
    <row r="28" spans="3:105" x14ac:dyDescent="0.3">
      <c r="C28" s="4" t="str">
        <f>IF('Cost &amp; Risk Inputs'!C29="","",'Cost &amp; Risk Inputs'!C29)</f>
        <v/>
      </c>
      <c r="D28" s="4" t="str">
        <f>IF(C28="","",'Cost &amp; Risk Inputs'!H29)</f>
        <v/>
      </c>
      <c r="E28" s="4" t="str">
        <f>IF(C28="","",'Cost &amp; Risk Inputs'!I29)</f>
        <v/>
      </c>
      <c r="F28" s="4" t="str">
        <f>IF(C28="","",'Cost &amp; Risk Inputs'!E29)</f>
        <v/>
      </c>
      <c r="H28" s="18" t="str">
        <f t="shared" si="0"/>
        <v/>
      </c>
      <c r="M28" s="26" t="str">
        <f>IF($C28="","",'Outturn ex VAT'!M28*INDEX('Global Constants'!F$45:F$49,$H28))</f>
        <v/>
      </c>
      <c r="N28" s="26" t="str">
        <f>IF($C28="","",'Outturn ex VAT'!N28*INDEX('Global Constants'!G$45:G$49,$H28))</f>
        <v/>
      </c>
      <c r="O28" s="26" t="str">
        <f>IF($C28="","",'Outturn ex VAT'!O28*INDEX('Global Constants'!H$45:H$49,$H28))</f>
        <v/>
      </c>
      <c r="P28" s="26" t="str">
        <f>IF($C28="","",'Outturn ex VAT'!P28*INDEX('Global Constants'!I$45:I$49,$H28))</f>
        <v/>
      </c>
      <c r="Q28" s="26" t="str">
        <f>IF($C28="","",'Outturn ex VAT'!Q28*INDEX('Global Constants'!J$45:J$49,$H28))</f>
        <v/>
      </c>
      <c r="R28" s="26" t="str">
        <f>IF($C28="","",'Outturn ex VAT'!R28*INDEX('Global Constants'!K$45:K$49,$H28))</f>
        <v/>
      </c>
      <c r="S28" s="26" t="str">
        <f>IF($C28="","",'Outturn ex VAT'!S28*INDEX('Global Constants'!L$45:L$49,$H28))</f>
        <v/>
      </c>
      <c r="T28" s="26" t="str">
        <f>IF($C28="","",'Outturn ex VAT'!T28*INDEX('Global Constants'!M$45:M$49,$H28))</f>
        <v/>
      </c>
      <c r="U28" s="26" t="str">
        <f>IF($C28="","",'Outturn ex VAT'!U28*INDEX('Global Constants'!N$45:N$49,$H28))</f>
        <v/>
      </c>
      <c r="V28" s="26" t="str">
        <f>IF($C28="","",'Outturn ex VAT'!V28*INDEX('Global Constants'!O$45:O$49,$H28))</f>
        <v/>
      </c>
      <c r="W28" s="26" t="str">
        <f>IF($C28="","",'Outturn ex VAT'!W28*INDEX('Global Constants'!P$45:P$49,$H28))</f>
        <v/>
      </c>
      <c r="X28" s="26" t="str">
        <f>IF($C28="","",'Outturn ex VAT'!X28*INDEX('Global Constants'!Q$45:Q$49,$H28))</f>
        <v/>
      </c>
      <c r="Y28" s="26" t="str">
        <f>IF($C28="","",'Outturn ex VAT'!Y28*INDEX('Global Constants'!R$45:R$49,$H28))</f>
        <v/>
      </c>
      <c r="Z28" s="26" t="str">
        <f>IF($C28="","",'Outturn ex VAT'!Z28*INDEX('Global Constants'!S$45:S$49,$H28))</f>
        <v/>
      </c>
      <c r="AA28" s="26" t="str">
        <f>IF($C28="","",'Outturn ex VAT'!AA28*INDEX('Global Constants'!T$45:T$49,$H28))</f>
        <v/>
      </c>
      <c r="AB28" s="26" t="str">
        <f>IF($C28="","",'Outturn ex VAT'!AB28*INDEX('Global Constants'!U$45:U$49,$H28))</f>
        <v/>
      </c>
      <c r="AC28" s="26" t="str">
        <f>IF($C28="","",'Outturn ex VAT'!AC28*INDEX('Global Constants'!V$45:V$49,$H28))</f>
        <v/>
      </c>
      <c r="AD28" s="26" t="str">
        <f>IF($C28="","",'Outturn ex VAT'!AD28*INDEX('Global Constants'!W$45:W$49,$H28))</f>
        <v/>
      </c>
      <c r="AE28" s="26" t="str">
        <f>IF($C28="","",'Outturn ex VAT'!AE28*INDEX('Global Constants'!X$45:X$49,$H28))</f>
        <v/>
      </c>
      <c r="AF28" s="26" t="str">
        <f>IF($C28="","",'Outturn ex VAT'!AF28*INDEX('Global Constants'!Y$45:Y$49,$H28))</f>
        <v/>
      </c>
      <c r="AG28" s="26" t="str">
        <f>IF($C28="","",'Outturn ex VAT'!AG28*INDEX('Global Constants'!Z$45:Z$49,$H28))</f>
        <v/>
      </c>
      <c r="AH28" s="26" t="str">
        <f>IF($C28="","",'Outturn ex VAT'!AH28*INDEX('Global Constants'!AA$45:AA$49,$H28))</f>
        <v/>
      </c>
      <c r="AI28" s="26" t="str">
        <f>IF($C28="","",'Outturn ex VAT'!AI28*INDEX('Global Constants'!AB$45:AB$49,$H28))</f>
        <v/>
      </c>
      <c r="AJ28" s="26" t="str">
        <f>IF($C28="","",'Outturn ex VAT'!AJ28*INDEX('Global Constants'!AC$45:AC$49,$H28))</f>
        <v/>
      </c>
      <c r="AK28" s="26" t="str">
        <f>IF($C28="","",'Outturn ex VAT'!AK28*INDEX('Global Constants'!AD$45:AD$49,$H28))</f>
        <v/>
      </c>
      <c r="AL28" s="26" t="str">
        <f>IF($C28="","",'Outturn ex VAT'!AL28*INDEX('Global Constants'!AE$45:AE$49,$H28))</f>
        <v/>
      </c>
      <c r="AM28" s="26" t="str">
        <f>IF($C28="","",'Outturn ex VAT'!AM28*INDEX('Global Constants'!AF$45:AF$49,$H28))</f>
        <v/>
      </c>
      <c r="AN28" s="26" t="str">
        <f>IF($C28="","",'Outturn ex VAT'!AN28*INDEX('Global Constants'!AG$45:AG$49,$H28))</f>
        <v/>
      </c>
      <c r="AO28" s="26" t="str">
        <f>IF($C28="","",'Outturn ex VAT'!AO28*INDEX('Global Constants'!AH$45:AH$49,$H28))</f>
        <v/>
      </c>
      <c r="AP28" s="26" t="str">
        <f>IF($C28="","",'Outturn ex VAT'!AP28*INDEX('Global Constants'!AI$45:AI$49,$H28))</f>
        <v/>
      </c>
      <c r="AQ28" s="26" t="str">
        <f>IF($C28="","",'Outturn ex VAT'!AQ28*INDEX('Global Constants'!AJ$45:AJ$49,$H28))</f>
        <v/>
      </c>
      <c r="AR28" s="26" t="str">
        <f>IF($C28="","",'Outturn ex VAT'!AR28*INDEX('Global Constants'!AK$45:AK$49,$H28))</f>
        <v/>
      </c>
      <c r="AS28" s="26" t="str">
        <f>IF($C28="","",'Outturn ex VAT'!AS28*INDEX('Global Constants'!AL$45:AL$49,$H28))</f>
        <v/>
      </c>
      <c r="AT28" s="26" t="str">
        <f>IF($C28="","",'Outturn ex VAT'!AT28*INDEX('Global Constants'!AM$45:AM$49,$H28))</f>
        <v/>
      </c>
      <c r="AU28" s="26" t="str">
        <f>IF($C28="","",'Outturn ex VAT'!AU28*INDEX('Global Constants'!AN$45:AN$49,$H28))</f>
        <v/>
      </c>
      <c r="AV28" s="26" t="str">
        <f>IF($C28="","",'Outturn ex VAT'!AV28*INDEX('Global Constants'!AO$45:AO$49,$H28))</f>
        <v/>
      </c>
      <c r="AW28" s="26" t="str">
        <f>IF($C28="","",'Outturn ex VAT'!AW28*INDEX('Global Constants'!AP$45:AP$49,$H28))</f>
        <v/>
      </c>
      <c r="AX28" s="26" t="str">
        <f>IF($C28="","",'Outturn ex VAT'!AX28*INDEX('Global Constants'!AQ$45:AQ$49,$H28))</f>
        <v/>
      </c>
      <c r="AY28" s="26" t="str">
        <f>IF($C28="","",'Outturn ex VAT'!AY28*INDEX('Global Constants'!AR$45:AR$49,$H28))</f>
        <v/>
      </c>
      <c r="AZ28" s="26" t="str">
        <f>IF($C28="","",'Outturn ex VAT'!AZ28*INDEX('Global Constants'!AS$45:AS$49,$H28))</f>
        <v/>
      </c>
      <c r="BA28" s="26" t="str">
        <f>IF($C28="","",'Outturn ex VAT'!BA28*INDEX('Global Constants'!AT$45:AT$49,$H28))</f>
        <v/>
      </c>
      <c r="BB28" s="26" t="str">
        <f>IF($C28="","",'Outturn ex VAT'!BB28*INDEX('Global Constants'!AU$45:AU$49,$H28))</f>
        <v/>
      </c>
      <c r="BC28" s="26" t="str">
        <f>IF($C28="","",'Outturn ex VAT'!BC28*INDEX('Global Constants'!AV$45:AV$49,$H28))</f>
        <v/>
      </c>
      <c r="BD28" s="26" t="str">
        <f>IF($C28="","",'Outturn ex VAT'!BD28*INDEX('Global Constants'!AW$45:AW$49,$H28))</f>
        <v/>
      </c>
      <c r="BE28" s="26" t="str">
        <f>IF($C28="","",'Outturn ex VAT'!BE28*INDEX('Global Constants'!AX$45:AX$49,$H28))</f>
        <v/>
      </c>
      <c r="BF28" s="26" t="str">
        <f>IF($C28="","",'Outturn ex VAT'!BF28*INDEX('Global Constants'!AY$45:AY$49,$H28))</f>
        <v/>
      </c>
      <c r="BG28" s="26" t="str">
        <f>IF($C28="","",'Outturn ex VAT'!BG28*INDEX('Global Constants'!AZ$45:AZ$49,$H28))</f>
        <v/>
      </c>
      <c r="BH28" s="26" t="str">
        <f>IF($C28="","",'Outturn ex VAT'!BH28*INDEX('Global Constants'!BA$45:BA$49,$H28))</f>
        <v/>
      </c>
      <c r="BI28" s="26" t="str">
        <f>IF($C28="","",'Outturn ex VAT'!BI28*INDEX('Global Constants'!BB$45:BB$49,$H28))</f>
        <v/>
      </c>
      <c r="BJ28" s="26" t="str">
        <f>IF($C28="","",'Outturn ex VAT'!BJ28*INDEX('Global Constants'!BC$45:BC$49,$H28))</f>
        <v/>
      </c>
      <c r="BK28" s="26" t="str">
        <f>IF($C28="","",'Outturn ex VAT'!BK28*INDEX('Global Constants'!BD$45:BD$49,$H28))</f>
        <v/>
      </c>
      <c r="BL28" s="26" t="str">
        <f>IF($C28="","",'Outturn ex VAT'!BL28*INDEX('Global Constants'!BE$45:BE$49,$H28))</f>
        <v/>
      </c>
      <c r="BM28" s="26" t="str">
        <f>IF($C28="","",'Outturn ex VAT'!BM28*INDEX('Global Constants'!BF$45:BF$49,$H28))</f>
        <v/>
      </c>
      <c r="BN28" s="26" t="str">
        <f>IF($C28="","",'Outturn ex VAT'!BN28*INDEX('Global Constants'!BG$45:BG$49,$H28))</f>
        <v/>
      </c>
      <c r="BO28" s="26" t="str">
        <f>IF($C28="","",'Outturn ex VAT'!BO28*INDEX('Global Constants'!BH$45:BH$49,$H28))</f>
        <v/>
      </c>
      <c r="BP28" s="26" t="str">
        <f>IF($C28="","",'Outturn ex VAT'!BP28*INDEX('Global Constants'!BI$45:BI$49,$H28))</f>
        <v/>
      </c>
      <c r="BQ28" s="26" t="str">
        <f>IF($C28="","",'Outturn ex VAT'!BQ28*INDEX('Global Constants'!BJ$45:BJ$49,$H28))</f>
        <v/>
      </c>
      <c r="BR28" s="26" t="str">
        <f>IF($C28="","",'Outturn ex VAT'!BR28*INDEX('Global Constants'!BK$45:BK$49,$H28))</f>
        <v/>
      </c>
      <c r="BS28" s="26" t="str">
        <f>IF($C28="","",'Outturn ex VAT'!BS28*INDEX('Global Constants'!BL$45:BL$49,$H28))</f>
        <v/>
      </c>
      <c r="BT28" s="26" t="str">
        <f>IF($C28="","",'Outturn ex VAT'!BT28*INDEX('Global Constants'!BM$45:BM$49,$H28))</f>
        <v/>
      </c>
      <c r="BU28" s="26" t="str">
        <f>IF($C28="","",'Outturn ex VAT'!BU28*INDEX('Global Constants'!BN$45:BN$49,$H28))</f>
        <v/>
      </c>
      <c r="BV28" s="26" t="str">
        <f>IF($C28="","",'Outturn ex VAT'!BV28*INDEX('Global Constants'!BO$45:BO$49,$H28))</f>
        <v/>
      </c>
      <c r="BW28" s="26" t="str">
        <f>IF($C28="","",'Outturn ex VAT'!BW28*INDEX('Global Constants'!BP$45:BP$49,$H28))</f>
        <v/>
      </c>
      <c r="BX28" s="26" t="str">
        <f>IF($C28="","",'Outturn ex VAT'!BX28*INDEX('Global Constants'!BQ$45:BQ$49,$H28))</f>
        <v/>
      </c>
      <c r="BY28" s="26" t="str">
        <f>IF($C28="","",'Outturn ex VAT'!BY28*INDEX('Global Constants'!BR$45:BR$49,$H28))</f>
        <v/>
      </c>
      <c r="BZ28" s="26" t="str">
        <f>IF($C28="","",'Outturn ex VAT'!BZ28*INDEX('Global Constants'!BS$45:BS$49,$H28))</f>
        <v/>
      </c>
      <c r="CA28" s="26" t="str">
        <f>IF($C28="","",'Outturn ex VAT'!CA28*INDEX('Global Constants'!BT$45:BT$49,$H28))</f>
        <v/>
      </c>
      <c r="CB28" s="26" t="str">
        <f>IF($C28="","",'Outturn ex VAT'!CB28*INDEX('Global Constants'!BU$45:BU$49,$H28))</f>
        <v/>
      </c>
      <c r="CC28" s="26" t="str">
        <f>IF($C28="","",'Outturn ex VAT'!CC28*INDEX('Global Constants'!BV$45:BV$49,$H28))</f>
        <v/>
      </c>
      <c r="CD28" s="26" t="str">
        <f>IF($C28="","",'Outturn ex VAT'!CD28*INDEX('Global Constants'!BW$45:BW$49,$H28))</f>
        <v/>
      </c>
      <c r="CE28" s="26" t="str">
        <f>IF($C28="","",'Outturn ex VAT'!CE28*INDEX('Global Constants'!BX$45:BX$49,$H28))</f>
        <v/>
      </c>
      <c r="CF28" s="26" t="str">
        <f>IF($C28="","",'Outturn ex VAT'!CF28*INDEX('Global Constants'!BY$45:BY$49,$H28))</f>
        <v/>
      </c>
      <c r="CG28" s="26" t="str">
        <f>IF($C28="","",'Outturn ex VAT'!CG28*INDEX('Global Constants'!BZ$45:BZ$49,$H28))</f>
        <v/>
      </c>
      <c r="CH28" s="26" t="str">
        <f>IF($C28="","",'Outturn ex VAT'!CH28*INDEX('Global Constants'!CA$45:CA$49,$H28))</f>
        <v/>
      </c>
      <c r="CI28" s="26" t="str">
        <f>IF($C28="","",'Outturn ex VAT'!CI28*INDEX('Global Constants'!CB$45:CB$49,$H28))</f>
        <v/>
      </c>
      <c r="CJ28" s="26" t="str">
        <f>IF($C28="","",'Outturn ex VAT'!CJ28*INDEX('Global Constants'!CC$45:CC$49,$H28))</f>
        <v/>
      </c>
      <c r="CK28" s="26" t="str">
        <f>IF($C28="","",'Outturn ex VAT'!CK28*INDEX('Global Constants'!CD$45:CD$49,$H28))</f>
        <v/>
      </c>
      <c r="CL28" s="26" t="str">
        <f>IF($C28="","",'Outturn ex VAT'!CL28*INDEX('Global Constants'!CE$45:CE$49,$H28))</f>
        <v/>
      </c>
      <c r="CM28" s="26" t="str">
        <f>IF($C28="","",'Outturn ex VAT'!CM28*INDEX('Global Constants'!CF$45:CF$49,$H28))</f>
        <v/>
      </c>
      <c r="CN28" s="26" t="str">
        <f>IF($C28="","",'Outturn ex VAT'!CN28*INDEX('Global Constants'!CG$45:CG$49,$H28))</f>
        <v/>
      </c>
      <c r="CO28" s="26" t="str">
        <f>IF($C28="","",'Outturn ex VAT'!CO28*INDEX('Global Constants'!CH$45:CH$49,$H28))</f>
        <v/>
      </c>
      <c r="CP28" s="26" t="str">
        <f>IF($C28="","",'Outturn ex VAT'!CP28*INDEX('Global Constants'!CI$45:CI$49,$H28))</f>
        <v/>
      </c>
      <c r="CQ28" s="26" t="str">
        <f>IF($C28="","",'Outturn ex VAT'!CQ28*INDEX('Global Constants'!CJ$45:CJ$49,$H28))</f>
        <v/>
      </c>
      <c r="CR28" s="26" t="str">
        <f>IF($C28="","",'Outturn ex VAT'!CR28*INDEX('Global Constants'!CK$45:CK$49,$H28))</f>
        <v/>
      </c>
      <c r="CS28" s="26" t="str">
        <f>IF($C28="","",'Outturn ex VAT'!CS28*INDEX('Global Constants'!CL$45:CL$49,$H28))</f>
        <v/>
      </c>
      <c r="CT28" s="26" t="str">
        <f>IF($C28="","",'Outturn ex VAT'!CT28*INDEX('Global Constants'!CM$45:CM$49,$H28))</f>
        <v/>
      </c>
      <c r="CU28" s="26" t="str">
        <f>IF($C28="","",'Outturn ex VAT'!CU28*INDEX('Global Constants'!CN$45:CN$49,$H28))</f>
        <v/>
      </c>
      <c r="CV28" s="26" t="str">
        <f>IF($C28="","",'Outturn ex VAT'!CV28*INDEX('Global Constants'!CO$45:CO$49,$H28))</f>
        <v/>
      </c>
      <c r="CW28" s="26" t="str">
        <f>IF($C28="","",'Outturn ex VAT'!CW28*INDEX('Global Constants'!CP$45:CP$49,$H28))</f>
        <v/>
      </c>
      <c r="CX28" s="26" t="str">
        <f>IF($C28="","",'Outturn ex VAT'!CX28*INDEX('Global Constants'!CQ$45:CQ$49,$H28))</f>
        <v/>
      </c>
      <c r="CZ28" s="26">
        <f t="shared" ca="1" si="1"/>
        <v>0</v>
      </c>
      <c r="DA28" s="26">
        <f t="shared" si="2"/>
        <v>0</v>
      </c>
    </row>
    <row r="29" spans="3:105" x14ac:dyDescent="0.3">
      <c r="C29" s="4" t="str">
        <f>IF('Cost &amp; Risk Inputs'!C30="","",'Cost &amp; Risk Inputs'!C30)</f>
        <v/>
      </c>
      <c r="D29" s="4" t="str">
        <f>IF(C29="","",'Cost &amp; Risk Inputs'!H30)</f>
        <v/>
      </c>
      <c r="E29" s="4" t="str">
        <f>IF(C29="","",'Cost &amp; Risk Inputs'!I30)</f>
        <v/>
      </c>
      <c r="F29" s="4" t="str">
        <f>IF(C29="","",'Cost &amp; Risk Inputs'!E30)</f>
        <v/>
      </c>
      <c r="H29" s="18" t="str">
        <f t="shared" si="0"/>
        <v/>
      </c>
      <c r="M29" s="26" t="str">
        <f>IF($C29="","",'Outturn ex VAT'!M29*INDEX('Global Constants'!F$45:F$49,$H29))</f>
        <v/>
      </c>
      <c r="N29" s="26" t="str">
        <f>IF($C29="","",'Outturn ex VAT'!N29*INDEX('Global Constants'!G$45:G$49,$H29))</f>
        <v/>
      </c>
      <c r="O29" s="26" t="str">
        <f>IF($C29="","",'Outturn ex VAT'!O29*INDEX('Global Constants'!H$45:H$49,$H29))</f>
        <v/>
      </c>
      <c r="P29" s="26" t="str">
        <f>IF($C29="","",'Outturn ex VAT'!P29*INDEX('Global Constants'!I$45:I$49,$H29))</f>
        <v/>
      </c>
      <c r="Q29" s="26" t="str">
        <f>IF($C29="","",'Outturn ex VAT'!Q29*INDEX('Global Constants'!J$45:J$49,$H29))</f>
        <v/>
      </c>
      <c r="R29" s="26" t="str">
        <f>IF($C29="","",'Outturn ex VAT'!R29*INDEX('Global Constants'!K$45:K$49,$H29))</f>
        <v/>
      </c>
      <c r="S29" s="26" t="str">
        <f>IF($C29="","",'Outturn ex VAT'!S29*INDEX('Global Constants'!L$45:L$49,$H29))</f>
        <v/>
      </c>
      <c r="T29" s="26" t="str">
        <f>IF($C29="","",'Outturn ex VAT'!T29*INDEX('Global Constants'!M$45:M$49,$H29))</f>
        <v/>
      </c>
      <c r="U29" s="26" t="str">
        <f>IF($C29="","",'Outturn ex VAT'!U29*INDEX('Global Constants'!N$45:N$49,$H29))</f>
        <v/>
      </c>
      <c r="V29" s="26" t="str">
        <f>IF($C29="","",'Outturn ex VAT'!V29*INDEX('Global Constants'!O$45:O$49,$H29))</f>
        <v/>
      </c>
      <c r="W29" s="26" t="str">
        <f>IF($C29="","",'Outturn ex VAT'!W29*INDEX('Global Constants'!P$45:P$49,$H29))</f>
        <v/>
      </c>
      <c r="X29" s="26" t="str">
        <f>IF($C29="","",'Outturn ex VAT'!X29*INDEX('Global Constants'!Q$45:Q$49,$H29))</f>
        <v/>
      </c>
      <c r="Y29" s="26" t="str">
        <f>IF($C29="","",'Outturn ex VAT'!Y29*INDEX('Global Constants'!R$45:R$49,$H29))</f>
        <v/>
      </c>
      <c r="Z29" s="26" t="str">
        <f>IF($C29="","",'Outturn ex VAT'!Z29*INDEX('Global Constants'!S$45:S$49,$H29))</f>
        <v/>
      </c>
      <c r="AA29" s="26" t="str">
        <f>IF($C29="","",'Outturn ex VAT'!AA29*INDEX('Global Constants'!T$45:T$49,$H29))</f>
        <v/>
      </c>
      <c r="AB29" s="26" t="str">
        <f>IF($C29="","",'Outturn ex VAT'!AB29*INDEX('Global Constants'!U$45:U$49,$H29))</f>
        <v/>
      </c>
      <c r="AC29" s="26" t="str">
        <f>IF($C29="","",'Outturn ex VAT'!AC29*INDEX('Global Constants'!V$45:V$49,$H29))</f>
        <v/>
      </c>
      <c r="AD29" s="26" t="str">
        <f>IF($C29="","",'Outturn ex VAT'!AD29*INDEX('Global Constants'!W$45:W$49,$H29))</f>
        <v/>
      </c>
      <c r="AE29" s="26" t="str">
        <f>IF($C29="","",'Outturn ex VAT'!AE29*INDEX('Global Constants'!X$45:X$49,$H29))</f>
        <v/>
      </c>
      <c r="AF29" s="26" t="str">
        <f>IF($C29="","",'Outturn ex VAT'!AF29*INDEX('Global Constants'!Y$45:Y$49,$H29))</f>
        <v/>
      </c>
      <c r="AG29" s="26" t="str">
        <f>IF($C29="","",'Outturn ex VAT'!AG29*INDEX('Global Constants'!Z$45:Z$49,$H29))</f>
        <v/>
      </c>
      <c r="AH29" s="26" t="str">
        <f>IF($C29="","",'Outturn ex VAT'!AH29*INDEX('Global Constants'!AA$45:AA$49,$H29))</f>
        <v/>
      </c>
      <c r="AI29" s="26" t="str">
        <f>IF($C29="","",'Outturn ex VAT'!AI29*INDEX('Global Constants'!AB$45:AB$49,$H29))</f>
        <v/>
      </c>
      <c r="AJ29" s="26" t="str">
        <f>IF($C29="","",'Outturn ex VAT'!AJ29*INDEX('Global Constants'!AC$45:AC$49,$H29))</f>
        <v/>
      </c>
      <c r="AK29" s="26" t="str">
        <f>IF($C29="","",'Outturn ex VAT'!AK29*INDEX('Global Constants'!AD$45:AD$49,$H29))</f>
        <v/>
      </c>
      <c r="AL29" s="26" t="str">
        <f>IF($C29="","",'Outturn ex VAT'!AL29*INDEX('Global Constants'!AE$45:AE$49,$H29))</f>
        <v/>
      </c>
      <c r="AM29" s="26" t="str">
        <f>IF($C29="","",'Outturn ex VAT'!AM29*INDEX('Global Constants'!AF$45:AF$49,$H29))</f>
        <v/>
      </c>
      <c r="AN29" s="26" t="str">
        <f>IF($C29="","",'Outturn ex VAT'!AN29*INDEX('Global Constants'!AG$45:AG$49,$H29))</f>
        <v/>
      </c>
      <c r="AO29" s="26" t="str">
        <f>IF($C29="","",'Outturn ex VAT'!AO29*INDEX('Global Constants'!AH$45:AH$49,$H29))</f>
        <v/>
      </c>
      <c r="AP29" s="26" t="str">
        <f>IF($C29="","",'Outturn ex VAT'!AP29*INDEX('Global Constants'!AI$45:AI$49,$H29))</f>
        <v/>
      </c>
      <c r="AQ29" s="26" t="str">
        <f>IF($C29="","",'Outturn ex VAT'!AQ29*INDEX('Global Constants'!AJ$45:AJ$49,$H29))</f>
        <v/>
      </c>
      <c r="AR29" s="26" t="str">
        <f>IF($C29="","",'Outturn ex VAT'!AR29*INDEX('Global Constants'!AK$45:AK$49,$H29))</f>
        <v/>
      </c>
      <c r="AS29" s="26" t="str">
        <f>IF($C29="","",'Outturn ex VAT'!AS29*INDEX('Global Constants'!AL$45:AL$49,$H29))</f>
        <v/>
      </c>
      <c r="AT29" s="26" t="str">
        <f>IF($C29="","",'Outturn ex VAT'!AT29*INDEX('Global Constants'!AM$45:AM$49,$H29))</f>
        <v/>
      </c>
      <c r="AU29" s="26" t="str">
        <f>IF($C29="","",'Outturn ex VAT'!AU29*INDEX('Global Constants'!AN$45:AN$49,$H29))</f>
        <v/>
      </c>
      <c r="AV29" s="26" t="str">
        <f>IF($C29="","",'Outturn ex VAT'!AV29*INDEX('Global Constants'!AO$45:AO$49,$H29))</f>
        <v/>
      </c>
      <c r="AW29" s="26" t="str">
        <f>IF($C29="","",'Outturn ex VAT'!AW29*INDEX('Global Constants'!AP$45:AP$49,$H29))</f>
        <v/>
      </c>
      <c r="AX29" s="26" t="str">
        <f>IF($C29="","",'Outturn ex VAT'!AX29*INDEX('Global Constants'!AQ$45:AQ$49,$H29))</f>
        <v/>
      </c>
      <c r="AY29" s="26" t="str">
        <f>IF($C29="","",'Outturn ex VAT'!AY29*INDEX('Global Constants'!AR$45:AR$49,$H29))</f>
        <v/>
      </c>
      <c r="AZ29" s="26" t="str">
        <f>IF($C29="","",'Outturn ex VAT'!AZ29*INDEX('Global Constants'!AS$45:AS$49,$H29))</f>
        <v/>
      </c>
      <c r="BA29" s="26" t="str">
        <f>IF($C29="","",'Outturn ex VAT'!BA29*INDEX('Global Constants'!AT$45:AT$49,$H29))</f>
        <v/>
      </c>
      <c r="BB29" s="26" t="str">
        <f>IF($C29="","",'Outturn ex VAT'!BB29*INDEX('Global Constants'!AU$45:AU$49,$H29))</f>
        <v/>
      </c>
      <c r="BC29" s="26" t="str">
        <f>IF($C29="","",'Outturn ex VAT'!BC29*INDEX('Global Constants'!AV$45:AV$49,$H29))</f>
        <v/>
      </c>
      <c r="BD29" s="26" t="str">
        <f>IF($C29="","",'Outturn ex VAT'!BD29*INDEX('Global Constants'!AW$45:AW$49,$H29))</f>
        <v/>
      </c>
      <c r="BE29" s="26" t="str">
        <f>IF($C29="","",'Outturn ex VAT'!BE29*INDEX('Global Constants'!AX$45:AX$49,$H29))</f>
        <v/>
      </c>
      <c r="BF29" s="26" t="str">
        <f>IF($C29="","",'Outturn ex VAT'!BF29*INDEX('Global Constants'!AY$45:AY$49,$H29))</f>
        <v/>
      </c>
      <c r="BG29" s="26" t="str">
        <f>IF($C29="","",'Outturn ex VAT'!BG29*INDEX('Global Constants'!AZ$45:AZ$49,$H29))</f>
        <v/>
      </c>
      <c r="BH29" s="26" t="str">
        <f>IF($C29="","",'Outturn ex VAT'!BH29*INDEX('Global Constants'!BA$45:BA$49,$H29))</f>
        <v/>
      </c>
      <c r="BI29" s="26" t="str">
        <f>IF($C29="","",'Outturn ex VAT'!BI29*INDEX('Global Constants'!BB$45:BB$49,$H29))</f>
        <v/>
      </c>
      <c r="BJ29" s="26" t="str">
        <f>IF($C29="","",'Outturn ex VAT'!BJ29*INDEX('Global Constants'!BC$45:BC$49,$H29))</f>
        <v/>
      </c>
      <c r="BK29" s="26" t="str">
        <f>IF($C29="","",'Outturn ex VAT'!BK29*INDEX('Global Constants'!BD$45:BD$49,$H29))</f>
        <v/>
      </c>
      <c r="BL29" s="26" t="str">
        <f>IF($C29="","",'Outturn ex VAT'!BL29*INDEX('Global Constants'!BE$45:BE$49,$H29))</f>
        <v/>
      </c>
      <c r="BM29" s="26" t="str">
        <f>IF($C29="","",'Outturn ex VAT'!BM29*INDEX('Global Constants'!BF$45:BF$49,$H29))</f>
        <v/>
      </c>
      <c r="BN29" s="26" t="str">
        <f>IF($C29="","",'Outturn ex VAT'!BN29*INDEX('Global Constants'!BG$45:BG$49,$H29))</f>
        <v/>
      </c>
      <c r="BO29" s="26" t="str">
        <f>IF($C29="","",'Outturn ex VAT'!BO29*INDEX('Global Constants'!BH$45:BH$49,$H29))</f>
        <v/>
      </c>
      <c r="BP29" s="26" t="str">
        <f>IF($C29="","",'Outturn ex VAT'!BP29*INDEX('Global Constants'!BI$45:BI$49,$H29))</f>
        <v/>
      </c>
      <c r="BQ29" s="26" t="str">
        <f>IF($C29="","",'Outturn ex VAT'!BQ29*INDEX('Global Constants'!BJ$45:BJ$49,$H29))</f>
        <v/>
      </c>
      <c r="BR29" s="26" t="str">
        <f>IF($C29="","",'Outturn ex VAT'!BR29*INDEX('Global Constants'!BK$45:BK$49,$H29))</f>
        <v/>
      </c>
      <c r="BS29" s="26" t="str">
        <f>IF($C29="","",'Outturn ex VAT'!BS29*INDEX('Global Constants'!BL$45:BL$49,$H29))</f>
        <v/>
      </c>
      <c r="BT29" s="26" t="str">
        <f>IF($C29="","",'Outturn ex VAT'!BT29*INDEX('Global Constants'!BM$45:BM$49,$H29))</f>
        <v/>
      </c>
      <c r="BU29" s="26" t="str">
        <f>IF($C29="","",'Outturn ex VAT'!BU29*INDEX('Global Constants'!BN$45:BN$49,$H29))</f>
        <v/>
      </c>
      <c r="BV29" s="26" t="str">
        <f>IF($C29="","",'Outturn ex VAT'!BV29*INDEX('Global Constants'!BO$45:BO$49,$H29))</f>
        <v/>
      </c>
      <c r="BW29" s="26" t="str">
        <f>IF($C29="","",'Outturn ex VAT'!BW29*INDEX('Global Constants'!BP$45:BP$49,$H29))</f>
        <v/>
      </c>
      <c r="BX29" s="26" t="str">
        <f>IF($C29="","",'Outturn ex VAT'!BX29*INDEX('Global Constants'!BQ$45:BQ$49,$H29))</f>
        <v/>
      </c>
      <c r="BY29" s="26" t="str">
        <f>IF($C29="","",'Outturn ex VAT'!BY29*INDEX('Global Constants'!BR$45:BR$49,$H29))</f>
        <v/>
      </c>
      <c r="BZ29" s="26" t="str">
        <f>IF($C29="","",'Outturn ex VAT'!BZ29*INDEX('Global Constants'!BS$45:BS$49,$H29))</f>
        <v/>
      </c>
      <c r="CA29" s="26" t="str">
        <f>IF($C29="","",'Outturn ex VAT'!CA29*INDEX('Global Constants'!BT$45:BT$49,$H29))</f>
        <v/>
      </c>
      <c r="CB29" s="26" t="str">
        <f>IF($C29="","",'Outturn ex VAT'!CB29*INDEX('Global Constants'!BU$45:BU$49,$H29))</f>
        <v/>
      </c>
      <c r="CC29" s="26" t="str">
        <f>IF($C29="","",'Outturn ex VAT'!CC29*INDEX('Global Constants'!BV$45:BV$49,$H29))</f>
        <v/>
      </c>
      <c r="CD29" s="26" t="str">
        <f>IF($C29="","",'Outturn ex VAT'!CD29*INDEX('Global Constants'!BW$45:BW$49,$H29))</f>
        <v/>
      </c>
      <c r="CE29" s="26" t="str">
        <f>IF($C29="","",'Outturn ex VAT'!CE29*INDEX('Global Constants'!BX$45:BX$49,$H29))</f>
        <v/>
      </c>
      <c r="CF29" s="26" t="str">
        <f>IF($C29="","",'Outturn ex VAT'!CF29*INDEX('Global Constants'!BY$45:BY$49,$H29))</f>
        <v/>
      </c>
      <c r="CG29" s="26" t="str">
        <f>IF($C29="","",'Outturn ex VAT'!CG29*INDEX('Global Constants'!BZ$45:BZ$49,$H29))</f>
        <v/>
      </c>
      <c r="CH29" s="26" t="str">
        <f>IF($C29="","",'Outturn ex VAT'!CH29*INDEX('Global Constants'!CA$45:CA$49,$H29))</f>
        <v/>
      </c>
      <c r="CI29" s="26" t="str">
        <f>IF($C29="","",'Outturn ex VAT'!CI29*INDEX('Global Constants'!CB$45:CB$49,$H29))</f>
        <v/>
      </c>
      <c r="CJ29" s="26" t="str">
        <f>IF($C29="","",'Outturn ex VAT'!CJ29*INDEX('Global Constants'!CC$45:CC$49,$H29))</f>
        <v/>
      </c>
      <c r="CK29" s="26" t="str">
        <f>IF($C29="","",'Outturn ex VAT'!CK29*INDEX('Global Constants'!CD$45:CD$49,$H29))</f>
        <v/>
      </c>
      <c r="CL29" s="26" t="str">
        <f>IF($C29="","",'Outturn ex VAT'!CL29*INDEX('Global Constants'!CE$45:CE$49,$H29))</f>
        <v/>
      </c>
      <c r="CM29" s="26" t="str">
        <f>IF($C29="","",'Outturn ex VAT'!CM29*INDEX('Global Constants'!CF$45:CF$49,$H29))</f>
        <v/>
      </c>
      <c r="CN29" s="26" t="str">
        <f>IF($C29="","",'Outturn ex VAT'!CN29*INDEX('Global Constants'!CG$45:CG$49,$H29))</f>
        <v/>
      </c>
      <c r="CO29" s="26" t="str">
        <f>IF($C29="","",'Outturn ex VAT'!CO29*INDEX('Global Constants'!CH$45:CH$49,$H29))</f>
        <v/>
      </c>
      <c r="CP29" s="26" t="str">
        <f>IF($C29="","",'Outturn ex VAT'!CP29*INDEX('Global Constants'!CI$45:CI$49,$H29))</f>
        <v/>
      </c>
      <c r="CQ29" s="26" t="str">
        <f>IF($C29="","",'Outturn ex VAT'!CQ29*INDEX('Global Constants'!CJ$45:CJ$49,$H29))</f>
        <v/>
      </c>
      <c r="CR29" s="26" t="str">
        <f>IF($C29="","",'Outturn ex VAT'!CR29*INDEX('Global Constants'!CK$45:CK$49,$H29))</f>
        <v/>
      </c>
      <c r="CS29" s="26" t="str">
        <f>IF($C29="","",'Outturn ex VAT'!CS29*INDEX('Global Constants'!CL$45:CL$49,$H29))</f>
        <v/>
      </c>
      <c r="CT29" s="26" t="str">
        <f>IF($C29="","",'Outturn ex VAT'!CT29*INDEX('Global Constants'!CM$45:CM$49,$H29))</f>
        <v/>
      </c>
      <c r="CU29" s="26" t="str">
        <f>IF($C29="","",'Outturn ex VAT'!CU29*INDEX('Global Constants'!CN$45:CN$49,$H29))</f>
        <v/>
      </c>
      <c r="CV29" s="26" t="str">
        <f>IF($C29="","",'Outturn ex VAT'!CV29*INDEX('Global Constants'!CO$45:CO$49,$H29))</f>
        <v/>
      </c>
      <c r="CW29" s="26" t="str">
        <f>IF($C29="","",'Outturn ex VAT'!CW29*INDEX('Global Constants'!CP$45:CP$49,$H29))</f>
        <v/>
      </c>
      <c r="CX29" s="26" t="str">
        <f>IF($C29="","",'Outturn ex VAT'!CX29*INDEX('Global Constants'!CQ$45:CQ$49,$H29))</f>
        <v/>
      </c>
      <c r="CZ29" s="26">
        <f t="shared" ca="1" si="1"/>
        <v>0</v>
      </c>
      <c r="DA29" s="26">
        <f t="shared" si="2"/>
        <v>0</v>
      </c>
    </row>
    <row r="30" spans="3:105" x14ac:dyDescent="0.3">
      <c r="C30" s="4" t="str">
        <f>IF('Cost &amp; Risk Inputs'!C31="","",'Cost &amp; Risk Inputs'!C31)</f>
        <v/>
      </c>
      <c r="D30" s="4" t="str">
        <f>IF(C30="","",'Cost &amp; Risk Inputs'!H31)</f>
        <v/>
      </c>
      <c r="E30" s="4" t="str">
        <f>IF(C30="","",'Cost &amp; Risk Inputs'!I31)</f>
        <v/>
      </c>
      <c r="F30" s="4" t="str">
        <f>IF(C30="","",'Cost &amp; Risk Inputs'!E31)</f>
        <v/>
      </c>
      <c r="H30" s="18" t="str">
        <f t="shared" si="0"/>
        <v/>
      </c>
      <c r="M30" s="26" t="str">
        <f>IF($C30="","",'Outturn ex VAT'!M30*INDEX('Global Constants'!F$45:F$49,$H30))</f>
        <v/>
      </c>
      <c r="N30" s="26" t="str">
        <f>IF($C30="","",'Outturn ex VAT'!N30*INDEX('Global Constants'!G$45:G$49,$H30))</f>
        <v/>
      </c>
      <c r="O30" s="26" t="str">
        <f>IF($C30="","",'Outturn ex VAT'!O30*INDEX('Global Constants'!H$45:H$49,$H30))</f>
        <v/>
      </c>
      <c r="P30" s="26" t="str">
        <f>IF($C30="","",'Outturn ex VAT'!P30*INDEX('Global Constants'!I$45:I$49,$H30))</f>
        <v/>
      </c>
      <c r="Q30" s="26" t="str">
        <f>IF($C30="","",'Outturn ex VAT'!Q30*INDEX('Global Constants'!J$45:J$49,$H30))</f>
        <v/>
      </c>
      <c r="R30" s="26" t="str">
        <f>IF($C30="","",'Outturn ex VAT'!R30*INDEX('Global Constants'!K$45:K$49,$H30))</f>
        <v/>
      </c>
      <c r="S30" s="26" t="str">
        <f>IF($C30="","",'Outturn ex VAT'!S30*INDEX('Global Constants'!L$45:L$49,$H30))</f>
        <v/>
      </c>
      <c r="T30" s="26" t="str">
        <f>IF($C30="","",'Outturn ex VAT'!T30*INDEX('Global Constants'!M$45:M$49,$H30))</f>
        <v/>
      </c>
      <c r="U30" s="26" t="str">
        <f>IF($C30="","",'Outturn ex VAT'!U30*INDEX('Global Constants'!N$45:N$49,$H30))</f>
        <v/>
      </c>
      <c r="V30" s="26" t="str">
        <f>IF($C30="","",'Outturn ex VAT'!V30*INDEX('Global Constants'!O$45:O$49,$H30))</f>
        <v/>
      </c>
      <c r="W30" s="26" t="str">
        <f>IF($C30="","",'Outturn ex VAT'!W30*INDEX('Global Constants'!P$45:P$49,$H30))</f>
        <v/>
      </c>
      <c r="X30" s="26" t="str">
        <f>IF($C30="","",'Outturn ex VAT'!X30*INDEX('Global Constants'!Q$45:Q$49,$H30))</f>
        <v/>
      </c>
      <c r="Y30" s="26" t="str">
        <f>IF($C30="","",'Outturn ex VAT'!Y30*INDEX('Global Constants'!R$45:R$49,$H30))</f>
        <v/>
      </c>
      <c r="Z30" s="26" t="str">
        <f>IF($C30="","",'Outturn ex VAT'!Z30*INDEX('Global Constants'!S$45:S$49,$H30))</f>
        <v/>
      </c>
      <c r="AA30" s="26" t="str">
        <f>IF($C30="","",'Outturn ex VAT'!AA30*INDEX('Global Constants'!T$45:T$49,$H30))</f>
        <v/>
      </c>
      <c r="AB30" s="26" t="str">
        <f>IF($C30="","",'Outturn ex VAT'!AB30*INDEX('Global Constants'!U$45:U$49,$H30))</f>
        <v/>
      </c>
      <c r="AC30" s="26" t="str">
        <f>IF($C30="","",'Outturn ex VAT'!AC30*INDEX('Global Constants'!V$45:V$49,$H30))</f>
        <v/>
      </c>
      <c r="AD30" s="26" t="str">
        <f>IF($C30="","",'Outturn ex VAT'!AD30*INDEX('Global Constants'!W$45:W$49,$H30))</f>
        <v/>
      </c>
      <c r="AE30" s="26" t="str">
        <f>IF($C30="","",'Outturn ex VAT'!AE30*INDEX('Global Constants'!X$45:X$49,$H30))</f>
        <v/>
      </c>
      <c r="AF30" s="26" t="str">
        <f>IF($C30="","",'Outturn ex VAT'!AF30*INDEX('Global Constants'!Y$45:Y$49,$H30))</f>
        <v/>
      </c>
      <c r="AG30" s="26" t="str">
        <f>IF($C30="","",'Outturn ex VAT'!AG30*INDEX('Global Constants'!Z$45:Z$49,$H30))</f>
        <v/>
      </c>
      <c r="AH30" s="26" t="str">
        <f>IF($C30="","",'Outturn ex VAT'!AH30*INDEX('Global Constants'!AA$45:AA$49,$H30))</f>
        <v/>
      </c>
      <c r="AI30" s="26" t="str">
        <f>IF($C30="","",'Outturn ex VAT'!AI30*INDEX('Global Constants'!AB$45:AB$49,$H30))</f>
        <v/>
      </c>
      <c r="AJ30" s="26" t="str">
        <f>IF($C30="","",'Outturn ex VAT'!AJ30*INDEX('Global Constants'!AC$45:AC$49,$H30))</f>
        <v/>
      </c>
      <c r="AK30" s="26" t="str">
        <f>IF($C30="","",'Outturn ex VAT'!AK30*INDEX('Global Constants'!AD$45:AD$49,$H30))</f>
        <v/>
      </c>
      <c r="AL30" s="26" t="str">
        <f>IF($C30="","",'Outturn ex VAT'!AL30*INDEX('Global Constants'!AE$45:AE$49,$H30))</f>
        <v/>
      </c>
      <c r="AM30" s="26" t="str">
        <f>IF($C30="","",'Outturn ex VAT'!AM30*INDEX('Global Constants'!AF$45:AF$49,$H30))</f>
        <v/>
      </c>
      <c r="AN30" s="26" t="str">
        <f>IF($C30="","",'Outturn ex VAT'!AN30*INDEX('Global Constants'!AG$45:AG$49,$H30))</f>
        <v/>
      </c>
      <c r="AO30" s="26" t="str">
        <f>IF($C30="","",'Outturn ex VAT'!AO30*INDEX('Global Constants'!AH$45:AH$49,$H30))</f>
        <v/>
      </c>
      <c r="AP30" s="26" t="str">
        <f>IF($C30="","",'Outturn ex VAT'!AP30*INDEX('Global Constants'!AI$45:AI$49,$H30))</f>
        <v/>
      </c>
      <c r="AQ30" s="26" t="str">
        <f>IF($C30="","",'Outturn ex VAT'!AQ30*INDEX('Global Constants'!AJ$45:AJ$49,$H30))</f>
        <v/>
      </c>
      <c r="AR30" s="26" t="str">
        <f>IF($C30="","",'Outturn ex VAT'!AR30*INDEX('Global Constants'!AK$45:AK$49,$H30))</f>
        <v/>
      </c>
      <c r="AS30" s="26" t="str">
        <f>IF($C30="","",'Outturn ex VAT'!AS30*INDEX('Global Constants'!AL$45:AL$49,$H30))</f>
        <v/>
      </c>
      <c r="AT30" s="26" t="str">
        <f>IF($C30="","",'Outturn ex VAT'!AT30*INDEX('Global Constants'!AM$45:AM$49,$H30))</f>
        <v/>
      </c>
      <c r="AU30" s="26" t="str">
        <f>IF($C30="","",'Outturn ex VAT'!AU30*INDEX('Global Constants'!AN$45:AN$49,$H30))</f>
        <v/>
      </c>
      <c r="AV30" s="26" t="str">
        <f>IF($C30="","",'Outturn ex VAT'!AV30*INDEX('Global Constants'!AO$45:AO$49,$H30))</f>
        <v/>
      </c>
      <c r="AW30" s="26" t="str">
        <f>IF($C30="","",'Outturn ex VAT'!AW30*INDEX('Global Constants'!AP$45:AP$49,$H30))</f>
        <v/>
      </c>
      <c r="AX30" s="26" t="str">
        <f>IF($C30="","",'Outturn ex VAT'!AX30*INDEX('Global Constants'!AQ$45:AQ$49,$H30))</f>
        <v/>
      </c>
      <c r="AY30" s="26" t="str">
        <f>IF($C30="","",'Outturn ex VAT'!AY30*INDEX('Global Constants'!AR$45:AR$49,$H30))</f>
        <v/>
      </c>
      <c r="AZ30" s="26" t="str">
        <f>IF($C30="","",'Outturn ex VAT'!AZ30*INDEX('Global Constants'!AS$45:AS$49,$H30))</f>
        <v/>
      </c>
      <c r="BA30" s="26" t="str">
        <f>IF($C30="","",'Outturn ex VAT'!BA30*INDEX('Global Constants'!AT$45:AT$49,$H30))</f>
        <v/>
      </c>
      <c r="BB30" s="26" t="str">
        <f>IF($C30="","",'Outturn ex VAT'!BB30*INDEX('Global Constants'!AU$45:AU$49,$H30))</f>
        <v/>
      </c>
      <c r="BC30" s="26" t="str">
        <f>IF($C30="","",'Outturn ex VAT'!BC30*INDEX('Global Constants'!AV$45:AV$49,$H30))</f>
        <v/>
      </c>
      <c r="BD30" s="26" t="str">
        <f>IF($C30="","",'Outturn ex VAT'!BD30*INDEX('Global Constants'!AW$45:AW$49,$H30))</f>
        <v/>
      </c>
      <c r="BE30" s="26" t="str">
        <f>IF($C30="","",'Outturn ex VAT'!BE30*INDEX('Global Constants'!AX$45:AX$49,$H30))</f>
        <v/>
      </c>
      <c r="BF30" s="26" t="str">
        <f>IF($C30="","",'Outturn ex VAT'!BF30*INDEX('Global Constants'!AY$45:AY$49,$H30))</f>
        <v/>
      </c>
      <c r="BG30" s="26" t="str">
        <f>IF($C30="","",'Outturn ex VAT'!BG30*INDEX('Global Constants'!AZ$45:AZ$49,$H30))</f>
        <v/>
      </c>
      <c r="BH30" s="26" t="str">
        <f>IF($C30="","",'Outturn ex VAT'!BH30*INDEX('Global Constants'!BA$45:BA$49,$H30))</f>
        <v/>
      </c>
      <c r="BI30" s="26" t="str">
        <f>IF($C30="","",'Outturn ex VAT'!BI30*INDEX('Global Constants'!BB$45:BB$49,$H30))</f>
        <v/>
      </c>
      <c r="BJ30" s="26" t="str">
        <f>IF($C30="","",'Outturn ex VAT'!BJ30*INDEX('Global Constants'!BC$45:BC$49,$H30))</f>
        <v/>
      </c>
      <c r="BK30" s="26" t="str">
        <f>IF($C30="","",'Outturn ex VAT'!BK30*INDEX('Global Constants'!BD$45:BD$49,$H30))</f>
        <v/>
      </c>
      <c r="BL30" s="26" t="str">
        <f>IF($C30="","",'Outturn ex VAT'!BL30*INDEX('Global Constants'!BE$45:BE$49,$H30))</f>
        <v/>
      </c>
      <c r="BM30" s="26" t="str">
        <f>IF($C30="","",'Outturn ex VAT'!BM30*INDEX('Global Constants'!BF$45:BF$49,$H30))</f>
        <v/>
      </c>
      <c r="BN30" s="26" t="str">
        <f>IF($C30="","",'Outturn ex VAT'!BN30*INDEX('Global Constants'!BG$45:BG$49,$H30))</f>
        <v/>
      </c>
      <c r="BO30" s="26" t="str">
        <f>IF($C30="","",'Outturn ex VAT'!BO30*INDEX('Global Constants'!BH$45:BH$49,$H30))</f>
        <v/>
      </c>
      <c r="BP30" s="26" t="str">
        <f>IF($C30="","",'Outturn ex VAT'!BP30*INDEX('Global Constants'!BI$45:BI$49,$H30))</f>
        <v/>
      </c>
      <c r="BQ30" s="26" t="str">
        <f>IF($C30="","",'Outturn ex VAT'!BQ30*INDEX('Global Constants'!BJ$45:BJ$49,$H30))</f>
        <v/>
      </c>
      <c r="BR30" s="26" t="str">
        <f>IF($C30="","",'Outturn ex VAT'!BR30*INDEX('Global Constants'!BK$45:BK$49,$H30))</f>
        <v/>
      </c>
      <c r="BS30" s="26" t="str">
        <f>IF($C30="","",'Outturn ex VAT'!BS30*INDEX('Global Constants'!BL$45:BL$49,$H30))</f>
        <v/>
      </c>
      <c r="BT30" s="26" t="str">
        <f>IF($C30="","",'Outturn ex VAT'!BT30*INDEX('Global Constants'!BM$45:BM$49,$H30))</f>
        <v/>
      </c>
      <c r="BU30" s="26" t="str">
        <f>IF($C30="","",'Outturn ex VAT'!BU30*INDEX('Global Constants'!BN$45:BN$49,$H30))</f>
        <v/>
      </c>
      <c r="BV30" s="26" t="str">
        <f>IF($C30="","",'Outturn ex VAT'!BV30*INDEX('Global Constants'!BO$45:BO$49,$H30))</f>
        <v/>
      </c>
      <c r="BW30" s="26" t="str">
        <f>IF($C30="","",'Outturn ex VAT'!BW30*INDEX('Global Constants'!BP$45:BP$49,$H30))</f>
        <v/>
      </c>
      <c r="BX30" s="26" t="str">
        <f>IF($C30="","",'Outturn ex VAT'!BX30*INDEX('Global Constants'!BQ$45:BQ$49,$H30))</f>
        <v/>
      </c>
      <c r="BY30" s="26" t="str">
        <f>IF($C30="","",'Outturn ex VAT'!BY30*INDEX('Global Constants'!BR$45:BR$49,$H30))</f>
        <v/>
      </c>
      <c r="BZ30" s="26" t="str">
        <f>IF($C30="","",'Outturn ex VAT'!BZ30*INDEX('Global Constants'!BS$45:BS$49,$H30))</f>
        <v/>
      </c>
      <c r="CA30" s="26" t="str">
        <f>IF($C30="","",'Outturn ex VAT'!CA30*INDEX('Global Constants'!BT$45:BT$49,$H30))</f>
        <v/>
      </c>
      <c r="CB30" s="26" t="str">
        <f>IF($C30="","",'Outturn ex VAT'!CB30*INDEX('Global Constants'!BU$45:BU$49,$H30))</f>
        <v/>
      </c>
      <c r="CC30" s="26" t="str">
        <f>IF($C30="","",'Outturn ex VAT'!CC30*INDEX('Global Constants'!BV$45:BV$49,$H30))</f>
        <v/>
      </c>
      <c r="CD30" s="26" t="str">
        <f>IF($C30="","",'Outturn ex VAT'!CD30*INDEX('Global Constants'!BW$45:BW$49,$H30))</f>
        <v/>
      </c>
      <c r="CE30" s="26" t="str">
        <f>IF($C30="","",'Outturn ex VAT'!CE30*INDEX('Global Constants'!BX$45:BX$49,$H30))</f>
        <v/>
      </c>
      <c r="CF30" s="26" t="str">
        <f>IF($C30="","",'Outturn ex VAT'!CF30*INDEX('Global Constants'!BY$45:BY$49,$H30))</f>
        <v/>
      </c>
      <c r="CG30" s="26" t="str">
        <f>IF($C30="","",'Outturn ex VAT'!CG30*INDEX('Global Constants'!BZ$45:BZ$49,$H30))</f>
        <v/>
      </c>
      <c r="CH30" s="26" t="str">
        <f>IF($C30="","",'Outturn ex VAT'!CH30*INDEX('Global Constants'!CA$45:CA$49,$H30))</f>
        <v/>
      </c>
      <c r="CI30" s="26" t="str">
        <f>IF($C30="","",'Outturn ex VAT'!CI30*INDEX('Global Constants'!CB$45:CB$49,$H30))</f>
        <v/>
      </c>
      <c r="CJ30" s="26" t="str">
        <f>IF($C30="","",'Outturn ex VAT'!CJ30*INDEX('Global Constants'!CC$45:CC$49,$H30))</f>
        <v/>
      </c>
      <c r="CK30" s="26" t="str">
        <f>IF($C30="","",'Outturn ex VAT'!CK30*INDEX('Global Constants'!CD$45:CD$49,$H30))</f>
        <v/>
      </c>
      <c r="CL30" s="26" t="str">
        <f>IF($C30="","",'Outturn ex VAT'!CL30*INDEX('Global Constants'!CE$45:CE$49,$H30))</f>
        <v/>
      </c>
      <c r="CM30" s="26" t="str">
        <f>IF($C30="","",'Outturn ex VAT'!CM30*INDEX('Global Constants'!CF$45:CF$49,$H30))</f>
        <v/>
      </c>
      <c r="CN30" s="26" t="str">
        <f>IF($C30="","",'Outturn ex VAT'!CN30*INDEX('Global Constants'!CG$45:CG$49,$H30))</f>
        <v/>
      </c>
      <c r="CO30" s="26" t="str">
        <f>IF($C30="","",'Outturn ex VAT'!CO30*INDEX('Global Constants'!CH$45:CH$49,$H30))</f>
        <v/>
      </c>
      <c r="CP30" s="26" t="str">
        <f>IF($C30="","",'Outturn ex VAT'!CP30*INDEX('Global Constants'!CI$45:CI$49,$H30))</f>
        <v/>
      </c>
      <c r="CQ30" s="26" t="str">
        <f>IF($C30="","",'Outturn ex VAT'!CQ30*INDEX('Global Constants'!CJ$45:CJ$49,$H30))</f>
        <v/>
      </c>
      <c r="CR30" s="26" t="str">
        <f>IF($C30="","",'Outturn ex VAT'!CR30*INDEX('Global Constants'!CK$45:CK$49,$H30))</f>
        <v/>
      </c>
      <c r="CS30" s="26" t="str">
        <f>IF($C30="","",'Outturn ex VAT'!CS30*INDEX('Global Constants'!CL$45:CL$49,$H30))</f>
        <v/>
      </c>
      <c r="CT30" s="26" t="str">
        <f>IF($C30="","",'Outturn ex VAT'!CT30*INDEX('Global Constants'!CM$45:CM$49,$H30))</f>
        <v/>
      </c>
      <c r="CU30" s="26" t="str">
        <f>IF($C30="","",'Outturn ex VAT'!CU30*INDEX('Global Constants'!CN$45:CN$49,$H30))</f>
        <v/>
      </c>
      <c r="CV30" s="26" t="str">
        <f>IF($C30="","",'Outturn ex VAT'!CV30*INDEX('Global Constants'!CO$45:CO$49,$H30))</f>
        <v/>
      </c>
      <c r="CW30" s="26" t="str">
        <f>IF($C30="","",'Outturn ex VAT'!CW30*INDEX('Global Constants'!CP$45:CP$49,$H30))</f>
        <v/>
      </c>
      <c r="CX30" s="26" t="str">
        <f>IF($C30="","",'Outturn ex VAT'!CX30*INDEX('Global Constants'!CQ$45:CQ$49,$H30))</f>
        <v/>
      </c>
      <c r="CZ30" s="26">
        <f t="shared" ca="1" si="1"/>
        <v>0</v>
      </c>
      <c r="DA30" s="26">
        <f t="shared" si="2"/>
        <v>0</v>
      </c>
    </row>
    <row r="31" spans="3:105" x14ac:dyDescent="0.3">
      <c r="C31" s="4" t="str">
        <f>IF('Cost &amp; Risk Inputs'!C32="","",'Cost &amp; Risk Inputs'!C32)</f>
        <v/>
      </c>
      <c r="D31" s="4" t="str">
        <f>IF(C31="","",'Cost &amp; Risk Inputs'!H32)</f>
        <v/>
      </c>
      <c r="E31" s="4" t="str">
        <f>IF(C31="","",'Cost &amp; Risk Inputs'!I32)</f>
        <v/>
      </c>
      <c r="F31" s="4" t="str">
        <f>IF(C31="","",'Cost &amp; Risk Inputs'!E32)</f>
        <v/>
      </c>
      <c r="H31" s="18" t="str">
        <f t="shared" si="0"/>
        <v/>
      </c>
      <c r="M31" s="26" t="str">
        <f>IF($C31="","",'Outturn ex VAT'!M31*INDEX('Global Constants'!F$45:F$49,$H31))</f>
        <v/>
      </c>
      <c r="N31" s="26" t="str">
        <f>IF($C31="","",'Outturn ex VAT'!N31*INDEX('Global Constants'!G$45:G$49,$H31))</f>
        <v/>
      </c>
      <c r="O31" s="26" t="str">
        <f>IF($C31="","",'Outturn ex VAT'!O31*INDEX('Global Constants'!H$45:H$49,$H31))</f>
        <v/>
      </c>
      <c r="P31" s="26" t="str">
        <f>IF($C31="","",'Outturn ex VAT'!P31*INDEX('Global Constants'!I$45:I$49,$H31))</f>
        <v/>
      </c>
      <c r="Q31" s="26" t="str">
        <f>IF($C31="","",'Outturn ex VAT'!Q31*INDEX('Global Constants'!J$45:J$49,$H31))</f>
        <v/>
      </c>
      <c r="R31" s="26" t="str">
        <f>IF($C31="","",'Outturn ex VAT'!R31*INDEX('Global Constants'!K$45:K$49,$H31))</f>
        <v/>
      </c>
      <c r="S31" s="26" t="str">
        <f>IF($C31="","",'Outturn ex VAT'!S31*INDEX('Global Constants'!L$45:L$49,$H31))</f>
        <v/>
      </c>
      <c r="T31" s="26" t="str">
        <f>IF($C31="","",'Outturn ex VAT'!T31*INDEX('Global Constants'!M$45:M$49,$H31))</f>
        <v/>
      </c>
      <c r="U31" s="26" t="str">
        <f>IF($C31="","",'Outturn ex VAT'!U31*INDEX('Global Constants'!N$45:N$49,$H31))</f>
        <v/>
      </c>
      <c r="V31" s="26" t="str">
        <f>IF($C31="","",'Outturn ex VAT'!V31*INDEX('Global Constants'!O$45:O$49,$H31))</f>
        <v/>
      </c>
      <c r="W31" s="26" t="str">
        <f>IF($C31="","",'Outturn ex VAT'!W31*INDEX('Global Constants'!P$45:P$49,$H31))</f>
        <v/>
      </c>
      <c r="X31" s="26" t="str">
        <f>IF($C31="","",'Outturn ex VAT'!X31*INDEX('Global Constants'!Q$45:Q$49,$H31))</f>
        <v/>
      </c>
      <c r="Y31" s="26" t="str">
        <f>IF($C31="","",'Outturn ex VAT'!Y31*INDEX('Global Constants'!R$45:R$49,$H31))</f>
        <v/>
      </c>
      <c r="Z31" s="26" t="str">
        <f>IF($C31="","",'Outturn ex VAT'!Z31*INDEX('Global Constants'!S$45:S$49,$H31))</f>
        <v/>
      </c>
      <c r="AA31" s="26" t="str">
        <f>IF($C31="","",'Outturn ex VAT'!AA31*INDEX('Global Constants'!T$45:T$49,$H31))</f>
        <v/>
      </c>
      <c r="AB31" s="26" t="str">
        <f>IF($C31="","",'Outturn ex VAT'!AB31*INDEX('Global Constants'!U$45:U$49,$H31))</f>
        <v/>
      </c>
      <c r="AC31" s="26" t="str">
        <f>IF($C31="","",'Outturn ex VAT'!AC31*INDEX('Global Constants'!V$45:V$49,$H31))</f>
        <v/>
      </c>
      <c r="AD31" s="26" t="str">
        <f>IF($C31="","",'Outturn ex VAT'!AD31*INDEX('Global Constants'!W$45:W$49,$H31))</f>
        <v/>
      </c>
      <c r="AE31" s="26" t="str">
        <f>IF($C31="","",'Outturn ex VAT'!AE31*INDEX('Global Constants'!X$45:X$49,$H31))</f>
        <v/>
      </c>
      <c r="AF31" s="26" t="str">
        <f>IF($C31="","",'Outturn ex VAT'!AF31*INDEX('Global Constants'!Y$45:Y$49,$H31))</f>
        <v/>
      </c>
      <c r="AG31" s="26" t="str">
        <f>IF($C31="","",'Outturn ex VAT'!AG31*INDEX('Global Constants'!Z$45:Z$49,$H31))</f>
        <v/>
      </c>
      <c r="AH31" s="26" t="str">
        <f>IF($C31="","",'Outturn ex VAT'!AH31*INDEX('Global Constants'!AA$45:AA$49,$H31))</f>
        <v/>
      </c>
      <c r="AI31" s="26" t="str">
        <f>IF($C31="","",'Outturn ex VAT'!AI31*INDEX('Global Constants'!AB$45:AB$49,$H31))</f>
        <v/>
      </c>
      <c r="AJ31" s="26" t="str">
        <f>IF($C31="","",'Outturn ex VAT'!AJ31*INDEX('Global Constants'!AC$45:AC$49,$H31))</f>
        <v/>
      </c>
      <c r="AK31" s="26" t="str">
        <f>IF($C31="","",'Outturn ex VAT'!AK31*INDEX('Global Constants'!AD$45:AD$49,$H31))</f>
        <v/>
      </c>
      <c r="AL31" s="26" t="str">
        <f>IF($C31="","",'Outturn ex VAT'!AL31*INDEX('Global Constants'!AE$45:AE$49,$H31))</f>
        <v/>
      </c>
      <c r="AM31" s="26" t="str">
        <f>IF($C31="","",'Outturn ex VAT'!AM31*INDEX('Global Constants'!AF$45:AF$49,$H31))</f>
        <v/>
      </c>
      <c r="AN31" s="26" t="str">
        <f>IF($C31="","",'Outturn ex VAT'!AN31*INDEX('Global Constants'!AG$45:AG$49,$H31))</f>
        <v/>
      </c>
      <c r="AO31" s="26" t="str">
        <f>IF($C31="","",'Outturn ex VAT'!AO31*INDEX('Global Constants'!AH$45:AH$49,$H31))</f>
        <v/>
      </c>
      <c r="AP31" s="26" t="str">
        <f>IF($C31="","",'Outturn ex VAT'!AP31*INDEX('Global Constants'!AI$45:AI$49,$H31))</f>
        <v/>
      </c>
      <c r="AQ31" s="26" t="str">
        <f>IF($C31="","",'Outturn ex VAT'!AQ31*INDEX('Global Constants'!AJ$45:AJ$49,$H31))</f>
        <v/>
      </c>
      <c r="AR31" s="26" t="str">
        <f>IF($C31="","",'Outturn ex VAT'!AR31*INDEX('Global Constants'!AK$45:AK$49,$H31))</f>
        <v/>
      </c>
      <c r="AS31" s="26" t="str">
        <f>IF($C31="","",'Outturn ex VAT'!AS31*INDEX('Global Constants'!AL$45:AL$49,$H31))</f>
        <v/>
      </c>
      <c r="AT31" s="26" t="str">
        <f>IF($C31="","",'Outturn ex VAT'!AT31*INDEX('Global Constants'!AM$45:AM$49,$H31))</f>
        <v/>
      </c>
      <c r="AU31" s="26" t="str">
        <f>IF($C31="","",'Outturn ex VAT'!AU31*INDEX('Global Constants'!AN$45:AN$49,$H31))</f>
        <v/>
      </c>
      <c r="AV31" s="26" t="str">
        <f>IF($C31="","",'Outturn ex VAT'!AV31*INDEX('Global Constants'!AO$45:AO$49,$H31))</f>
        <v/>
      </c>
      <c r="AW31" s="26" t="str">
        <f>IF($C31="","",'Outturn ex VAT'!AW31*INDEX('Global Constants'!AP$45:AP$49,$H31))</f>
        <v/>
      </c>
      <c r="AX31" s="26" t="str">
        <f>IF($C31="","",'Outturn ex VAT'!AX31*INDEX('Global Constants'!AQ$45:AQ$49,$H31))</f>
        <v/>
      </c>
      <c r="AY31" s="26" t="str">
        <f>IF($C31="","",'Outturn ex VAT'!AY31*INDEX('Global Constants'!AR$45:AR$49,$H31))</f>
        <v/>
      </c>
      <c r="AZ31" s="26" t="str">
        <f>IF($C31="","",'Outturn ex VAT'!AZ31*INDEX('Global Constants'!AS$45:AS$49,$H31))</f>
        <v/>
      </c>
      <c r="BA31" s="26" t="str">
        <f>IF($C31="","",'Outturn ex VAT'!BA31*INDEX('Global Constants'!AT$45:AT$49,$H31))</f>
        <v/>
      </c>
      <c r="BB31" s="26" t="str">
        <f>IF($C31="","",'Outturn ex VAT'!BB31*INDEX('Global Constants'!AU$45:AU$49,$H31))</f>
        <v/>
      </c>
      <c r="BC31" s="26" t="str">
        <f>IF($C31="","",'Outturn ex VAT'!BC31*INDEX('Global Constants'!AV$45:AV$49,$H31))</f>
        <v/>
      </c>
      <c r="BD31" s="26" t="str">
        <f>IF($C31="","",'Outturn ex VAT'!BD31*INDEX('Global Constants'!AW$45:AW$49,$H31))</f>
        <v/>
      </c>
      <c r="BE31" s="26" t="str">
        <f>IF($C31="","",'Outturn ex VAT'!BE31*INDEX('Global Constants'!AX$45:AX$49,$H31))</f>
        <v/>
      </c>
      <c r="BF31" s="26" t="str">
        <f>IF($C31="","",'Outturn ex VAT'!BF31*INDEX('Global Constants'!AY$45:AY$49,$H31))</f>
        <v/>
      </c>
      <c r="BG31" s="26" t="str">
        <f>IF($C31="","",'Outturn ex VAT'!BG31*INDEX('Global Constants'!AZ$45:AZ$49,$H31))</f>
        <v/>
      </c>
      <c r="BH31" s="26" t="str">
        <f>IF($C31="","",'Outturn ex VAT'!BH31*INDEX('Global Constants'!BA$45:BA$49,$H31))</f>
        <v/>
      </c>
      <c r="BI31" s="26" t="str">
        <f>IF($C31="","",'Outturn ex VAT'!BI31*INDEX('Global Constants'!BB$45:BB$49,$H31))</f>
        <v/>
      </c>
      <c r="BJ31" s="26" t="str">
        <f>IF($C31="","",'Outturn ex VAT'!BJ31*INDEX('Global Constants'!BC$45:BC$49,$H31))</f>
        <v/>
      </c>
      <c r="BK31" s="26" t="str">
        <f>IF($C31="","",'Outturn ex VAT'!BK31*INDEX('Global Constants'!BD$45:BD$49,$H31))</f>
        <v/>
      </c>
      <c r="BL31" s="26" t="str">
        <f>IF($C31="","",'Outturn ex VAT'!BL31*INDEX('Global Constants'!BE$45:BE$49,$H31))</f>
        <v/>
      </c>
      <c r="BM31" s="26" t="str">
        <f>IF($C31="","",'Outturn ex VAT'!BM31*INDEX('Global Constants'!BF$45:BF$49,$H31))</f>
        <v/>
      </c>
      <c r="BN31" s="26" t="str">
        <f>IF($C31="","",'Outturn ex VAT'!BN31*INDEX('Global Constants'!BG$45:BG$49,$H31))</f>
        <v/>
      </c>
      <c r="BO31" s="26" t="str">
        <f>IF($C31="","",'Outturn ex VAT'!BO31*INDEX('Global Constants'!BH$45:BH$49,$H31))</f>
        <v/>
      </c>
      <c r="BP31" s="26" t="str">
        <f>IF($C31="","",'Outturn ex VAT'!BP31*INDEX('Global Constants'!BI$45:BI$49,$H31))</f>
        <v/>
      </c>
      <c r="BQ31" s="26" t="str">
        <f>IF($C31="","",'Outturn ex VAT'!BQ31*INDEX('Global Constants'!BJ$45:BJ$49,$H31))</f>
        <v/>
      </c>
      <c r="BR31" s="26" t="str">
        <f>IF($C31="","",'Outturn ex VAT'!BR31*INDEX('Global Constants'!BK$45:BK$49,$H31))</f>
        <v/>
      </c>
      <c r="BS31" s="26" t="str">
        <f>IF($C31="","",'Outturn ex VAT'!BS31*INDEX('Global Constants'!BL$45:BL$49,$H31))</f>
        <v/>
      </c>
      <c r="BT31" s="26" t="str">
        <f>IF($C31="","",'Outturn ex VAT'!BT31*INDEX('Global Constants'!BM$45:BM$49,$H31))</f>
        <v/>
      </c>
      <c r="BU31" s="26" t="str">
        <f>IF($C31="","",'Outturn ex VAT'!BU31*INDEX('Global Constants'!BN$45:BN$49,$H31))</f>
        <v/>
      </c>
      <c r="BV31" s="26" t="str">
        <f>IF($C31="","",'Outturn ex VAT'!BV31*INDEX('Global Constants'!BO$45:BO$49,$H31))</f>
        <v/>
      </c>
      <c r="BW31" s="26" t="str">
        <f>IF($C31="","",'Outturn ex VAT'!BW31*INDEX('Global Constants'!BP$45:BP$49,$H31))</f>
        <v/>
      </c>
      <c r="BX31" s="26" t="str">
        <f>IF($C31="","",'Outturn ex VAT'!BX31*INDEX('Global Constants'!BQ$45:BQ$49,$H31))</f>
        <v/>
      </c>
      <c r="BY31" s="26" t="str">
        <f>IF($C31="","",'Outturn ex VAT'!BY31*INDEX('Global Constants'!BR$45:BR$49,$H31))</f>
        <v/>
      </c>
      <c r="BZ31" s="26" t="str">
        <f>IF($C31="","",'Outturn ex VAT'!BZ31*INDEX('Global Constants'!BS$45:BS$49,$H31))</f>
        <v/>
      </c>
      <c r="CA31" s="26" t="str">
        <f>IF($C31="","",'Outturn ex VAT'!CA31*INDEX('Global Constants'!BT$45:BT$49,$H31))</f>
        <v/>
      </c>
      <c r="CB31" s="26" t="str">
        <f>IF($C31="","",'Outturn ex VAT'!CB31*INDEX('Global Constants'!BU$45:BU$49,$H31))</f>
        <v/>
      </c>
      <c r="CC31" s="26" t="str">
        <f>IF($C31="","",'Outturn ex VAT'!CC31*INDEX('Global Constants'!BV$45:BV$49,$H31))</f>
        <v/>
      </c>
      <c r="CD31" s="26" t="str">
        <f>IF($C31="","",'Outturn ex VAT'!CD31*INDEX('Global Constants'!BW$45:BW$49,$H31))</f>
        <v/>
      </c>
      <c r="CE31" s="26" t="str">
        <f>IF($C31="","",'Outturn ex VAT'!CE31*INDEX('Global Constants'!BX$45:BX$49,$H31))</f>
        <v/>
      </c>
      <c r="CF31" s="26" t="str">
        <f>IF($C31="","",'Outturn ex VAT'!CF31*INDEX('Global Constants'!BY$45:BY$49,$H31))</f>
        <v/>
      </c>
      <c r="CG31" s="26" t="str">
        <f>IF($C31="","",'Outturn ex VAT'!CG31*INDEX('Global Constants'!BZ$45:BZ$49,$H31))</f>
        <v/>
      </c>
      <c r="CH31" s="26" t="str">
        <f>IF($C31="","",'Outturn ex VAT'!CH31*INDEX('Global Constants'!CA$45:CA$49,$H31))</f>
        <v/>
      </c>
      <c r="CI31" s="26" t="str">
        <f>IF($C31="","",'Outturn ex VAT'!CI31*INDEX('Global Constants'!CB$45:CB$49,$H31))</f>
        <v/>
      </c>
      <c r="CJ31" s="26" t="str">
        <f>IF($C31="","",'Outturn ex VAT'!CJ31*INDEX('Global Constants'!CC$45:CC$49,$H31))</f>
        <v/>
      </c>
      <c r="CK31" s="26" t="str">
        <f>IF($C31="","",'Outturn ex VAT'!CK31*INDEX('Global Constants'!CD$45:CD$49,$H31))</f>
        <v/>
      </c>
      <c r="CL31" s="26" t="str">
        <f>IF($C31="","",'Outturn ex VAT'!CL31*INDEX('Global Constants'!CE$45:CE$49,$H31))</f>
        <v/>
      </c>
      <c r="CM31" s="26" t="str">
        <f>IF($C31="","",'Outturn ex VAT'!CM31*INDEX('Global Constants'!CF$45:CF$49,$H31))</f>
        <v/>
      </c>
      <c r="CN31" s="26" t="str">
        <f>IF($C31="","",'Outturn ex VAT'!CN31*INDEX('Global Constants'!CG$45:CG$49,$H31))</f>
        <v/>
      </c>
      <c r="CO31" s="26" t="str">
        <f>IF($C31="","",'Outturn ex VAT'!CO31*INDEX('Global Constants'!CH$45:CH$49,$H31))</f>
        <v/>
      </c>
      <c r="CP31" s="26" t="str">
        <f>IF($C31="","",'Outturn ex VAT'!CP31*INDEX('Global Constants'!CI$45:CI$49,$H31))</f>
        <v/>
      </c>
      <c r="CQ31" s="26" t="str">
        <f>IF($C31="","",'Outturn ex VAT'!CQ31*INDEX('Global Constants'!CJ$45:CJ$49,$H31))</f>
        <v/>
      </c>
      <c r="CR31" s="26" t="str">
        <f>IF($C31="","",'Outturn ex VAT'!CR31*INDEX('Global Constants'!CK$45:CK$49,$H31))</f>
        <v/>
      </c>
      <c r="CS31" s="26" t="str">
        <f>IF($C31="","",'Outturn ex VAT'!CS31*INDEX('Global Constants'!CL$45:CL$49,$H31))</f>
        <v/>
      </c>
      <c r="CT31" s="26" t="str">
        <f>IF($C31="","",'Outturn ex VAT'!CT31*INDEX('Global Constants'!CM$45:CM$49,$H31))</f>
        <v/>
      </c>
      <c r="CU31" s="26" t="str">
        <f>IF($C31="","",'Outturn ex VAT'!CU31*INDEX('Global Constants'!CN$45:CN$49,$H31))</f>
        <v/>
      </c>
      <c r="CV31" s="26" t="str">
        <f>IF($C31="","",'Outturn ex VAT'!CV31*INDEX('Global Constants'!CO$45:CO$49,$H31))</f>
        <v/>
      </c>
      <c r="CW31" s="26" t="str">
        <f>IF($C31="","",'Outturn ex VAT'!CW31*INDEX('Global Constants'!CP$45:CP$49,$H31))</f>
        <v/>
      </c>
      <c r="CX31" s="26" t="str">
        <f>IF($C31="","",'Outturn ex VAT'!CX31*INDEX('Global Constants'!CQ$45:CQ$49,$H31))</f>
        <v/>
      </c>
      <c r="CZ31" s="26">
        <f t="shared" ca="1" si="1"/>
        <v>0</v>
      </c>
      <c r="DA31" s="26">
        <f t="shared" si="2"/>
        <v>0</v>
      </c>
    </row>
    <row r="32" spans="3:105" x14ac:dyDescent="0.3">
      <c r="C32" s="4" t="str">
        <f>IF('Cost &amp; Risk Inputs'!C33="","",'Cost &amp; Risk Inputs'!C33)</f>
        <v/>
      </c>
      <c r="D32" s="4" t="str">
        <f>IF(C32="","",'Cost &amp; Risk Inputs'!H33)</f>
        <v/>
      </c>
      <c r="E32" s="4" t="str">
        <f>IF(C32="","",'Cost &amp; Risk Inputs'!I33)</f>
        <v/>
      </c>
      <c r="F32" s="4" t="str">
        <f>IF(C32="","",'Cost &amp; Risk Inputs'!E33)</f>
        <v/>
      </c>
      <c r="H32" s="18" t="str">
        <f t="shared" si="0"/>
        <v/>
      </c>
      <c r="M32" s="26" t="str">
        <f>IF($C32="","",'Outturn ex VAT'!M32*INDEX('Global Constants'!F$45:F$49,$H32))</f>
        <v/>
      </c>
      <c r="N32" s="26" t="str">
        <f>IF($C32="","",'Outturn ex VAT'!N32*INDEX('Global Constants'!G$45:G$49,$H32))</f>
        <v/>
      </c>
      <c r="O32" s="26" t="str">
        <f>IF($C32="","",'Outturn ex VAT'!O32*INDEX('Global Constants'!H$45:H$49,$H32))</f>
        <v/>
      </c>
      <c r="P32" s="26" t="str">
        <f>IF($C32="","",'Outturn ex VAT'!P32*INDEX('Global Constants'!I$45:I$49,$H32))</f>
        <v/>
      </c>
      <c r="Q32" s="26" t="str">
        <f>IF($C32="","",'Outturn ex VAT'!Q32*INDEX('Global Constants'!J$45:J$49,$H32))</f>
        <v/>
      </c>
      <c r="R32" s="26" t="str">
        <f>IF($C32="","",'Outturn ex VAT'!R32*INDEX('Global Constants'!K$45:K$49,$H32))</f>
        <v/>
      </c>
      <c r="S32" s="26" t="str">
        <f>IF($C32="","",'Outturn ex VAT'!S32*INDEX('Global Constants'!L$45:L$49,$H32))</f>
        <v/>
      </c>
      <c r="T32" s="26" t="str">
        <f>IF($C32="","",'Outturn ex VAT'!T32*INDEX('Global Constants'!M$45:M$49,$H32))</f>
        <v/>
      </c>
      <c r="U32" s="26" t="str">
        <f>IF($C32="","",'Outturn ex VAT'!U32*INDEX('Global Constants'!N$45:N$49,$H32))</f>
        <v/>
      </c>
      <c r="V32" s="26" t="str">
        <f>IF($C32="","",'Outturn ex VAT'!V32*INDEX('Global Constants'!O$45:O$49,$H32))</f>
        <v/>
      </c>
      <c r="W32" s="26" t="str">
        <f>IF($C32="","",'Outturn ex VAT'!W32*INDEX('Global Constants'!P$45:P$49,$H32))</f>
        <v/>
      </c>
      <c r="X32" s="26" t="str">
        <f>IF($C32="","",'Outturn ex VAT'!X32*INDEX('Global Constants'!Q$45:Q$49,$H32))</f>
        <v/>
      </c>
      <c r="Y32" s="26" t="str">
        <f>IF($C32="","",'Outturn ex VAT'!Y32*INDEX('Global Constants'!R$45:R$49,$H32))</f>
        <v/>
      </c>
      <c r="Z32" s="26" t="str">
        <f>IF($C32="","",'Outturn ex VAT'!Z32*INDEX('Global Constants'!S$45:S$49,$H32))</f>
        <v/>
      </c>
      <c r="AA32" s="26" t="str">
        <f>IF($C32="","",'Outturn ex VAT'!AA32*INDEX('Global Constants'!T$45:T$49,$H32))</f>
        <v/>
      </c>
      <c r="AB32" s="26" t="str">
        <f>IF($C32="","",'Outturn ex VAT'!AB32*INDEX('Global Constants'!U$45:U$49,$H32))</f>
        <v/>
      </c>
      <c r="AC32" s="26" t="str">
        <f>IF($C32="","",'Outturn ex VAT'!AC32*INDEX('Global Constants'!V$45:V$49,$H32))</f>
        <v/>
      </c>
      <c r="AD32" s="26" t="str">
        <f>IF($C32="","",'Outturn ex VAT'!AD32*INDEX('Global Constants'!W$45:W$49,$H32))</f>
        <v/>
      </c>
      <c r="AE32" s="26" t="str">
        <f>IF($C32="","",'Outturn ex VAT'!AE32*INDEX('Global Constants'!X$45:X$49,$H32))</f>
        <v/>
      </c>
      <c r="AF32" s="26" t="str">
        <f>IF($C32="","",'Outturn ex VAT'!AF32*INDEX('Global Constants'!Y$45:Y$49,$H32))</f>
        <v/>
      </c>
      <c r="AG32" s="26" t="str">
        <f>IF($C32="","",'Outturn ex VAT'!AG32*INDEX('Global Constants'!Z$45:Z$49,$H32))</f>
        <v/>
      </c>
      <c r="AH32" s="26" t="str">
        <f>IF($C32="","",'Outturn ex VAT'!AH32*INDEX('Global Constants'!AA$45:AA$49,$H32))</f>
        <v/>
      </c>
      <c r="AI32" s="26" t="str">
        <f>IF($C32="","",'Outturn ex VAT'!AI32*INDEX('Global Constants'!AB$45:AB$49,$H32))</f>
        <v/>
      </c>
      <c r="AJ32" s="26" t="str">
        <f>IF($C32="","",'Outturn ex VAT'!AJ32*INDEX('Global Constants'!AC$45:AC$49,$H32))</f>
        <v/>
      </c>
      <c r="AK32" s="26" t="str">
        <f>IF($C32="","",'Outturn ex VAT'!AK32*INDEX('Global Constants'!AD$45:AD$49,$H32))</f>
        <v/>
      </c>
      <c r="AL32" s="26" t="str">
        <f>IF($C32="","",'Outturn ex VAT'!AL32*INDEX('Global Constants'!AE$45:AE$49,$H32))</f>
        <v/>
      </c>
      <c r="AM32" s="26" t="str">
        <f>IF($C32="","",'Outturn ex VAT'!AM32*INDEX('Global Constants'!AF$45:AF$49,$H32))</f>
        <v/>
      </c>
      <c r="AN32" s="26" t="str">
        <f>IF($C32="","",'Outturn ex VAT'!AN32*INDEX('Global Constants'!AG$45:AG$49,$H32))</f>
        <v/>
      </c>
      <c r="AO32" s="26" t="str">
        <f>IF($C32="","",'Outturn ex VAT'!AO32*INDEX('Global Constants'!AH$45:AH$49,$H32))</f>
        <v/>
      </c>
      <c r="AP32" s="26" t="str">
        <f>IF($C32="","",'Outturn ex VAT'!AP32*INDEX('Global Constants'!AI$45:AI$49,$H32))</f>
        <v/>
      </c>
      <c r="AQ32" s="26" t="str">
        <f>IF($C32="","",'Outturn ex VAT'!AQ32*INDEX('Global Constants'!AJ$45:AJ$49,$H32))</f>
        <v/>
      </c>
      <c r="AR32" s="26" t="str">
        <f>IF($C32="","",'Outturn ex VAT'!AR32*INDEX('Global Constants'!AK$45:AK$49,$H32))</f>
        <v/>
      </c>
      <c r="AS32" s="26" t="str">
        <f>IF($C32="","",'Outturn ex VAT'!AS32*INDEX('Global Constants'!AL$45:AL$49,$H32))</f>
        <v/>
      </c>
      <c r="AT32" s="26" t="str">
        <f>IF($C32="","",'Outturn ex VAT'!AT32*INDEX('Global Constants'!AM$45:AM$49,$H32))</f>
        <v/>
      </c>
      <c r="AU32" s="26" t="str">
        <f>IF($C32="","",'Outturn ex VAT'!AU32*INDEX('Global Constants'!AN$45:AN$49,$H32))</f>
        <v/>
      </c>
      <c r="AV32" s="26" t="str">
        <f>IF($C32="","",'Outturn ex VAT'!AV32*INDEX('Global Constants'!AO$45:AO$49,$H32))</f>
        <v/>
      </c>
      <c r="AW32" s="26" t="str">
        <f>IF($C32="","",'Outturn ex VAT'!AW32*INDEX('Global Constants'!AP$45:AP$49,$H32))</f>
        <v/>
      </c>
      <c r="AX32" s="26" t="str">
        <f>IF($C32="","",'Outturn ex VAT'!AX32*INDEX('Global Constants'!AQ$45:AQ$49,$H32))</f>
        <v/>
      </c>
      <c r="AY32" s="26" t="str">
        <f>IF($C32="","",'Outturn ex VAT'!AY32*INDEX('Global Constants'!AR$45:AR$49,$H32))</f>
        <v/>
      </c>
      <c r="AZ32" s="26" t="str">
        <f>IF($C32="","",'Outturn ex VAT'!AZ32*INDEX('Global Constants'!AS$45:AS$49,$H32))</f>
        <v/>
      </c>
      <c r="BA32" s="26" t="str">
        <f>IF($C32="","",'Outturn ex VAT'!BA32*INDEX('Global Constants'!AT$45:AT$49,$H32))</f>
        <v/>
      </c>
      <c r="BB32" s="26" t="str">
        <f>IF($C32="","",'Outturn ex VAT'!BB32*INDEX('Global Constants'!AU$45:AU$49,$H32))</f>
        <v/>
      </c>
      <c r="BC32" s="26" t="str">
        <f>IF($C32="","",'Outturn ex VAT'!BC32*INDEX('Global Constants'!AV$45:AV$49,$H32))</f>
        <v/>
      </c>
      <c r="BD32" s="26" t="str">
        <f>IF($C32="","",'Outturn ex VAT'!BD32*INDEX('Global Constants'!AW$45:AW$49,$H32))</f>
        <v/>
      </c>
      <c r="BE32" s="26" t="str">
        <f>IF($C32="","",'Outturn ex VAT'!BE32*INDEX('Global Constants'!AX$45:AX$49,$H32))</f>
        <v/>
      </c>
      <c r="BF32" s="26" t="str">
        <f>IF($C32="","",'Outturn ex VAT'!BF32*INDEX('Global Constants'!AY$45:AY$49,$H32))</f>
        <v/>
      </c>
      <c r="BG32" s="26" t="str">
        <f>IF($C32="","",'Outturn ex VAT'!BG32*INDEX('Global Constants'!AZ$45:AZ$49,$H32))</f>
        <v/>
      </c>
      <c r="BH32" s="26" t="str">
        <f>IF($C32="","",'Outturn ex VAT'!BH32*INDEX('Global Constants'!BA$45:BA$49,$H32))</f>
        <v/>
      </c>
      <c r="BI32" s="26" t="str">
        <f>IF($C32="","",'Outturn ex VAT'!BI32*INDEX('Global Constants'!BB$45:BB$49,$H32))</f>
        <v/>
      </c>
      <c r="BJ32" s="26" t="str">
        <f>IF($C32="","",'Outturn ex VAT'!BJ32*INDEX('Global Constants'!BC$45:BC$49,$H32))</f>
        <v/>
      </c>
      <c r="BK32" s="26" t="str">
        <f>IF($C32="","",'Outturn ex VAT'!BK32*INDEX('Global Constants'!BD$45:BD$49,$H32))</f>
        <v/>
      </c>
      <c r="BL32" s="26" t="str">
        <f>IF($C32="","",'Outturn ex VAT'!BL32*INDEX('Global Constants'!BE$45:BE$49,$H32))</f>
        <v/>
      </c>
      <c r="BM32" s="26" t="str">
        <f>IF($C32="","",'Outturn ex VAT'!BM32*INDEX('Global Constants'!BF$45:BF$49,$H32))</f>
        <v/>
      </c>
      <c r="BN32" s="26" t="str">
        <f>IF($C32="","",'Outturn ex VAT'!BN32*INDEX('Global Constants'!BG$45:BG$49,$H32))</f>
        <v/>
      </c>
      <c r="BO32" s="26" t="str">
        <f>IF($C32="","",'Outturn ex VAT'!BO32*INDEX('Global Constants'!BH$45:BH$49,$H32))</f>
        <v/>
      </c>
      <c r="BP32" s="26" t="str">
        <f>IF($C32="","",'Outturn ex VAT'!BP32*INDEX('Global Constants'!BI$45:BI$49,$H32))</f>
        <v/>
      </c>
      <c r="BQ32" s="26" t="str">
        <f>IF($C32="","",'Outturn ex VAT'!BQ32*INDEX('Global Constants'!BJ$45:BJ$49,$H32))</f>
        <v/>
      </c>
      <c r="BR32" s="26" t="str">
        <f>IF($C32="","",'Outturn ex VAT'!BR32*INDEX('Global Constants'!BK$45:BK$49,$H32))</f>
        <v/>
      </c>
      <c r="BS32" s="26" t="str">
        <f>IF($C32="","",'Outturn ex VAT'!BS32*INDEX('Global Constants'!BL$45:BL$49,$H32))</f>
        <v/>
      </c>
      <c r="BT32" s="26" t="str">
        <f>IF($C32="","",'Outturn ex VAT'!BT32*INDEX('Global Constants'!BM$45:BM$49,$H32))</f>
        <v/>
      </c>
      <c r="BU32" s="26" t="str">
        <f>IF($C32="","",'Outturn ex VAT'!BU32*INDEX('Global Constants'!BN$45:BN$49,$H32))</f>
        <v/>
      </c>
      <c r="BV32" s="26" t="str">
        <f>IF($C32="","",'Outturn ex VAT'!BV32*INDEX('Global Constants'!BO$45:BO$49,$H32))</f>
        <v/>
      </c>
      <c r="BW32" s="26" t="str">
        <f>IF($C32="","",'Outturn ex VAT'!BW32*INDEX('Global Constants'!BP$45:BP$49,$H32))</f>
        <v/>
      </c>
      <c r="BX32" s="26" t="str">
        <f>IF($C32="","",'Outturn ex VAT'!BX32*INDEX('Global Constants'!BQ$45:BQ$49,$H32))</f>
        <v/>
      </c>
      <c r="BY32" s="26" t="str">
        <f>IF($C32="","",'Outturn ex VAT'!BY32*INDEX('Global Constants'!BR$45:BR$49,$H32))</f>
        <v/>
      </c>
      <c r="BZ32" s="26" t="str">
        <f>IF($C32="","",'Outturn ex VAT'!BZ32*INDEX('Global Constants'!BS$45:BS$49,$H32))</f>
        <v/>
      </c>
      <c r="CA32" s="26" t="str">
        <f>IF($C32="","",'Outturn ex VAT'!CA32*INDEX('Global Constants'!BT$45:BT$49,$H32))</f>
        <v/>
      </c>
      <c r="CB32" s="26" t="str">
        <f>IF($C32="","",'Outturn ex VAT'!CB32*INDEX('Global Constants'!BU$45:BU$49,$H32))</f>
        <v/>
      </c>
      <c r="CC32" s="26" t="str">
        <f>IF($C32="","",'Outturn ex VAT'!CC32*INDEX('Global Constants'!BV$45:BV$49,$H32))</f>
        <v/>
      </c>
      <c r="CD32" s="26" t="str">
        <f>IF($C32="","",'Outturn ex VAT'!CD32*INDEX('Global Constants'!BW$45:BW$49,$H32))</f>
        <v/>
      </c>
      <c r="CE32" s="26" t="str">
        <f>IF($C32="","",'Outturn ex VAT'!CE32*INDEX('Global Constants'!BX$45:BX$49,$H32))</f>
        <v/>
      </c>
      <c r="CF32" s="26" t="str">
        <f>IF($C32="","",'Outturn ex VAT'!CF32*INDEX('Global Constants'!BY$45:BY$49,$H32))</f>
        <v/>
      </c>
      <c r="CG32" s="26" t="str">
        <f>IF($C32="","",'Outturn ex VAT'!CG32*INDEX('Global Constants'!BZ$45:BZ$49,$H32))</f>
        <v/>
      </c>
      <c r="CH32" s="26" t="str">
        <f>IF($C32="","",'Outturn ex VAT'!CH32*INDEX('Global Constants'!CA$45:CA$49,$H32))</f>
        <v/>
      </c>
      <c r="CI32" s="26" t="str">
        <f>IF($C32="","",'Outturn ex VAT'!CI32*INDEX('Global Constants'!CB$45:CB$49,$H32))</f>
        <v/>
      </c>
      <c r="CJ32" s="26" t="str">
        <f>IF($C32="","",'Outturn ex VAT'!CJ32*INDEX('Global Constants'!CC$45:CC$49,$H32))</f>
        <v/>
      </c>
      <c r="CK32" s="26" t="str">
        <f>IF($C32="","",'Outturn ex VAT'!CK32*INDEX('Global Constants'!CD$45:CD$49,$H32))</f>
        <v/>
      </c>
      <c r="CL32" s="26" t="str">
        <f>IF($C32="","",'Outturn ex VAT'!CL32*INDEX('Global Constants'!CE$45:CE$49,$H32))</f>
        <v/>
      </c>
      <c r="CM32" s="26" t="str">
        <f>IF($C32="","",'Outturn ex VAT'!CM32*INDEX('Global Constants'!CF$45:CF$49,$H32))</f>
        <v/>
      </c>
      <c r="CN32" s="26" t="str">
        <f>IF($C32="","",'Outturn ex VAT'!CN32*INDEX('Global Constants'!CG$45:CG$49,$H32))</f>
        <v/>
      </c>
      <c r="CO32" s="26" t="str">
        <f>IF($C32="","",'Outturn ex VAT'!CO32*INDEX('Global Constants'!CH$45:CH$49,$H32))</f>
        <v/>
      </c>
      <c r="CP32" s="26" t="str">
        <f>IF($C32="","",'Outturn ex VAT'!CP32*INDEX('Global Constants'!CI$45:CI$49,$H32))</f>
        <v/>
      </c>
      <c r="CQ32" s="26" t="str">
        <f>IF($C32="","",'Outturn ex VAT'!CQ32*INDEX('Global Constants'!CJ$45:CJ$49,$H32))</f>
        <v/>
      </c>
      <c r="CR32" s="26" t="str">
        <f>IF($C32="","",'Outturn ex VAT'!CR32*INDEX('Global Constants'!CK$45:CK$49,$H32))</f>
        <v/>
      </c>
      <c r="CS32" s="26" t="str">
        <f>IF($C32="","",'Outturn ex VAT'!CS32*INDEX('Global Constants'!CL$45:CL$49,$H32))</f>
        <v/>
      </c>
      <c r="CT32" s="26" t="str">
        <f>IF($C32="","",'Outturn ex VAT'!CT32*INDEX('Global Constants'!CM$45:CM$49,$H32))</f>
        <v/>
      </c>
      <c r="CU32" s="26" t="str">
        <f>IF($C32="","",'Outturn ex VAT'!CU32*INDEX('Global Constants'!CN$45:CN$49,$H32))</f>
        <v/>
      </c>
      <c r="CV32" s="26" t="str">
        <f>IF($C32="","",'Outturn ex VAT'!CV32*INDEX('Global Constants'!CO$45:CO$49,$H32))</f>
        <v/>
      </c>
      <c r="CW32" s="26" t="str">
        <f>IF($C32="","",'Outturn ex VAT'!CW32*INDEX('Global Constants'!CP$45:CP$49,$H32))</f>
        <v/>
      </c>
      <c r="CX32" s="26" t="str">
        <f>IF($C32="","",'Outturn ex VAT'!CX32*INDEX('Global Constants'!CQ$45:CQ$49,$H32))</f>
        <v/>
      </c>
      <c r="CZ32" s="26">
        <f t="shared" ca="1" si="1"/>
        <v>0</v>
      </c>
      <c r="DA32" s="26">
        <f t="shared" si="2"/>
        <v>0</v>
      </c>
    </row>
    <row r="33" spans="3:105" x14ac:dyDescent="0.3">
      <c r="C33" s="4" t="str">
        <f>IF('Cost &amp; Risk Inputs'!C34="","",'Cost &amp; Risk Inputs'!C34)</f>
        <v/>
      </c>
      <c r="D33" s="4" t="str">
        <f>IF(C33="","",'Cost &amp; Risk Inputs'!H34)</f>
        <v/>
      </c>
      <c r="E33" s="4" t="str">
        <f>IF(C33="","",'Cost &amp; Risk Inputs'!I34)</f>
        <v/>
      </c>
      <c r="F33" s="4" t="str">
        <f>IF(C33="","",'Cost &amp; Risk Inputs'!E34)</f>
        <v/>
      </c>
      <c r="H33" s="18" t="str">
        <f t="shared" si="0"/>
        <v/>
      </c>
      <c r="M33" s="26" t="str">
        <f>IF($C33="","",'Outturn ex VAT'!M33*INDEX('Global Constants'!F$45:F$49,$H33))</f>
        <v/>
      </c>
      <c r="N33" s="26" t="str">
        <f>IF($C33="","",'Outturn ex VAT'!N33*INDEX('Global Constants'!G$45:G$49,$H33))</f>
        <v/>
      </c>
      <c r="O33" s="26" t="str">
        <f>IF($C33="","",'Outturn ex VAT'!O33*INDEX('Global Constants'!H$45:H$49,$H33))</f>
        <v/>
      </c>
      <c r="P33" s="26" t="str">
        <f>IF($C33="","",'Outturn ex VAT'!P33*INDEX('Global Constants'!I$45:I$49,$H33))</f>
        <v/>
      </c>
      <c r="Q33" s="26" t="str">
        <f>IF($C33="","",'Outturn ex VAT'!Q33*INDEX('Global Constants'!J$45:J$49,$H33))</f>
        <v/>
      </c>
      <c r="R33" s="26" t="str">
        <f>IF($C33="","",'Outturn ex VAT'!R33*INDEX('Global Constants'!K$45:K$49,$H33))</f>
        <v/>
      </c>
      <c r="S33" s="26" t="str">
        <f>IF($C33="","",'Outturn ex VAT'!S33*INDEX('Global Constants'!L$45:L$49,$H33))</f>
        <v/>
      </c>
      <c r="T33" s="26" t="str">
        <f>IF($C33="","",'Outturn ex VAT'!T33*INDEX('Global Constants'!M$45:M$49,$H33))</f>
        <v/>
      </c>
      <c r="U33" s="26" t="str">
        <f>IF($C33="","",'Outturn ex VAT'!U33*INDEX('Global Constants'!N$45:N$49,$H33))</f>
        <v/>
      </c>
      <c r="V33" s="26" t="str">
        <f>IF($C33="","",'Outturn ex VAT'!V33*INDEX('Global Constants'!O$45:O$49,$H33))</f>
        <v/>
      </c>
      <c r="W33" s="26" t="str">
        <f>IF($C33="","",'Outturn ex VAT'!W33*INDEX('Global Constants'!P$45:P$49,$H33))</f>
        <v/>
      </c>
      <c r="X33" s="26" t="str">
        <f>IF($C33="","",'Outturn ex VAT'!X33*INDEX('Global Constants'!Q$45:Q$49,$H33))</f>
        <v/>
      </c>
      <c r="Y33" s="26" t="str">
        <f>IF($C33="","",'Outturn ex VAT'!Y33*INDEX('Global Constants'!R$45:R$49,$H33))</f>
        <v/>
      </c>
      <c r="Z33" s="26" t="str">
        <f>IF($C33="","",'Outturn ex VAT'!Z33*INDEX('Global Constants'!S$45:S$49,$H33))</f>
        <v/>
      </c>
      <c r="AA33" s="26" t="str">
        <f>IF($C33="","",'Outturn ex VAT'!AA33*INDEX('Global Constants'!T$45:T$49,$H33))</f>
        <v/>
      </c>
      <c r="AB33" s="26" t="str">
        <f>IF($C33="","",'Outturn ex VAT'!AB33*INDEX('Global Constants'!U$45:U$49,$H33))</f>
        <v/>
      </c>
      <c r="AC33" s="26" t="str">
        <f>IF($C33="","",'Outturn ex VAT'!AC33*INDEX('Global Constants'!V$45:V$49,$H33))</f>
        <v/>
      </c>
      <c r="AD33" s="26" t="str">
        <f>IF($C33="","",'Outturn ex VAT'!AD33*INDEX('Global Constants'!W$45:W$49,$H33))</f>
        <v/>
      </c>
      <c r="AE33" s="26" t="str">
        <f>IF($C33="","",'Outturn ex VAT'!AE33*INDEX('Global Constants'!X$45:X$49,$H33))</f>
        <v/>
      </c>
      <c r="AF33" s="26" t="str">
        <f>IF($C33="","",'Outturn ex VAT'!AF33*INDEX('Global Constants'!Y$45:Y$49,$H33))</f>
        <v/>
      </c>
      <c r="AG33" s="26" t="str">
        <f>IF($C33="","",'Outturn ex VAT'!AG33*INDEX('Global Constants'!Z$45:Z$49,$H33))</f>
        <v/>
      </c>
      <c r="AH33" s="26" t="str">
        <f>IF($C33="","",'Outturn ex VAT'!AH33*INDEX('Global Constants'!AA$45:AA$49,$H33))</f>
        <v/>
      </c>
      <c r="AI33" s="26" t="str">
        <f>IF($C33="","",'Outturn ex VAT'!AI33*INDEX('Global Constants'!AB$45:AB$49,$H33))</f>
        <v/>
      </c>
      <c r="AJ33" s="26" t="str">
        <f>IF($C33="","",'Outturn ex VAT'!AJ33*INDEX('Global Constants'!AC$45:AC$49,$H33))</f>
        <v/>
      </c>
      <c r="AK33" s="26" t="str">
        <f>IF($C33="","",'Outturn ex VAT'!AK33*INDEX('Global Constants'!AD$45:AD$49,$H33))</f>
        <v/>
      </c>
      <c r="AL33" s="26" t="str">
        <f>IF($C33="","",'Outturn ex VAT'!AL33*INDEX('Global Constants'!AE$45:AE$49,$H33))</f>
        <v/>
      </c>
      <c r="AM33" s="26" t="str">
        <f>IF($C33="","",'Outturn ex VAT'!AM33*INDEX('Global Constants'!AF$45:AF$49,$H33))</f>
        <v/>
      </c>
      <c r="AN33" s="26" t="str">
        <f>IF($C33="","",'Outturn ex VAT'!AN33*INDEX('Global Constants'!AG$45:AG$49,$H33))</f>
        <v/>
      </c>
      <c r="AO33" s="26" t="str">
        <f>IF($C33="","",'Outturn ex VAT'!AO33*INDEX('Global Constants'!AH$45:AH$49,$H33))</f>
        <v/>
      </c>
      <c r="AP33" s="26" t="str">
        <f>IF($C33="","",'Outturn ex VAT'!AP33*INDEX('Global Constants'!AI$45:AI$49,$H33))</f>
        <v/>
      </c>
      <c r="AQ33" s="26" t="str">
        <f>IF($C33="","",'Outturn ex VAT'!AQ33*INDEX('Global Constants'!AJ$45:AJ$49,$H33))</f>
        <v/>
      </c>
      <c r="AR33" s="26" t="str">
        <f>IF($C33="","",'Outturn ex VAT'!AR33*INDEX('Global Constants'!AK$45:AK$49,$H33))</f>
        <v/>
      </c>
      <c r="AS33" s="26" t="str">
        <f>IF($C33="","",'Outturn ex VAT'!AS33*INDEX('Global Constants'!AL$45:AL$49,$H33))</f>
        <v/>
      </c>
      <c r="AT33" s="26" t="str">
        <f>IF($C33="","",'Outturn ex VAT'!AT33*INDEX('Global Constants'!AM$45:AM$49,$H33))</f>
        <v/>
      </c>
      <c r="AU33" s="26" t="str">
        <f>IF($C33="","",'Outturn ex VAT'!AU33*INDEX('Global Constants'!AN$45:AN$49,$H33))</f>
        <v/>
      </c>
      <c r="AV33" s="26" t="str">
        <f>IF($C33="","",'Outturn ex VAT'!AV33*INDEX('Global Constants'!AO$45:AO$49,$H33))</f>
        <v/>
      </c>
      <c r="AW33" s="26" t="str">
        <f>IF($C33="","",'Outturn ex VAT'!AW33*INDEX('Global Constants'!AP$45:AP$49,$H33))</f>
        <v/>
      </c>
      <c r="AX33" s="26" t="str">
        <f>IF($C33="","",'Outturn ex VAT'!AX33*INDEX('Global Constants'!AQ$45:AQ$49,$H33))</f>
        <v/>
      </c>
      <c r="AY33" s="26" t="str">
        <f>IF($C33="","",'Outturn ex VAT'!AY33*INDEX('Global Constants'!AR$45:AR$49,$H33))</f>
        <v/>
      </c>
      <c r="AZ33" s="26" t="str">
        <f>IF($C33="","",'Outturn ex VAT'!AZ33*INDEX('Global Constants'!AS$45:AS$49,$H33))</f>
        <v/>
      </c>
      <c r="BA33" s="26" t="str">
        <f>IF($C33="","",'Outturn ex VAT'!BA33*INDEX('Global Constants'!AT$45:AT$49,$H33))</f>
        <v/>
      </c>
      <c r="BB33" s="26" t="str">
        <f>IF($C33="","",'Outturn ex VAT'!BB33*INDEX('Global Constants'!AU$45:AU$49,$H33))</f>
        <v/>
      </c>
      <c r="BC33" s="26" t="str">
        <f>IF($C33="","",'Outturn ex VAT'!BC33*INDEX('Global Constants'!AV$45:AV$49,$H33))</f>
        <v/>
      </c>
      <c r="BD33" s="26" t="str">
        <f>IF($C33="","",'Outturn ex VAT'!BD33*INDEX('Global Constants'!AW$45:AW$49,$H33))</f>
        <v/>
      </c>
      <c r="BE33" s="26" t="str">
        <f>IF($C33="","",'Outturn ex VAT'!BE33*INDEX('Global Constants'!AX$45:AX$49,$H33))</f>
        <v/>
      </c>
      <c r="BF33" s="26" t="str">
        <f>IF($C33="","",'Outturn ex VAT'!BF33*INDEX('Global Constants'!AY$45:AY$49,$H33))</f>
        <v/>
      </c>
      <c r="BG33" s="26" t="str">
        <f>IF($C33="","",'Outturn ex VAT'!BG33*INDEX('Global Constants'!AZ$45:AZ$49,$H33))</f>
        <v/>
      </c>
      <c r="BH33" s="26" t="str">
        <f>IF($C33="","",'Outturn ex VAT'!BH33*INDEX('Global Constants'!BA$45:BA$49,$H33))</f>
        <v/>
      </c>
      <c r="BI33" s="26" t="str">
        <f>IF($C33="","",'Outturn ex VAT'!BI33*INDEX('Global Constants'!BB$45:BB$49,$H33))</f>
        <v/>
      </c>
      <c r="BJ33" s="26" t="str">
        <f>IF($C33="","",'Outturn ex VAT'!BJ33*INDEX('Global Constants'!BC$45:BC$49,$H33))</f>
        <v/>
      </c>
      <c r="BK33" s="26" t="str">
        <f>IF($C33="","",'Outturn ex VAT'!BK33*INDEX('Global Constants'!BD$45:BD$49,$H33))</f>
        <v/>
      </c>
      <c r="BL33" s="26" t="str">
        <f>IF($C33="","",'Outturn ex VAT'!BL33*INDEX('Global Constants'!BE$45:BE$49,$H33))</f>
        <v/>
      </c>
      <c r="BM33" s="26" t="str">
        <f>IF($C33="","",'Outturn ex VAT'!BM33*INDEX('Global Constants'!BF$45:BF$49,$H33))</f>
        <v/>
      </c>
      <c r="BN33" s="26" t="str">
        <f>IF($C33="","",'Outturn ex VAT'!BN33*INDEX('Global Constants'!BG$45:BG$49,$H33))</f>
        <v/>
      </c>
      <c r="BO33" s="26" t="str">
        <f>IF($C33="","",'Outturn ex VAT'!BO33*INDEX('Global Constants'!BH$45:BH$49,$H33))</f>
        <v/>
      </c>
      <c r="BP33" s="26" t="str">
        <f>IF($C33="","",'Outturn ex VAT'!BP33*INDEX('Global Constants'!BI$45:BI$49,$H33))</f>
        <v/>
      </c>
      <c r="BQ33" s="26" t="str">
        <f>IF($C33="","",'Outturn ex VAT'!BQ33*INDEX('Global Constants'!BJ$45:BJ$49,$H33))</f>
        <v/>
      </c>
      <c r="BR33" s="26" t="str">
        <f>IF($C33="","",'Outturn ex VAT'!BR33*INDEX('Global Constants'!BK$45:BK$49,$H33))</f>
        <v/>
      </c>
      <c r="BS33" s="26" t="str">
        <f>IF($C33="","",'Outturn ex VAT'!BS33*INDEX('Global Constants'!BL$45:BL$49,$H33))</f>
        <v/>
      </c>
      <c r="BT33" s="26" t="str">
        <f>IF($C33="","",'Outturn ex VAT'!BT33*INDEX('Global Constants'!BM$45:BM$49,$H33))</f>
        <v/>
      </c>
      <c r="BU33" s="26" t="str">
        <f>IF($C33="","",'Outturn ex VAT'!BU33*INDEX('Global Constants'!BN$45:BN$49,$H33))</f>
        <v/>
      </c>
      <c r="BV33" s="26" t="str">
        <f>IF($C33="","",'Outturn ex VAT'!BV33*INDEX('Global Constants'!BO$45:BO$49,$H33))</f>
        <v/>
      </c>
      <c r="BW33" s="26" t="str">
        <f>IF($C33="","",'Outturn ex VAT'!BW33*INDEX('Global Constants'!BP$45:BP$49,$H33))</f>
        <v/>
      </c>
      <c r="BX33" s="26" t="str">
        <f>IF($C33="","",'Outturn ex VAT'!BX33*INDEX('Global Constants'!BQ$45:BQ$49,$H33))</f>
        <v/>
      </c>
      <c r="BY33" s="26" t="str">
        <f>IF($C33="","",'Outturn ex VAT'!BY33*INDEX('Global Constants'!BR$45:BR$49,$H33))</f>
        <v/>
      </c>
      <c r="BZ33" s="26" t="str">
        <f>IF($C33="","",'Outturn ex VAT'!BZ33*INDEX('Global Constants'!BS$45:BS$49,$H33))</f>
        <v/>
      </c>
      <c r="CA33" s="26" t="str">
        <f>IF($C33="","",'Outturn ex VAT'!CA33*INDEX('Global Constants'!BT$45:BT$49,$H33))</f>
        <v/>
      </c>
      <c r="CB33" s="26" t="str">
        <f>IF($C33="","",'Outturn ex VAT'!CB33*INDEX('Global Constants'!BU$45:BU$49,$H33))</f>
        <v/>
      </c>
      <c r="CC33" s="26" t="str">
        <f>IF($C33="","",'Outturn ex VAT'!CC33*INDEX('Global Constants'!BV$45:BV$49,$H33))</f>
        <v/>
      </c>
      <c r="CD33" s="26" t="str">
        <f>IF($C33="","",'Outturn ex VAT'!CD33*INDEX('Global Constants'!BW$45:BW$49,$H33))</f>
        <v/>
      </c>
      <c r="CE33" s="26" t="str">
        <f>IF($C33="","",'Outturn ex VAT'!CE33*INDEX('Global Constants'!BX$45:BX$49,$H33))</f>
        <v/>
      </c>
      <c r="CF33" s="26" t="str">
        <f>IF($C33="","",'Outturn ex VAT'!CF33*INDEX('Global Constants'!BY$45:BY$49,$H33))</f>
        <v/>
      </c>
      <c r="CG33" s="26" t="str">
        <f>IF($C33="","",'Outturn ex VAT'!CG33*INDEX('Global Constants'!BZ$45:BZ$49,$H33))</f>
        <v/>
      </c>
      <c r="CH33" s="26" t="str">
        <f>IF($C33="","",'Outturn ex VAT'!CH33*INDEX('Global Constants'!CA$45:CA$49,$H33))</f>
        <v/>
      </c>
      <c r="CI33" s="26" t="str">
        <f>IF($C33="","",'Outturn ex VAT'!CI33*INDEX('Global Constants'!CB$45:CB$49,$H33))</f>
        <v/>
      </c>
      <c r="CJ33" s="26" t="str">
        <f>IF($C33="","",'Outturn ex VAT'!CJ33*INDEX('Global Constants'!CC$45:CC$49,$H33))</f>
        <v/>
      </c>
      <c r="CK33" s="26" t="str">
        <f>IF($C33="","",'Outturn ex VAT'!CK33*INDEX('Global Constants'!CD$45:CD$49,$H33))</f>
        <v/>
      </c>
      <c r="CL33" s="26" t="str">
        <f>IF($C33="","",'Outturn ex VAT'!CL33*INDEX('Global Constants'!CE$45:CE$49,$H33))</f>
        <v/>
      </c>
      <c r="CM33" s="26" t="str">
        <f>IF($C33="","",'Outturn ex VAT'!CM33*INDEX('Global Constants'!CF$45:CF$49,$H33))</f>
        <v/>
      </c>
      <c r="CN33" s="26" t="str">
        <f>IF($C33="","",'Outturn ex VAT'!CN33*INDEX('Global Constants'!CG$45:CG$49,$H33))</f>
        <v/>
      </c>
      <c r="CO33" s="26" t="str">
        <f>IF($C33="","",'Outturn ex VAT'!CO33*INDEX('Global Constants'!CH$45:CH$49,$H33))</f>
        <v/>
      </c>
      <c r="CP33" s="26" t="str">
        <f>IF($C33="","",'Outturn ex VAT'!CP33*INDEX('Global Constants'!CI$45:CI$49,$H33))</f>
        <v/>
      </c>
      <c r="CQ33" s="26" t="str">
        <f>IF($C33="","",'Outturn ex VAT'!CQ33*INDEX('Global Constants'!CJ$45:CJ$49,$H33))</f>
        <v/>
      </c>
      <c r="CR33" s="26" t="str">
        <f>IF($C33="","",'Outturn ex VAT'!CR33*INDEX('Global Constants'!CK$45:CK$49,$H33))</f>
        <v/>
      </c>
      <c r="CS33" s="26" t="str">
        <f>IF($C33="","",'Outturn ex VAT'!CS33*INDEX('Global Constants'!CL$45:CL$49,$H33))</f>
        <v/>
      </c>
      <c r="CT33" s="26" t="str">
        <f>IF($C33="","",'Outturn ex VAT'!CT33*INDEX('Global Constants'!CM$45:CM$49,$H33))</f>
        <v/>
      </c>
      <c r="CU33" s="26" t="str">
        <f>IF($C33="","",'Outturn ex VAT'!CU33*INDEX('Global Constants'!CN$45:CN$49,$H33))</f>
        <v/>
      </c>
      <c r="CV33" s="26" t="str">
        <f>IF($C33="","",'Outturn ex VAT'!CV33*INDEX('Global Constants'!CO$45:CO$49,$H33))</f>
        <v/>
      </c>
      <c r="CW33" s="26" t="str">
        <f>IF($C33="","",'Outturn ex VAT'!CW33*INDEX('Global Constants'!CP$45:CP$49,$H33))</f>
        <v/>
      </c>
      <c r="CX33" s="26" t="str">
        <f>IF($C33="","",'Outturn ex VAT'!CX33*INDEX('Global Constants'!CQ$45:CQ$49,$H33))</f>
        <v/>
      </c>
      <c r="CZ33" s="26">
        <f t="shared" ca="1" si="1"/>
        <v>0</v>
      </c>
      <c r="DA33" s="26">
        <f t="shared" si="2"/>
        <v>0</v>
      </c>
    </row>
    <row r="34" spans="3:105" x14ac:dyDescent="0.3">
      <c r="C34" s="4" t="str">
        <f>IF('Cost &amp; Risk Inputs'!C35="","",'Cost &amp; Risk Inputs'!C35)</f>
        <v/>
      </c>
      <c r="D34" s="4" t="str">
        <f>IF(C34="","",'Cost &amp; Risk Inputs'!H35)</f>
        <v/>
      </c>
      <c r="E34" s="4" t="str">
        <f>IF(C34="","",'Cost &amp; Risk Inputs'!I35)</f>
        <v/>
      </c>
      <c r="F34" s="4" t="str">
        <f>IF(C34="","",'Cost &amp; Risk Inputs'!E35)</f>
        <v/>
      </c>
      <c r="H34" s="18" t="str">
        <f t="shared" si="0"/>
        <v/>
      </c>
      <c r="M34" s="26" t="str">
        <f>IF($C34="","",'Outturn ex VAT'!M34*INDEX('Global Constants'!F$45:F$49,$H34))</f>
        <v/>
      </c>
      <c r="N34" s="26" t="str">
        <f>IF($C34="","",'Outturn ex VAT'!N34*INDEX('Global Constants'!G$45:G$49,$H34))</f>
        <v/>
      </c>
      <c r="O34" s="26" t="str">
        <f>IF($C34="","",'Outturn ex VAT'!O34*INDEX('Global Constants'!H$45:H$49,$H34))</f>
        <v/>
      </c>
      <c r="P34" s="26" t="str">
        <f>IF($C34="","",'Outturn ex VAT'!P34*INDEX('Global Constants'!I$45:I$49,$H34))</f>
        <v/>
      </c>
      <c r="Q34" s="26" t="str">
        <f>IF($C34="","",'Outturn ex VAT'!Q34*INDEX('Global Constants'!J$45:J$49,$H34))</f>
        <v/>
      </c>
      <c r="R34" s="26" t="str">
        <f>IF($C34="","",'Outturn ex VAT'!R34*INDEX('Global Constants'!K$45:K$49,$H34))</f>
        <v/>
      </c>
      <c r="S34" s="26" t="str">
        <f>IF($C34="","",'Outturn ex VAT'!S34*INDEX('Global Constants'!L$45:L$49,$H34))</f>
        <v/>
      </c>
      <c r="T34" s="26" t="str">
        <f>IF($C34="","",'Outturn ex VAT'!T34*INDEX('Global Constants'!M$45:M$49,$H34))</f>
        <v/>
      </c>
      <c r="U34" s="26" t="str">
        <f>IF($C34="","",'Outturn ex VAT'!U34*INDEX('Global Constants'!N$45:N$49,$H34))</f>
        <v/>
      </c>
      <c r="V34" s="26" t="str">
        <f>IF($C34="","",'Outturn ex VAT'!V34*INDEX('Global Constants'!O$45:O$49,$H34))</f>
        <v/>
      </c>
      <c r="W34" s="26" t="str">
        <f>IF($C34="","",'Outturn ex VAT'!W34*INDEX('Global Constants'!P$45:P$49,$H34))</f>
        <v/>
      </c>
      <c r="X34" s="26" t="str">
        <f>IF($C34="","",'Outturn ex VAT'!X34*INDEX('Global Constants'!Q$45:Q$49,$H34))</f>
        <v/>
      </c>
      <c r="Y34" s="26" t="str">
        <f>IF($C34="","",'Outturn ex VAT'!Y34*INDEX('Global Constants'!R$45:R$49,$H34))</f>
        <v/>
      </c>
      <c r="Z34" s="26" t="str">
        <f>IF($C34="","",'Outturn ex VAT'!Z34*INDEX('Global Constants'!S$45:S$49,$H34))</f>
        <v/>
      </c>
      <c r="AA34" s="26" t="str">
        <f>IF($C34="","",'Outturn ex VAT'!AA34*INDEX('Global Constants'!T$45:T$49,$H34))</f>
        <v/>
      </c>
      <c r="AB34" s="26" t="str">
        <f>IF($C34="","",'Outturn ex VAT'!AB34*INDEX('Global Constants'!U$45:U$49,$H34))</f>
        <v/>
      </c>
      <c r="AC34" s="26" t="str">
        <f>IF($C34="","",'Outturn ex VAT'!AC34*INDEX('Global Constants'!V$45:V$49,$H34))</f>
        <v/>
      </c>
      <c r="AD34" s="26" t="str">
        <f>IF($C34="","",'Outturn ex VAT'!AD34*INDEX('Global Constants'!W$45:W$49,$H34))</f>
        <v/>
      </c>
      <c r="AE34" s="26" t="str">
        <f>IF($C34="","",'Outturn ex VAT'!AE34*INDEX('Global Constants'!X$45:X$49,$H34))</f>
        <v/>
      </c>
      <c r="AF34" s="26" t="str">
        <f>IF($C34="","",'Outturn ex VAT'!AF34*INDEX('Global Constants'!Y$45:Y$49,$H34))</f>
        <v/>
      </c>
      <c r="AG34" s="26" t="str">
        <f>IF($C34="","",'Outturn ex VAT'!AG34*INDEX('Global Constants'!Z$45:Z$49,$H34))</f>
        <v/>
      </c>
      <c r="AH34" s="26" t="str">
        <f>IF($C34="","",'Outturn ex VAT'!AH34*INDEX('Global Constants'!AA$45:AA$49,$H34))</f>
        <v/>
      </c>
      <c r="AI34" s="26" t="str">
        <f>IF($C34="","",'Outturn ex VAT'!AI34*INDEX('Global Constants'!AB$45:AB$49,$H34))</f>
        <v/>
      </c>
      <c r="AJ34" s="26" t="str">
        <f>IF($C34="","",'Outturn ex VAT'!AJ34*INDEX('Global Constants'!AC$45:AC$49,$H34))</f>
        <v/>
      </c>
      <c r="AK34" s="26" t="str">
        <f>IF($C34="","",'Outturn ex VAT'!AK34*INDEX('Global Constants'!AD$45:AD$49,$H34))</f>
        <v/>
      </c>
      <c r="AL34" s="26" t="str">
        <f>IF($C34="","",'Outturn ex VAT'!AL34*INDEX('Global Constants'!AE$45:AE$49,$H34))</f>
        <v/>
      </c>
      <c r="AM34" s="26" t="str">
        <f>IF($C34="","",'Outturn ex VAT'!AM34*INDEX('Global Constants'!AF$45:AF$49,$H34))</f>
        <v/>
      </c>
      <c r="AN34" s="26" t="str">
        <f>IF($C34="","",'Outturn ex VAT'!AN34*INDEX('Global Constants'!AG$45:AG$49,$H34))</f>
        <v/>
      </c>
      <c r="AO34" s="26" t="str">
        <f>IF($C34="","",'Outturn ex VAT'!AO34*INDEX('Global Constants'!AH$45:AH$49,$H34))</f>
        <v/>
      </c>
      <c r="AP34" s="26" t="str">
        <f>IF($C34="","",'Outturn ex VAT'!AP34*INDEX('Global Constants'!AI$45:AI$49,$H34))</f>
        <v/>
      </c>
      <c r="AQ34" s="26" t="str">
        <f>IF($C34="","",'Outturn ex VAT'!AQ34*INDEX('Global Constants'!AJ$45:AJ$49,$H34))</f>
        <v/>
      </c>
      <c r="AR34" s="26" t="str">
        <f>IF($C34="","",'Outturn ex VAT'!AR34*INDEX('Global Constants'!AK$45:AK$49,$H34))</f>
        <v/>
      </c>
      <c r="AS34" s="26" t="str">
        <f>IF($C34="","",'Outturn ex VAT'!AS34*INDEX('Global Constants'!AL$45:AL$49,$H34))</f>
        <v/>
      </c>
      <c r="AT34" s="26" t="str">
        <f>IF($C34="","",'Outturn ex VAT'!AT34*INDEX('Global Constants'!AM$45:AM$49,$H34))</f>
        <v/>
      </c>
      <c r="AU34" s="26" t="str">
        <f>IF($C34="","",'Outturn ex VAT'!AU34*INDEX('Global Constants'!AN$45:AN$49,$H34))</f>
        <v/>
      </c>
      <c r="AV34" s="26" t="str">
        <f>IF($C34="","",'Outturn ex VAT'!AV34*INDEX('Global Constants'!AO$45:AO$49,$H34))</f>
        <v/>
      </c>
      <c r="AW34" s="26" t="str">
        <f>IF($C34="","",'Outturn ex VAT'!AW34*INDEX('Global Constants'!AP$45:AP$49,$H34))</f>
        <v/>
      </c>
      <c r="AX34" s="26" t="str">
        <f>IF($C34="","",'Outturn ex VAT'!AX34*INDEX('Global Constants'!AQ$45:AQ$49,$H34))</f>
        <v/>
      </c>
      <c r="AY34" s="26" t="str">
        <f>IF($C34="","",'Outturn ex VAT'!AY34*INDEX('Global Constants'!AR$45:AR$49,$H34))</f>
        <v/>
      </c>
      <c r="AZ34" s="26" t="str">
        <f>IF($C34="","",'Outturn ex VAT'!AZ34*INDEX('Global Constants'!AS$45:AS$49,$H34))</f>
        <v/>
      </c>
      <c r="BA34" s="26" t="str">
        <f>IF($C34="","",'Outturn ex VAT'!BA34*INDEX('Global Constants'!AT$45:AT$49,$H34))</f>
        <v/>
      </c>
      <c r="BB34" s="26" t="str">
        <f>IF($C34="","",'Outturn ex VAT'!BB34*INDEX('Global Constants'!AU$45:AU$49,$H34))</f>
        <v/>
      </c>
      <c r="BC34" s="26" t="str">
        <f>IF($C34="","",'Outturn ex VAT'!BC34*INDEX('Global Constants'!AV$45:AV$49,$H34))</f>
        <v/>
      </c>
      <c r="BD34" s="26" t="str">
        <f>IF($C34="","",'Outturn ex VAT'!BD34*INDEX('Global Constants'!AW$45:AW$49,$H34))</f>
        <v/>
      </c>
      <c r="BE34" s="26" t="str">
        <f>IF($C34="","",'Outturn ex VAT'!BE34*INDEX('Global Constants'!AX$45:AX$49,$H34))</f>
        <v/>
      </c>
      <c r="BF34" s="26" t="str">
        <f>IF($C34="","",'Outturn ex VAT'!BF34*INDEX('Global Constants'!AY$45:AY$49,$H34))</f>
        <v/>
      </c>
      <c r="BG34" s="26" t="str">
        <f>IF($C34="","",'Outturn ex VAT'!BG34*INDEX('Global Constants'!AZ$45:AZ$49,$H34))</f>
        <v/>
      </c>
      <c r="BH34" s="26" t="str">
        <f>IF($C34="","",'Outturn ex VAT'!BH34*INDEX('Global Constants'!BA$45:BA$49,$H34))</f>
        <v/>
      </c>
      <c r="BI34" s="26" t="str">
        <f>IF($C34="","",'Outturn ex VAT'!BI34*INDEX('Global Constants'!BB$45:BB$49,$H34))</f>
        <v/>
      </c>
      <c r="BJ34" s="26" t="str">
        <f>IF($C34="","",'Outturn ex VAT'!BJ34*INDEX('Global Constants'!BC$45:BC$49,$H34))</f>
        <v/>
      </c>
      <c r="BK34" s="26" t="str">
        <f>IF($C34="","",'Outturn ex VAT'!BK34*INDEX('Global Constants'!BD$45:BD$49,$H34))</f>
        <v/>
      </c>
      <c r="BL34" s="26" t="str">
        <f>IF($C34="","",'Outturn ex VAT'!BL34*INDEX('Global Constants'!BE$45:BE$49,$H34))</f>
        <v/>
      </c>
      <c r="BM34" s="26" t="str">
        <f>IF($C34="","",'Outturn ex VAT'!BM34*INDEX('Global Constants'!BF$45:BF$49,$H34))</f>
        <v/>
      </c>
      <c r="BN34" s="26" t="str">
        <f>IF($C34="","",'Outturn ex VAT'!BN34*INDEX('Global Constants'!BG$45:BG$49,$H34))</f>
        <v/>
      </c>
      <c r="BO34" s="26" t="str">
        <f>IF($C34="","",'Outturn ex VAT'!BO34*INDEX('Global Constants'!BH$45:BH$49,$H34))</f>
        <v/>
      </c>
      <c r="BP34" s="26" t="str">
        <f>IF($C34="","",'Outturn ex VAT'!BP34*INDEX('Global Constants'!BI$45:BI$49,$H34))</f>
        <v/>
      </c>
      <c r="BQ34" s="26" t="str">
        <f>IF($C34="","",'Outturn ex VAT'!BQ34*INDEX('Global Constants'!BJ$45:BJ$49,$H34))</f>
        <v/>
      </c>
      <c r="BR34" s="26" t="str">
        <f>IF($C34="","",'Outturn ex VAT'!BR34*INDEX('Global Constants'!BK$45:BK$49,$H34))</f>
        <v/>
      </c>
      <c r="BS34" s="26" t="str">
        <f>IF($C34="","",'Outturn ex VAT'!BS34*INDEX('Global Constants'!BL$45:BL$49,$H34))</f>
        <v/>
      </c>
      <c r="BT34" s="26" t="str">
        <f>IF($C34="","",'Outturn ex VAT'!BT34*INDEX('Global Constants'!BM$45:BM$49,$H34))</f>
        <v/>
      </c>
      <c r="BU34" s="26" t="str">
        <f>IF($C34="","",'Outturn ex VAT'!BU34*INDEX('Global Constants'!BN$45:BN$49,$H34))</f>
        <v/>
      </c>
      <c r="BV34" s="26" t="str">
        <f>IF($C34="","",'Outturn ex VAT'!BV34*INDEX('Global Constants'!BO$45:BO$49,$H34))</f>
        <v/>
      </c>
      <c r="BW34" s="26" t="str">
        <f>IF($C34="","",'Outturn ex VAT'!BW34*INDEX('Global Constants'!BP$45:BP$49,$H34))</f>
        <v/>
      </c>
      <c r="BX34" s="26" t="str">
        <f>IF($C34="","",'Outturn ex VAT'!BX34*INDEX('Global Constants'!BQ$45:BQ$49,$H34))</f>
        <v/>
      </c>
      <c r="BY34" s="26" t="str">
        <f>IF($C34="","",'Outturn ex VAT'!BY34*INDEX('Global Constants'!BR$45:BR$49,$H34))</f>
        <v/>
      </c>
      <c r="BZ34" s="26" t="str">
        <f>IF($C34="","",'Outturn ex VAT'!BZ34*INDEX('Global Constants'!BS$45:BS$49,$H34))</f>
        <v/>
      </c>
      <c r="CA34" s="26" t="str">
        <f>IF($C34="","",'Outturn ex VAT'!CA34*INDEX('Global Constants'!BT$45:BT$49,$H34))</f>
        <v/>
      </c>
      <c r="CB34" s="26" t="str">
        <f>IF($C34="","",'Outturn ex VAT'!CB34*INDEX('Global Constants'!BU$45:BU$49,$H34))</f>
        <v/>
      </c>
      <c r="CC34" s="26" t="str">
        <f>IF($C34="","",'Outturn ex VAT'!CC34*INDEX('Global Constants'!BV$45:BV$49,$H34))</f>
        <v/>
      </c>
      <c r="CD34" s="26" t="str">
        <f>IF($C34="","",'Outturn ex VAT'!CD34*INDEX('Global Constants'!BW$45:BW$49,$H34))</f>
        <v/>
      </c>
      <c r="CE34" s="26" t="str">
        <f>IF($C34="","",'Outturn ex VAT'!CE34*INDEX('Global Constants'!BX$45:BX$49,$H34))</f>
        <v/>
      </c>
      <c r="CF34" s="26" t="str">
        <f>IF($C34="","",'Outturn ex VAT'!CF34*INDEX('Global Constants'!BY$45:BY$49,$H34))</f>
        <v/>
      </c>
      <c r="CG34" s="26" t="str">
        <f>IF($C34="","",'Outturn ex VAT'!CG34*INDEX('Global Constants'!BZ$45:BZ$49,$H34))</f>
        <v/>
      </c>
      <c r="CH34" s="26" t="str">
        <f>IF($C34="","",'Outturn ex VAT'!CH34*INDEX('Global Constants'!CA$45:CA$49,$H34))</f>
        <v/>
      </c>
      <c r="CI34" s="26" t="str">
        <f>IF($C34="","",'Outturn ex VAT'!CI34*INDEX('Global Constants'!CB$45:CB$49,$H34))</f>
        <v/>
      </c>
      <c r="CJ34" s="26" t="str">
        <f>IF($C34="","",'Outturn ex VAT'!CJ34*INDEX('Global Constants'!CC$45:CC$49,$H34))</f>
        <v/>
      </c>
      <c r="CK34" s="26" t="str">
        <f>IF($C34="","",'Outturn ex VAT'!CK34*INDEX('Global Constants'!CD$45:CD$49,$H34))</f>
        <v/>
      </c>
      <c r="CL34" s="26" t="str">
        <f>IF($C34="","",'Outturn ex VAT'!CL34*INDEX('Global Constants'!CE$45:CE$49,$H34))</f>
        <v/>
      </c>
      <c r="CM34" s="26" t="str">
        <f>IF($C34="","",'Outturn ex VAT'!CM34*INDEX('Global Constants'!CF$45:CF$49,$H34))</f>
        <v/>
      </c>
      <c r="CN34" s="26" t="str">
        <f>IF($C34="","",'Outturn ex VAT'!CN34*INDEX('Global Constants'!CG$45:CG$49,$H34))</f>
        <v/>
      </c>
      <c r="CO34" s="26" t="str">
        <f>IF($C34="","",'Outturn ex VAT'!CO34*INDEX('Global Constants'!CH$45:CH$49,$H34))</f>
        <v/>
      </c>
      <c r="CP34" s="26" t="str">
        <f>IF($C34="","",'Outturn ex VAT'!CP34*INDEX('Global Constants'!CI$45:CI$49,$H34))</f>
        <v/>
      </c>
      <c r="CQ34" s="26" t="str">
        <f>IF($C34="","",'Outturn ex VAT'!CQ34*INDEX('Global Constants'!CJ$45:CJ$49,$H34))</f>
        <v/>
      </c>
      <c r="CR34" s="26" t="str">
        <f>IF($C34="","",'Outturn ex VAT'!CR34*INDEX('Global Constants'!CK$45:CK$49,$H34))</f>
        <v/>
      </c>
      <c r="CS34" s="26" t="str">
        <f>IF($C34="","",'Outturn ex VAT'!CS34*INDEX('Global Constants'!CL$45:CL$49,$H34))</f>
        <v/>
      </c>
      <c r="CT34" s="26" t="str">
        <f>IF($C34="","",'Outturn ex VAT'!CT34*INDEX('Global Constants'!CM$45:CM$49,$H34))</f>
        <v/>
      </c>
      <c r="CU34" s="26" t="str">
        <f>IF($C34="","",'Outturn ex VAT'!CU34*INDEX('Global Constants'!CN$45:CN$49,$H34))</f>
        <v/>
      </c>
      <c r="CV34" s="26" t="str">
        <f>IF($C34="","",'Outturn ex VAT'!CV34*INDEX('Global Constants'!CO$45:CO$49,$H34))</f>
        <v/>
      </c>
      <c r="CW34" s="26" t="str">
        <f>IF($C34="","",'Outturn ex VAT'!CW34*INDEX('Global Constants'!CP$45:CP$49,$H34))</f>
        <v/>
      </c>
      <c r="CX34" s="26" t="str">
        <f>IF($C34="","",'Outturn ex VAT'!CX34*INDEX('Global Constants'!CQ$45:CQ$49,$H34))</f>
        <v/>
      </c>
      <c r="CZ34" s="26">
        <f t="shared" ca="1" si="1"/>
        <v>0</v>
      </c>
      <c r="DA34" s="26">
        <f t="shared" si="2"/>
        <v>0</v>
      </c>
    </row>
    <row r="35" spans="3:105" x14ac:dyDescent="0.3">
      <c r="C35" s="4" t="str">
        <f>IF('Cost &amp; Risk Inputs'!C36="","",'Cost &amp; Risk Inputs'!C36)</f>
        <v/>
      </c>
      <c r="D35" s="4" t="str">
        <f>IF(C35="","",'Cost &amp; Risk Inputs'!H36)</f>
        <v/>
      </c>
      <c r="E35" s="4" t="str">
        <f>IF(C35="","",'Cost &amp; Risk Inputs'!I36)</f>
        <v/>
      </c>
      <c r="F35" s="4" t="str">
        <f>IF(C35="","",'Cost &amp; Risk Inputs'!E36)</f>
        <v/>
      </c>
      <c r="H35" s="18" t="str">
        <f t="shared" si="0"/>
        <v/>
      </c>
      <c r="M35" s="26" t="str">
        <f>IF($C35="","",'Outturn ex VAT'!M35*INDEX('Global Constants'!F$45:F$49,$H35))</f>
        <v/>
      </c>
      <c r="N35" s="26" t="str">
        <f>IF($C35="","",'Outturn ex VAT'!N35*INDEX('Global Constants'!G$45:G$49,$H35))</f>
        <v/>
      </c>
      <c r="O35" s="26" t="str">
        <f>IF($C35="","",'Outturn ex VAT'!O35*INDEX('Global Constants'!H$45:H$49,$H35))</f>
        <v/>
      </c>
      <c r="P35" s="26" t="str">
        <f>IF($C35="","",'Outturn ex VAT'!P35*INDEX('Global Constants'!I$45:I$49,$H35))</f>
        <v/>
      </c>
      <c r="Q35" s="26" t="str">
        <f>IF($C35="","",'Outturn ex VAT'!Q35*INDEX('Global Constants'!J$45:J$49,$H35))</f>
        <v/>
      </c>
      <c r="R35" s="26" t="str">
        <f>IF($C35="","",'Outturn ex VAT'!R35*INDEX('Global Constants'!K$45:K$49,$H35))</f>
        <v/>
      </c>
      <c r="S35" s="26" t="str">
        <f>IF($C35="","",'Outturn ex VAT'!S35*INDEX('Global Constants'!L$45:L$49,$H35))</f>
        <v/>
      </c>
      <c r="T35" s="26" t="str">
        <f>IF($C35="","",'Outturn ex VAT'!T35*INDEX('Global Constants'!M$45:M$49,$H35))</f>
        <v/>
      </c>
      <c r="U35" s="26" t="str">
        <f>IF($C35="","",'Outturn ex VAT'!U35*INDEX('Global Constants'!N$45:N$49,$H35))</f>
        <v/>
      </c>
      <c r="V35" s="26" t="str">
        <f>IF($C35="","",'Outturn ex VAT'!V35*INDEX('Global Constants'!O$45:O$49,$H35))</f>
        <v/>
      </c>
      <c r="W35" s="26" t="str">
        <f>IF($C35="","",'Outturn ex VAT'!W35*INDEX('Global Constants'!P$45:P$49,$H35))</f>
        <v/>
      </c>
      <c r="X35" s="26" t="str">
        <f>IF($C35="","",'Outturn ex VAT'!X35*INDEX('Global Constants'!Q$45:Q$49,$H35))</f>
        <v/>
      </c>
      <c r="Y35" s="26" t="str">
        <f>IF($C35="","",'Outturn ex VAT'!Y35*INDEX('Global Constants'!R$45:R$49,$H35))</f>
        <v/>
      </c>
      <c r="Z35" s="26" t="str">
        <f>IF($C35="","",'Outturn ex VAT'!Z35*INDEX('Global Constants'!S$45:S$49,$H35))</f>
        <v/>
      </c>
      <c r="AA35" s="26" t="str">
        <f>IF($C35="","",'Outturn ex VAT'!AA35*INDEX('Global Constants'!T$45:T$49,$H35))</f>
        <v/>
      </c>
      <c r="AB35" s="26" t="str">
        <f>IF($C35="","",'Outturn ex VAT'!AB35*INDEX('Global Constants'!U$45:U$49,$H35))</f>
        <v/>
      </c>
      <c r="AC35" s="26" t="str">
        <f>IF($C35="","",'Outturn ex VAT'!AC35*INDEX('Global Constants'!V$45:V$49,$H35))</f>
        <v/>
      </c>
      <c r="AD35" s="26" t="str">
        <f>IF($C35="","",'Outturn ex VAT'!AD35*INDEX('Global Constants'!W$45:W$49,$H35))</f>
        <v/>
      </c>
      <c r="AE35" s="26" t="str">
        <f>IF($C35="","",'Outturn ex VAT'!AE35*INDEX('Global Constants'!X$45:X$49,$H35))</f>
        <v/>
      </c>
      <c r="AF35" s="26" t="str">
        <f>IF($C35="","",'Outturn ex VAT'!AF35*INDEX('Global Constants'!Y$45:Y$49,$H35))</f>
        <v/>
      </c>
      <c r="AG35" s="26" t="str">
        <f>IF($C35="","",'Outturn ex VAT'!AG35*INDEX('Global Constants'!Z$45:Z$49,$H35))</f>
        <v/>
      </c>
      <c r="AH35" s="26" t="str">
        <f>IF($C35="","",'Outturn ex VAT'!AH35*INDEX('Global Constants'!AA$45:AA$49,$H35))</f>
        <v/>
      </c>
      <c r="AI35" s="26" t="str">
        <f>IF($C35="","",'Outturn ex VAT'!AI35*INDEX('Global Constants'!AB$45:AB$49,$H35))</f>
        <v/>
      </c>
      <c r="AJ35" s="26" t="str">
        <f>IF($C35="","",'Outturn ex VAT'!AJ35*INDEX('Global Constants'!AC$45:AC$49,$H35))</f>
        <v/>
      </c>
      <c r="AK35" s="26" t="str">
        <f>IF($C35="","",'Outturn ex VAT'!AK35*INDEX('Global Constants'!AD$45:AD$49,$H35))</f>
        <v/>
      </c>
      <c r="AL35" s="26" t="str">
        <f>IF($C35="","",'Outturn ex VAT'!AL35*INDEX('Global Constants'!AE$45:AE$49,$H35))</f>
        <v/>
      </c>
      <c r="AM35" s="26" t="str">
        <f>IF($C35="","",'Outturn ex VAT'!AM35*INDEX('Global Constants'!AF$45:AF$49,$H35))</f>
        <v/>
      </c>
      <c r="AN35" s="26" t="str">
        <f>IF($C35="","",'Outturn ex VAT'!AN35*INDEX('Global Constants'!AG$45:AG$49,$H35))</f>
        <v/>
      </c>
      <c r="AO35" s="26" t="str">
        <f>IF($C35="","",'Outturn ex VAT'!AO35*INDEX('Global Constants'!AH$45:AH$49,$H35))</f>
        <v/>
      </c>
      <c r="AP35" s="26" t="str">
        <f>IF($C35="","",'Outturn ex VAT'!AP35*INDEX('Global Constants'!AI$45:AI$49,$H35))</f>
        <v/>
      </c>
      <c r="AQ35" s="26" t="str">
        <f>IF($C35="","",'Outturn ex VAT'!AQ35*INDEX('Global Constants'!AJ$45:AJ$49,$H35))</f>
        <v/>
      </c>
      <c r="AR35" s="26" t="str">
        <f>IF($C35="","",'Outturn ex VAT'!AR35*INDEX('Global Constants'!AK$45:AK$49,$H35))</f>
        <v/>
      </c>
      <c r="AS35" s="26" t="str">
        <f>IF($C35="","",'Outturn ex VAT'!AS35*INDEX('Global Constants'!AL$45:AL$49,$H35))</f>
        <v/>
      </c>
      <c r="AT35" s="26" t="str">
        <f>IF($C35="","",'Outturn ex VAT'!AT35*INDEX('Global Constants'!AM$45:AM$49,$H35))</f>
        <v/>
      </c>
      <c r="AU35" s="26" t="str">
        <f>IF($C35="","",'Outturn ex VAT'!AU35*INDEX('Global Constants'!AN$45:AN$49,$H35))</f>
        <v/>
      </c>
      <c r="AV35" s="26" t="str">
        <f>IF($C35="","",'Outturn ex VAT'!AV35*INDEX('Global Constants'!AO$45:AO$49,$H35))</f>
        <v/>
      </c>
      <c r="AW35" s="26" t="str">
        <f>IF($C35="","",'Outturn ex VAT'!AW35*INDEX('Global Constants'!AP$45:AP$49,$H35))</f>
        <v/>
      </c>
      <c r="AX35" s="26" t="str">
        <f>IF($C35="","",'Outturn ex VAT'!AX35*INDEX('Global Constants'!AQ$45:AQ$49,$H35))</f>
        <v/>
      </c>
      <c r="AY35" s="26" t="str">
        <f>IF($C35="","",'Outturn ex VAT'!AY35*INDEX('Global Constants'!AR$45:AR$49,$H35))</f>
        <v/>
      </c>
      <c r="AZ35" s="26" t="str">
        <f>IF($C35="","",'Outturn ex VAT'!AZ35*INDEX('Global Constants'!AS$45:AS$49,$H35))</f>
        <v/>
      </c>
      <c r="BA35" s="26" t="str">
        <f>IF($C35="","",'Outturn ex VAT'!BA35*INDEX('Global Constants'!AT$45:AT$49,$H35))</f>
        <v/>
      </c>
      <c r="BB35" s="26" t="str">
        <f>IF($C35="","",'Outturn ex VAT'!BB35*INDEX('Global Constants'!AU$45:AU$49,$H35))</f>
        <v/>
      </c>
      <c r="BC35" s="26" t="str">
        <f>IF($C35="","",'Outturn ex VAT'!BC35*INDEX('Global Constants'!AV$45:AV$49,$H35))</f>
        <v/>
      </c>
      <c r="BD35" s="26" t="str">
        <f>IF($C35="","",'Outturn ex VAT'!BD35*INDEX('Global Constants'!AW$45:AW$49,$H35))</f>
        <v/>
      </c>
      <c r="BE35" s="26" t="str">
        <f>IF($C35="","",'Outturn ex VAT'!BE35*INDEX('Global Constants'!AX$45:AX$49,$H35))</f>
        <v/>
      </c>
      <c r="BF35" s="26" t="str">
        <f>IF($C35="","",'Outturn ex VAT'!BF35*INDEX('Global Constants'!AY$45:AY$49,$H35))</f>
        <v/>
      </c>
      <c r="BG35" s="26" t="str">
        <f>IF($C35="","",'Outturn ex VAT'!BG35*INDEX('Global Constants'!AZ$45:AZ$49,$H35))</f>
        <v/>
      </c>
      <c r="BH35" s="26" t="str">
        <f>IF($C35="","",'Outturn ex VAT'!BH35*INDEX('Global Constants'!BA$45:BA$49,$H35))</f>
        <v/>
      </c>
      <c r="BI35" s="26" t="str">
        <f>IF($C35="","",'Outturn ex VAT'!BI35*INDEX('Global Constants'!BB$45:BB$49,$H35))</f>
        <v/>
      </c>
      <c r="BJ35" s="26" t="str">
        <f>IF($C35="","",'Outturn ex VAT'!BJ35*INDEX('Global Constants'!BC$45:BC$49,$H35))</f>
        <v/>
      </c>
      <c r="BK35" s="26" t="str">
        <f>IF($C35="","",'Outturn ex VAT'!BK35*INDEX('Global Constants'!BD$45:BD$49,$H35))</f>
        <v/>
      </c>
      <c r="BL35" s="26" t="str">
        <f>IF($C35="","",'Outturn ex VAT'!BL35*INDEX('Global Constants'!BE$45:BE$49,$H35))</f>
        <v/>
      </c>
      <c r="BM35" s="26" t="str">
        <f>IF($C35="","",'Outturn ex VAT'!BM35*INDEX('Global Constants'!BF$45:BF$49,$H35))</f>
        <v/>
      </c>
      <c r="BN35" s="26" t="str">
        <f>IF($C35="","",'Outturn ex VAT'!BN35*INDEX('Global Constants'!BG$45:BG$49,$H35))</f>
        <v/>
      </c>
      <c r="BO35" s="26" t="str">
        <f>IF($C35="","",'Outturn ex VAT'!BO35*INDEX('Global Constants'!BH$45:BH$49,$H35))</f>
        <v/>
      </c>
      <c r="BP35" s="26" t="str">
        <f>IF($C35="","",'Outturn ex VAT'!BP35*INDEX('Global Constants'!BI$45:BI$49,$H35))</f>
        <v/>
      </c>
      <c r="BQ35" s="26" t="str">
        <f>IF($C35="","",'Outturn ex VAT'!BQ35*INDEX('Global Constants'!BJ$45:BJ$49,$H35))</f>
        <v/>
      </c>
      <c r="BR35" s="26" t="str">
        <f>IF($C35="","",'Outturn ex VAT'!BR35*INDEX('Global Constants'!BK$45:BK$49,$H35))</f>
        <v/>
      </c>
      <c r="BS35" s="26" t="str">
        <f>IF($C35="","",'Outturn ex VAT'!BS35*INDEX('Global Constants'!BL$45:BL$49,$H35))</f>
        <v/>
      </c>
      <c r="BT35" s="26" t="str">
        <f>IF($C35="","",'Outturn ex VAT'!BT35*INDEX('Global Constants'!BM$45:BM$49,$H35))</f>
        <v/>
      </c>
      <c r="BU35" s="26" t="str">
        <f>IF($C35="","",'Outturn ex VAT'!BU35*INDEX('Global Constants'!BN$45:BN$49,$H35))</f>
        <v/>
      </c>
      <c r="BV35" s="26" t="str">
        <f>IF($C35="","",'Outturn ex VAT'!BV35*INDEX('Global Constants'!BO$45:BO$49,$H35))</f>
        <v/>
      </c>
      <c r="BW35" s="26" t="str">
        <f>IF($C35="","",'Outturn ex VAT'!BW35*INDEX('Global Constants'!BP$45:BP$49,$H35))</f>
        <v/>
      </c>
      <c r="BX35" s="26" t="str">
        <f>IF($C35="","",'Outturn ex VAT'!BX35*INDEX('Global Constants'!BQ$45:BQ$49,$H35))</f>
        <v/>
      </c>
      <c r="BY35" s="26" t="str">
        <f>IF($C35="","",'Outturn ex VAT'!BY35*INDEX('Global Constants'!BR$45:BR$49,$H35))</f>
        <v/>
      </c>
      <c r="BZ35" s="26" t="str">
        <f>IF($C35="","",'Outturn ex VAT'!BZ35*INDEX('Global Constants'!BS$45:BS$49,$H35))</f>
        <v/>
      </c>
      <c r="CA35" s="26" t="str">
        <f>IF($C35="","",'Outturn ex VAT'!CA35*INDEX('Global Constants'!BT$45:BT$49,$H35))</f>
        <v/>
      </c>
      <c r="CB35" s="26" t="str">
        <f>IF($C35="","",'Outturn ex VAT'!CB35*INDEX('Global Constants'!BU$45:BU$49,$H35))</f>
        <v/>
      </c>
      <c r="CC35" s="26" t="str">
        <f>IF($C35="","",'Outturn ex VAT'!CC35*INDEX('Global Constants'!BV$45:BV$49,$H35))</f>
        <v/>
      </c>
      <c r="CD35" s="26" t="str">
        <f>IF($C35="","",'Outturn ex VAT'!CD35*INDEX('Global Constants'!BW$45:BW$49,$H35))</f>
        <v/>
      </c>
      <c r="CE35" s="26" t="str">
        <f>IF($C35="","",'Outturn ex VAT'!CE35*INDEX('Global Constants'!BX$45:BX$49,$H35))</f>
        <v/>
      </c>
      <c r="CF35" s="26" t="str">
        <f>IF($C35="","",'Outturn ex VAT'!CF35*INDEX('Global Constants'!BY$45:BY$49,$H35))</f>
        <v/>
      </c>
      <c r="CG35" s="26" t="str">
        <f>IF($C35="","",'Outturn ex VAT'!CG35*INDEX('Global Constants'!BZ$45:BZ$49,$H35))</f>
        <v/>
      </c>
      <c r="CH35" s="26" t="str">
        <f>IF($C35="","",'Outturn ex VAT'!CH35*INDEX('Global Constants'!CA$45:CA$49,$H35))</f>
        <v/>
      </c>
      <c r="CI35" s="26" t="str">
        <f>IF($C35="","",'Outturn ex VAT'!CI35*INDEX('Global Constants'!CB$45:CB$49,$H35))</f>
        <v/>
      </c>
      <c r="CJ35" s="26" t="str">
        <f>IF($C35="","",'Outturn ex VAT'!CJ35*INDEX('Global Constants'!CC$45:CC$49,$H35))</f>
        <v/>
      </c>
      <c r="CK35" s="26" t="str">
        <f>IF($C35="","",'Outturn ex VAT'!CK35*INDEX('Global Constants'!CD$45:CD$49,$H35))</f>
        <v/>
      </c>
      <c r="CL35" s="26" t="str">
        <f>IF($C35="","",'Outturn ex VAT'!CL35*INDEX('Global Constants'!CE$45:CE$49,$H35))</f>
        <v/>
      </c>
      <c r="CM35" s="26" t="str">
        <f>IF($C35="","",'Outturn ex VAT'!CM35*INDEX('Global Constants'!CF$45:CF$49,$H35))</f>
        <v/>
      </c>
      <c r="CN35" s="26" t="str">
        <f>IF($C35="","",'Outturn ex VAT'!CN35*INDEX('Global Constants'!CG$45:CG$49,$H35))</f>
        <v/>
      </c>
      <c r="CO35" s="26" t="str">
        <f>IF($C35="","",'Outturn ex VAT'!CO35*INDEX('Global Constants'!CH$45:CH$49,$H35))</f>
        <v/>
      </c>
      <c r="CP35" s="26" t="str">
        <f>IF($C35="","",'Outturn ex VAT'!CP35*INDEX('Global Constants'!CI$45:CI$49,$H35))</f>
        <v/>
      </c>
      <c r="CQ35" s="26" t="str">
        <f>IF($C35="","",'Outturn ex VAT'!CQ35*INDEX('Global Constants'!CJ$45:CJ$49,$H35))</f>
        <v/>
      </c>
      <c r="CR35" s="26" t="str">
        <f>IF($C35="","",'Outturn ex VAT'!CR35*INDEX('Global Constants'!CK$45:CK$49,$H35))</f>
        <v/>
      </c>
      <c r="CS35" s="26" t="str">
        <f>IF($C35="","",'Outturn ex VAT'!CS35*INDEX('Global Constants'!CL$45:CL$49,$H35))</f>
        <v/>
      </c>
      <c r="CT35" s="26" t="str">
        <f>IF($C35="","",'Outturn ex VAT'!CT35*INDEX('Global Constants'!CM$45:CM$49,$H35))</f>
        <v/>
      </c>
      <c r="CU35" s="26" t="str">
        <f>IF($C35="","",'Outturn ex VAT'!CU35*INDEX('Global Constants'!CN$45:CN$49,$H35))</f>
        <v/>
      </c>
      <c r="CV35" s="26" t="str">
        <f>IF($C35="","",'Outturn ex VAT'!CV35*INDEX('Global Constants'!CO$45:CO$49,$H35))</f>
        <v/>
      </c>
      <c r="CW35" s="26" t="str">
        <f>IF($C35="","",'Outturn ex VAT'!CW35*INDEX('Global Constants'!CP$45:CP$49,$H35))</f>
        <v/>
      </c>
      <c r="CX35" s="26" t="str">
        <f>IF($C35="","",'Outturn ex VAT'!CX35*INDEX('Global Constants'!CQ$45:CQ$49,$H35))</f>
        <v/>
      </c>
      <c r="CZ35" s="26">
        <f t="shared" ca="1" si="1"/>
        <v>0</v>
      </c>
      <c r="DA35" s="26">
        <f t="shared" si="2"/>
        <v>0</v>
      </c>
    </row>
    <row r="36" spans="3:105" x14ac:dyDescent="0.3">
      <c r="C36" s="4" t="str">
        <f>IF('Cost &amp; Risk Inputs'!C37="","",'Cost &amp; Risk Inputs'!C37)</f>
        <v/>
      </c>
      <c r="D36" s="4" t="str">
        <f>IF(C36="","",'Cost &amp; Risk Inputs'!H37)</f>
        <v/>
      </c>
      <c r="E36" s="4" t="str">
        <f>IF(C36="","",'Cost &amp; Risk Inputs'!I37)</f>
        <v/>
      </c>
      <c r="F36" s="4" t="str">
        <f>IF(C36="","",'Cost &amp; Risk Inputs'!E37)</f>
        <v/>
      </c>
      <c r="H36" s="18" t="str">
        <f t="shared" si="0"/>
        <v/>
      </c>
      <c r="M36" s="26" t="str">
        <f>IF($C36="","",'Outturn ex VAT'!M36*INDEX('Global Constants'!F$45:F$49,$H36))</f>
        <v/>
      </c>
      <c r="N36" s="26" t="str">
        <f>IF($C36="","",'Outturn ex VAT'!N36*INDEX('Global Constants'!G$45:G$49,$H36))</f>
        <v/>
      </c>
      <c r="O36" s="26" t="str">
        <f>IF($C36="","",'Outturn ex VAT'!O36*INDEX('Global Constants'!H$45:H$49,$H36))</f>
        <v/>
      </c>
      <c r="P36" s="26" t="str">
        <f>IF($C36="","",'Outturn ex VAT'!P36*INDEX('Global Constants'!I$45:I$49,$H36))</f>
        <v/>
      </c>
      <c r="Q36" s="26" t="str">
        <f>IF($C36="","",'Outturn ex VAT'!Q36*INDEX('Global Constants'!J$45:J$49,$H36))</f>
        <v/>
      </c>
      <c r="R36" s="26" t="str">
        <f>IF($C36="","",'Outturn ex VAT'!R36*INDEX('Global Constants'!K$45:K$49,$H36))</f>
        <v/>
      </c>
      <c r="S36" s="26" t="str">
        <f>IF($C36="","",'Outturn ex VAT'!S36*INDEX('Global Constants'!L$45:L$49,$H36))</f>
        <v/>
      </c>
      <c r="T36" s="26" t="str">
        <f>IF($C36="","",'Outturn ex VAT'!T36*INDEX('Global Constants'!M$45:M$49,$H36))</f>
        <v/>
      </c>
      <c r="U36" s="26" t="str">
        <f>IF($C36="","",'Outturn ex VAT'!U36*INDEX('Global Constants'!N$45:N$49,$H36))</f>
        <v/>
      </c>
      <c r="V36" s="26" t="str">
        <f>IF($C36="","",'Outturn ex VAT'!V36*INDEX('Global Constants'!O$45:O$49,$H36))</f>
        <v/>
      </c>
      <c r="W36" s="26" t="str">
        <f>IF($C36="","",'Outturn ex VAT'!W36*INDEX('Global Constants'!P$45:P$49,$H36))</f>
        <v/>
      </c>
      <c r="X36" s="26" t="str">
        <f>IF($C36="","",'Outturn ex VAT'!X36*INDEX('Global Constants'!Q$45:Q$49,$H36))</f>
        <v/>
      </c>
      <c r="Y36" s="26" t="str">
        <f>IF($C36="","",'Outturn ex VAT'!Y36*INDEX('Global Constants'!R$45:R$49,$H36))</f>
        <v/>
      </c>
      <c r="Z36" s="26" t="str">
        <f>IF($C36="","",'Outturn ex VAT'!Z36*INDEX('Global Constants'!S$45:S$49,$H36))</f>
        <v/>
      </c>
      <c r="AA36" s="26" t="str">
        <f>IF($C36="","",'Outturn ex VAT'!AA36*INDEX('Global Constants'!T$45:T$49,$H36))</f>
        <v/>
      </c>
      <c r="AB36" s="26" t="str">
        <f>IF($C36="","",'Outturn ex VAT'!AB36*INDEX('Global Constants'!U$45:U$49,$H36))</f>
        <v/>
      </c>
      <c r="AC36" s="26" t="str">
        <f>IF($C36="","",'Outturn ex VAT'!AC36*INDEX('Global Constants'!V$45:V$49,$H36))</f>
        <v/>
      </c>
      <c r="AD36" s="26" t="str">
        <f>IF($C36="","",'Outturn ex VAT'!AD36*INDEX('Global Constants'!W$45:W$49,$H36))</f>
        <v/>
      </c>
      <c r="AE36" s="26" t="str">
        <f>IF($C36="","",'Outturn ex VAT'!AE36*INDEX('Global Constants'!X$45:X$49,$H36))</f>
        <v/>
      </c>
      <c r="AF36" s="26" t="str">
        <f>IF($C36="","",'Outturn ex VAT'!AF36*INDEX('Global Constants'!Y$45:Y$49,$H36))</f>
        <v/>
      </c>
      <c r="AG36" s="26" t="str">
        <f>IF($C36="","",'Outturn ex VAT'!AG36*INDEX('Global Constants'!Z$45:Z$49,$H36))</f>
        <v/>
      </c>
      <c r="AH36" s="26" t="str">
        <f>IF($C36="","",'Outturn ex VAT'!AH36*INDEX('Global Constants'!AA$45:AA$49,$H36))</f>
        <v/>
      </c>
      <c r="AI36" s="26" t="str">
        <f>IF($C36="","",'Outturn ex VAT'!AI36*INDEX('Global Constants'!AB$45:AB$49,$H36))</f>
        <v/>
      </c>
      <c r="AJ36" s="26" t="str">
        <f>IF($C36="","",'Outturn ex VAT'!AJ36*INDEX('Global Constants'!AC$45:AC$49,$H36))</f>
        <v/>
      </c>
      <c r="AK36" s="26" t="str">
        <f>IF($C36="","",'Outturn ex VAT'!AK36*INDEX('Global Constants'!AD$45:AD$49,$H36))</f>
        <v/>
      </c>
      <c r="AL36" s="26" t="str">
        <f>IF($C36="","",'Outturn ex VAT'!AL36*INDEX('Global Constants'!AE$45:AE$49,$H36))</f>
        <v/>
      </c>
      <c r="AM36" s="26" t="str">
        <f>IF($C36="","",'Outturn ex VAT'!AM36*INDEX('Global Constants'!AF$45:AF$49,$H36))</f>
        <v/>
      </c>
      <c r="AN36" s="26" t="str">
        <f>IF($C36="","",'Outturn ex VAT'!AN36*INDEX('Global Constants'!AG$45:AG$49,$H36))</f>
        <v/>
      </c>
      <c r="AO36" s="26" t="str">
        <f>IF($C36="","",'Outturn ex VAT'!AO36*INDEX('Global Constants'!AH$45:AH$49,$H36))</f>
        <v/>
      </c>
      <c r="AP36" s="26" t="str">
        <f>IF($C36="","",'Outturn ex VAT'!AP36*INDEX('Global Constants'!AI$45:AI$49,$H36))</f>
        <v/>
      </c>
      <c r="AQ36" s="26" t="str">
        <f>IF($C36="","",'Outturn ex VAT'!AQ36*INDEX('Global Constants'!AJ$45:AJ$49,$H36))</f>
        <v/>
      </c>
      <c r="AR36" s="26" t="str">
        <f>IF($C36="","",'Outturn ex VAT'!AR36*INDEX('Global Constants'!AK$45:AK$49,$H36))</f>
        <v/>
      </c>
      <c r="AS36" s="26" t="str">
        <f>IF($C36="","",'Outturn ex VAT'!AS36*INDEX('Global Constants'!AL$45:AL$49,$H36))</f>
        <v/>
      </c>
      <c r="AT36" s="26" t="str">
        <f>IF($C36="","",'Outturn ex VAT'!AT36*INDEX('Global Constants'!AM$45:AM$49,$H36))</f>
        <v/>
      </c>
      <c r="AU36" s="26" t="str">
        <f>IF($C36="","",'Outturn ex VAT'!AU36*INDEX('Global Constants'!AN$45:AN$49,$H36))</f>
        <v/>
      </c>
      <c r="AV36" s="26" t="str">
        <f>IF($C36="","",'Outturn ex VAT'!AV36*INDEX('Global Constants'!AO$45:AO$49,$H36))</f>
        <v/>
      </c>
      <c r="AW36" s="26" t="str">
        <f>IF($C36="","",'Outturn ex VAT'!AW36*INDEX('Global Constants'!AP$45:AP$49,$H36))</f>
        <v/>
      </c>
      <c r="AX36" s="26" t="str">
        <f>IF($C36="","",'Outturn ex VAT'!AX36*INDEX('Global Constants'!AQ$45:AQ$49,$H36))</f>
        <v/>
      </c>
      <c r="AY36" s="26" t="str">
        <f>IF($C36="","",'Outturn ex VAT'!AY36*INDEX('Global Constants'!AR$45:AR$49,$H36))</f>
        <v/>
      </c>
      <c r="AZ36" s="26" t="str">
        <f>IF($C36="","",'Outturn ex VAT'!AZ36*INDEX('Global Constants'!AS$45:AS$49,$H36))</f>
        <v/>
      </c>
      <c r="BA36" s="26" t="str">
        <f>IF($C36="","",'Outturn ex VAT'!BA36*INDEX('Global Constants'!AT$45:AT$49,$H36))</f>
        <v/>
      </c>
      <c r="BB36" s="26" t="str">
        <f>IF($C36="","",'Outturn ex VAT'!BB36*INDEX('Global Constants'!AU$45:AU$49,$H36))</f>
        <v/>
      </c>
      <c r="BC36" s="26" t="str">
        <f>IF($C36="","",'Outturn ex VAT'!BC36*INDEX('Global Constants'!AV$45:AV$49,$H36))</f>
        <v/>
      </c>
      <c r="BD36" s="26" t="str">
        <f>IF($C36="","",'Outturn ex VAT'!BD36*INDEX('Global Constants'!AW$45:AW$49,$H36))</f>
        <v/>
      </c>
      <c r="BE36" s="26" t="str">
        <f>IF($C36="","",'Outturn ex VAT'!BE36*INDEX('Global Constants'!AX$45:AX$49,$H36))</f>
        <v/>
      </c>
      <c r="BF36" s="26" t="str">
        <f>IF($C36="","",'Outturn ex VAT'!BF36*INDEX('Global Constants'!AY$45:AY$49,$H36))</f>
        <v/>
      </c>
      <c r="BG36" s="26" t="str">
        <f>IF($C36="","",'Outturn ex VAT'!BG36*INDEX('Global Constants'!AZ$45:AZ$49,$H36))</f>
        <v/>
      </c>
      <c r="BH36" s="26" t="str">
        <f>IF($C36="","",'Outturn ex VAT'!BH36*INDEX('Global Constants'!BA$45:BA$49,$H36))</f>
        <v/>
      </c>
      <c r="BI36" s="26" t="str">
        <f>IF($C36="","",'Outturn ex VAT'!BI36*INDEX('Global Constants'!BB$45:BB$49,$H36))</f>
        <v/>
      </c>
      <c r="BJ36" s="26" t="str">
        <f>IF($C36="","",'Outturn ex VAT'!BJ36*INDEX('Global Constants'!BC$45:BC$49,$H36))</f>
        <v/>
      </c>
      <c r="BK36" s="26" t="str">
        <f>IF($C36="","",'Outturn ex VAT'!BK36*INDEX('Global Constants'!BD$45:BD$49,$H36))</f>
        <v/>
      </c>
      <c r="BL36" s="26" t="str">
        <f>IF($C36="","",'Outturn ex VAT'!BL36*INDEX('Global Constants'!BE$45:BE$49,$H36))</f>
        <v/>
      </c>
      <c r="BM36" s="26" t="str">
        <f>IF($C36="","",'Outturn ex VAT'!BM36*INDEX('Global Constants'!BF$45:BF$49,$H36))</f>
        <v/>
      </c>
      <c r="BN36" s="26" t="str">
        <f>IF($C36="","",'Outturn ex VAT'!BN36*INDEX('Global Constants'!BG$45:BG$49,$H36))</f>
        <v/>
      </c>
      <c r="BO36" s="26" t="str">
        <f>IF($C36="","",'Outturn ex VAT'!BO36*INDEX('Global Constants'!BH$45:BH$49,$H36))</f>
        <v/>
      </c>
      <c r="BP36" s="26" t="str">
        <f>IF($C36="","",'Outturn ex VAT'!BP36*INDEX('Global Constants'!BI$45:BI$49,$H36))</f>
        <v/>
      </c>
      <c r="BQ36" s="26" t="str">
        <f>IF($C36="","",'Outturn ex VAT'!BQ36*INDEX('Global Constants'!BJ$45:BJ$49,$H36))</f>
        <v/>
      </c>
      <c r="BR36" s="26" t="str">
        <f>IF($C36="","",'Outturn ex VAT'!BR36*INDEX('Global Constants'!BK$45:BK$49,$H36))</f>
        <v/>
      </c>
      <c r="BS36" s="26" t="str">
        <f>IF($C36="","",'Outturn ex VAT'!BS36*INDEX('Global Constants'!BL$45:BL$49,$H36))</f>
        <v/>
      </c>
      <c r="BT36" s="26" t="str">
        <f>IF($C36="","",'Outturn ex VAT'!BT36*INDEX('Global Constants'!BM$45:BM$49,$H36))</f>
        <v/>
      </c>
      <c r="BU36" s="26" t="str">
        <f>IF($C36="","",'Outturn ex VAT'!BU36*INDEX('Global Constants'!BN$45:BN$49,$H36))</f>
        <v/>
      </c>
      <c r="BV36" s="26" t="str">
        <f>IF($C36="","",'Outturn ex VAT'!BV36*INDEX('Global Constants'!BO$45:BO$49,$H36))</f>
        <v/>
      </c>
      <c r="BW36" s="26" t="str">
        <f>IF($C36="","",'Outturn ex VAT'!BW36*INDEX('Global Constants'!BP$45:BP$49,$H36))</f>
        <v/>
      </c>
      <c r="BX36" s="26" t="str">
        <f>IF($C36="","",'Outturn ex VAT'!BX36*INDEX('Global Constants'!BQ$45:BQ$49,$H36))</f>
        <v/>
      </c>
      <c r="BY36" s="26" t="str">
        <f>IF($C36="","",'Outturn ex VAT'!BY36*INDEX('Global Constants'!BR$45:BR$49,$H36))</f>
        <v/>
      </c>
      <c r="BZ36" s="26" t="str">
        <f>IF($C36="","",'Outturn ex VAT'!BZ36*INDEX('Global Constants'!BS$45:BS$49,$H36))</f>
        <v/>
      </c>
      <c r="CA36" s="26" t="str">
        <f>IF($C36="","",'Outturn ex VAT'!CA36*INDEX('Global Constants'!BT$45:BT$49,$H36))</f>
        <v/>
      </c>
      <c r="CB36" s="26" t="str">
        <f>IF($C36="","",'Outturn ex VAT'!CB36*INDEX('Global Constants'!BU$45:BU$49,$H36))</f>
        <v/>
      </c>
      <c r="CC36" s="26" t="str">
        <f>IF($C36="","",'Outturn ex VAT'!CC36*INDEX('Global Constants'!BV$45:BV$49,$H36))</f>
        <v/>
      </c>
      <c r="CD36" s="26" t="str">
        <f>IF($C36="","",'Outturn ex VAT'!CD36*INDEX('Global Constants'!BW$45:BW$49,$H36))</f>
        <v/>
      </c>
      <c r="CE36" s="26" t="str">
        <f>IF($C36="","",'Outturn ex VAT'!CE36*INDEX('Global Constants'!BX$45:BX$49,$H36))</f>
        <v/>
      </c>
      <c r="CF36" s="26" t="str">
        <f>IF($C36="","",'Outturn ex VAT'!CF36*INDEX('Global Constants'!BY$45:BY$49,$H36))</f>
        <v/>
      </c>
      <c r="CG36" s="26" t="str">
        <f>IF($C36="","",'Outturn ex VAT'!CG36*INDEX('Global Constants'!BZ$45:BZ$49,$H36))</f>
        <v/>
      </c>
      <c r="CH36" s="26" t="str">
        <f>IF($C36="","",'Outturn ex VAT'!CH36*INDEX('Global Constants'!CA$45:CA$49,$H36))</f>
        <v/>
      </c>
      <c r="CI36" s="26" t="str">
        <f>IF($C36="","",'Outturn ex VAT'!CI36*INDEX('Global Constants'!CB$45:CB$49,$H36))</f>
        <v/>
      </c>
      <c r="CJ36" s="26" t="str">
        <f>IF($C36="","",'Outturn ex VAT'!CJ36*INDEX('Global Constants'!CC$45:CC$49,$H36))</f>
        <v/>
      </c>
      <c r="CK36" s="26" t="str">
        <f>IF($C36="","",'Outturn ex VAT'!CK36*INDEX('Global Constants'!CD$45:CD$49,$H36))</f>
        <v/>
      </c>
      <c r="CL36" s="26" t="str">
        <f>IF($C36="","",'Outturn ex VAT'!CL36*INDEX('Global Constants'!CE$45:CE$49,$H36))</f>
        <v/>
      </c>
      <c r="CM36" s="26" t="str">
        <f>IF($C36="","",'Outturn ex VAT'!CM36*INDEX('Global Constants'!CF$45:CF$49,$H36))</f>
        <v/>
      </c>
      <c r="CN36" s="26" t="str">
        <f>IF($C36="","",'Outturn ex VAT'!CN36*INDEX('Global Constants'!CG$45:CG$49,$H36))</f>
        <v/>
      </c>
      <c r="CO36" s="26" t="str">
        <f>IF($C36="","",'Outturn ex VAT'!CO36*INDEX('Global Constants'!CH$45:CH$49,$H36))</f>
        <v/>
      </c>
      <c r="CP36" s="26" t="str">
        <f>IF($C36="","",'Outturn ex VAT'!CP36*INDEX('Global Constants'!CI$45:CI$49,$H36))</f>
        <v/>
      </c>
      <c r="CQ36" s="26" t="str">
        <f>IF($C36="","",'Outturn ex VAT'!CQ36*INDEX('Global Constants'!CJ$45:CJ$49,$H36))</f>
        <v/>
      </c>
      <c r="CR36" s="26" t="str">
        <f>IF($C36="","",'Outturn ex VAT'!CR36*INDEX('Global Constants'!CK$45:CK$49,$H36))</f>
        <v/>
      </c>
      <c r="CS36" s="26" t="str">
        <f>IF($C36="","",'Outturn ex VAT'!CS36*INDEX('Global Constants'!CL$45:CL$49,$H36))</f>
        <v/>
      </c>
      <c r="CT36" s="26" t="str">
        <f>IF($C36="","",'Outturn ex VAT'!CT36*INDEX('Global Constants'!CM$45:CM$49,$H36))</f>
        <v/>
      </c>
      <c r="CU36" s="26" t="str">
        <f>IF($C36="","",'Outturn ex VAT'!CU36*INDEX('Global Constants'!CN$45:CN$49,$H36))</f>
        <v/>
      </c>
      <c r="CV36" s="26" t="str">
        <f>IF($C36="","",'Outturn ex VAT'!CV36*INDEX('Global Constants'!CO$45:CO$49,$H36))</f>
        <v/>
      </c>
      <c r="CW36" s="26" t="str">
        <f>IF($C36="","",'Outturn ex VAT'!CW36*INDEX('Global Constants'!CP$45:CP$49,$H36))</f>
        <v/>
      </c>
      <c r="CX36" s="26" t="str">
        <f>IF($C36="","",'Outturn ex VAT'!CX36*INDEX('Global Constants'!CQ$45:CQ$49,$H36))</f>
        <v/>
      </c>
      <c r="CZ36" s="26">
        <f t="shared" ca="1" si="1"/>
        <v>0</v>
      </c>
      <c r="DA36" s="26">
        <f t="shared" si="2"/>
        <v>0</v>
      </c>
    </row>
    <row r="37" spans="3:105" x14ac:dyDescent="0.3">
      <c r="C37" s="4" t="str">
        <f>IF('Cost &amp; Risk Inputs'!C38="","",'Cost &amp; Risk Inputs'!C38)</f>
        <v/>
      </c>
      <c r="D37" s="4" t="str">
        <f>IF(C37="","",'Cost &amp; Risk Inputs'!H38)</f>
        <v/>
      </c>
      <c r="E37" s="4" t="str">
        <f>IF(C37="","",'Cost &amp; Risk Inputs'!I38)</f>
        <v/>
      </c>
      <c r="F37" s="4" t="str">
        <f>IF(C37="","",'Cost &amp; Risk Inputs'!E38)</f>
        <v/>
      </c>
      <c r="H37" s="18" t="str">
        <f t="shared" si="0"/>
        <v/>
      </c>
      <c r="M37" s="26" t="str">
        <f>IF($C37="","",'Outturn ex VAT'!M37*INDEX('Global Constants'!F$45:F$49,$H37))</f>
        <v/>
      </c>
      <c r="N37" s="26" t="str">
        <f>IF($C37="","",'Outturn ex VAT'!N37*INDEX('Global Constants'!G$45:G$49,$H37))</f>
        <v/>
      </c>
      <c r="O37" s="26" t="str">
        <f>IF($C37="","",'Outturn ex VAT'!O37*INDEX('Global Constants'!H$45:H$49,$H37))</f>
        <v/>
      </c>
      <c r="P37" s="26" t="str">
        <f>IF($C37="","",'Outturn ex VAT'!P37*INDEX('Global Constants'!I$45:I$49,$H37))</f>
        <v/>
      </c>
      <c r="Q37" s="26" t="str">
        <f>IF($C37="","",'Outturn ex VAT'!Q37*INDEX('Global Constants'!J$45:J$49,$H37))</f>
        <v/>
      </c>
      <c r="R37" s="26" t="str">
        <f>IF($C37="","",'Outturn ex VAT'!R37*INDEX('Global Constants'!K$45:K$49,$H37))</f>
        <v/>
      </c>
      <c r="S37" s="26" t="str">
        <f>IF($C37="","",'Outturn ex VAT'!S37*INDEX('Global Constants'!L$45:L$49,$H37))</f>
        <v/>
      </c>
      <c r="T37" s="26" t="str">
        <f>IF($C37="","",'Outturn ex VAT'!T37*INDEX('Global Constants'!M$45:M$49,$H37))</f>
        <v/>
      </c>
      <c r="U37" s="26" t="str">
        <f>IF($C37="","",'Outturn ex VAT'!U37*INDEX('Global Constants'!N$45:N$49,$H37))</f>
        <v/>
      </c>
      <c r="V37" s="26" t="str">
        <f>IF($C37="","",'Outturn ex VAT'!V37*INDEX('Global Constants'!O$45:O$49,$H37))</f>
        <v/>
      </c>
      <c r="W37" s="26" t="str">
        <f>IF($C37="","",'Outturn ex VAT'!W37*INDEX('Global Constants'!P$45:P$49,$H37))</f>
        <v/>
      </c>
      <c r="X37" s="26" t="str">
        <f>IF($C37="","",'Outturn ex VAT'!X37*INDEX('Global Constants'!Q$45:Q$49,$H37))</f>
        <v/>
      </c>
      <c r="Y37" s="26" t="str">
        <f>IF($C37="","",'Outturn ex VAT'!Y37*INDEX('Global Constants'!R$45:R$49,$H37))</f>
        <v/>
      </c>
      <c r="Z37" s="26" t="str">
        <f>IF($C37="","",'Outturn ex VAT'!Z37*INDEX('Global Constants'!S$45:S$49,$H37))</f>
        <v/>
      </c>
      <c r="AA37" s="26" t="str">
        <f>IF($C37="","",'Outturn ex VAT'!AA37*INDEX('Global Constants'!T$45:T$49,$H37))</f>
        <v/>
      </c>
      <c r="AB37" s="26" t="str">
        <f>IF($C37="","",'Outturn ex VAT'!AB37*INDEX('Global Constants'!U$45:U$49,$H37))</f>
        <v/>
      </c>
      <c r="AC37" s="26" t="str">
        <f>IF($C37="","",'Outturn ex VAT'!AC37*INDEX('Global Constants'!V$45:V$49,$H37))</f>
        <v/>
      </c>
      <c r="AD37" s="26" t="str">
        <f>IF($C37="","",'Outturn ex VAT'!AD37*INDEX('Global Constants'!W$45:W$49,$H37))</f>
        <v/>
      </c>
      <c r="AE37" s="26" t="str">
        <f>IF($C37="","",'Outturn ex VAT'!AE37*INDEX('Global Constants'!X$45:X$49,$H37))</f>
        <v/>
      </c>
      <c r="AF37" s="26" t="str">
        <f>IF($C37="","",'Outturn ex VAT'!AF37*INDEX('Global Constants'!Y$45:Y$49,$H37))</f>
        <v/>
      </c>
      <c r="AG37" s="26" t="str">
        <f>IF($C37="","",'Outturn ex VAT'!AG37*INDEX('Global Constants'!Z$45:Z$49,$H37))</f>
        <v/>
      </c>
      <c r="AH37" s="26" t="str">
        <f>IF($C37="","",'Outturn ex VAT'!AH37*INDEX('Global Constants'!AA$45:AA$49,$H37))</f>
        <v/>
      </c>
      <c r="AI37" s="26" t="str">
        <f>IF($C37="","",'Outturn ex VAT'!AI37*INDEX('Global Constants'!AB$45:AB$49,$H37))</f>
        <v/>
      </c>
      <c r="AJ37" s="26" t="str">
        <f>IF($C37="","",'Outturn ex VAT'!AJ37*INDEX('Global Constants'!AC$45:AC$49,$H37))</f>
        <v/>
      </c>
      <c r="AK37" s="26" t="str">
        <f>IF($C37="","",'Outturn ex VAT'!AK37*INDEX('Global Constants'!AD$45:AD$49,$H37))</f>
        <v/>
      </c>
      <c r="AL37" s="26" t="str">
        <f>IF($C37="","",'Outturn ex VAT'!AL37*INDEX('Global Constants'!AE$45:AE$49,$H37))</f>
        <v/>
      </c>
      <c r="AM37" s="26" t="str">
        <f>IF($C37="","",'Outturn ex VAT'!AM37*INDEX('Global Constants'!AF$45:AF$49,$H37))</f>
        <v/>
      </c>
      <c r="AN37" s="26" t="str">
        <f>IF($C37="","",'Outturn ex VAT'!AN37*INDEX('Global Constants'!AG$45:AG$49,$H37))</f>
        <v/>
      </c>
      <c r="AO37" s="26" t="str">
        <f>IF($C37="","",'Outturn ex VAT'!AO37*INDEX('Global Constants'!AH$45:AH$49,$H37))</f>
        <v/>
      </c>
      <c r="AP37" s="26" t="str">
        <f>IF($C37="","",'Outturn ex VAT'!AP37*INDEX('Global Constants'!AI$45:AI$49,$H37))</f>
        <v/>
      </c>
      <c r="AQ37" s="26" t="str">
        <f>IF($C37="","",'Outturn ex VAT'!AQ37*INDEX('Global Constants'!AJ$45:AJ$49,$H37))</f>
        <v/>
      </c>
      <c r="AR37" s="26" t="str">
        <f>IF($C37="","",'Outturn ex VAT'!AR37*INDEX('Global Constants'!AK$45:AK$49,$H37))</f>
        <v/>
      </c>
      <c r="AS37" s="26" t="str">
        <f>IF($C37="","",'Outturn ex VAT'!AS37*INDEX('Global Constants'!AL$45:AL$49,$H37))</f>
        <v/>
      </c>
      <c r="AT37" s="26" t="str">
        <f>IF($C37="","",'Outturn ex VAT'!AT37*INDEX('Global Constants'!AM$45:AM$49,$H37))</f>
        <v/>
      </c>
      <c r="AU37" s="26" t="str">
        <f>IF($C37="","",'Outturn ex VAT'!AU37*INDEX('Global Constants'!AN$45:AN$49,$H37))</f>
        <v/>
      </c>
      <c r="AV37" s="26" t="str">
        <f>IF($C37="","",'Outturn ex VAT'!AV37*INDEX('Global Constants'!AO$45:AO$49,$H37))</f>
        <v/>
      </c>
      <c r="AW37" s="26" t="str">
        <f>IF($C37="","",'Outturn ex VAT'!AW37*INDEX('Global Constants'!AP$45:AP$49,$H37))</f>
        <v/>
      </c>
      <c r="AX37" s="26" t="str">
        <f>IF($C37="","",'Outturn ex VAT'!AX37*INDEX('Global Constants'!AQ$45:AQ$49,$H37))</f>
        <v/>
      </c>
      <c r="AY37" s="26" t="str">
        <f>IF($C37="","",'Outturn ex VAT'!AY37*INDEX('Global Constants'!AR$45:AR$49,$H37))</f>
        <v/>
      </c>
      <c r="AZ37" s="26" t="str">
        <f>IF($C37="","",'Outturn ex VAT'!AZ37*INDEX('Global Constants'!AS$45:AS$49,$H37))</f>
        <v/>
      </c>
      <c r="BA37" s="26" t="str">
        <f>IF($C37="","",'Outturn ex VAT'!BA37*INDEX('Global Constants'!AT$45:AT$49,$H37))</f>
        <v/>
      </c>
      <c r="BB37" s="26" t="str">
        <f>IF($C37="","",'Outturn ex VAT'!BB37*INDEX('Global Constants'!AU$45:AU$49,$H37))</f>
        <v/>
      </c>
      <c r="BC37" s="26" t="str">
        <f>IF($C37="","",'Outturn ex VAT'!BC37*INDEX('Global Constants'!AV$45:AV$49,$H37))</f>
        <v/>
      </c>
      <c r="BD37" s="26" t="str">
        <f>IF($C37="","",'Outturn ex VAT'!BD37*INDEX('Global Constants'!AW$45:AW$49,$H37))</f>
        <v/>
      </c>
      <c r="BE37" s="26" t="str">
        <f>IF($C37="","",'Outturn ex VAT'!BE37*INDEX('Global Constants'!AX$45:AX$49,$H37))</f>
        <v/>
      </c>
      <c r="BF37" s="26" t="str">
        <f>IF($C37="","",'Outturn ex VAT'!BF37*INDEX('Global Constants'!AY$45:AY$49,$H37))</f>
        <v/>
      </c>
      <c r="BG37" s="26" t="str">
        <f>IF($C37="","",'Outturn ex VAT'!BG37*INDEX('Global Constants'!AZ$45:AZ$49,$H37))</f>
        <v/>
      </c>
      <c r="BH37" s="26" t="str">
        <f>IF($C37="","",'Outturn ex VAT'!BH37*INDEX('Global Constants'!BA$45:BA$49,$H37))</f>
        <v/>
      </c>
      <c r="BI37" s="26" t="str">
        <f>IF($C37="","",'Outturn ex VAT'!BI37*INDEX('Global Constants'!BB$45:BB$49,$H37))</f>
        <v/>
      </c>
      <c r="BJ37" s="26" t="str">
        <f>IF($C37="","",'Outturn ex VAT'!BJ37*INDEX('Global Constants'!BC$45:BC$49,$H37))</f>
        <v/>
      </c>
      <c r="BK37" s="26" t="str">
        <f>IF($C37="","",'Outturn ex VAT'!BK37*INDEX('Global Constants'!BD$45:BD$49,$H37))</f>
        <v/>
      </c>
      <c r="BL37" s="26" t="str">
        <f>IF($C37="","",'Outturn ex VAT'!BL37*INDEX('Global Constants'!BE$45:BE$49,$H37))</f>
        <v/>
      </c>
      <c r="BM37" s="26" t="str">
        <f>IF($C37="","",'Outturn ex VAT'!BM37*INDEX('Global Constants'!BF$45:BF$49,$H37))</f>
        <v/>
      </c>
      <c r="BN37" s="26" t="str">
        <f>IF($C37="","",'Outturn ex VAT'!BN37*INDEX('Global Constants'!BG$45:BG$49,$H37))</f>
        <v/>
      </c>
      <c r="BO37" s="26" t="str">
        <f>IF($C37="","",'Outturn ex VAT'!BO37*INDEX('Global Constants'!BH$45:BH$49,$H37))</f>
        <v/>
      </c>
      <c r="BP37" s="26" t="str">
        <f>IF($C37="","",'Outturn ex VAT'!BP37*INDEX('Global Constants'!BI$45:BI$49,$H37))</f>
        <v/>
      </c>
      <c r="BQ37" s="26" t="str">
        <f>IF($C37="","",'Outturn ex VAT'!BQ37*INDEX('Global Constants'!BJ$45:BJ$49,$H37))</f>
        <v/>
      </c>
      <c r="BR37" s="26" t="str">
        <f>IF($C37="","",'Outturn ex VAT'!BR37*INDEX('Global Constants'!BK$45:BK$49,$H37))</f>
        <v/>
      </c>
      <c r="BS37" s="26" t="str">
        <f>IF($C37="","",'Outturn ex VAT'!BS37*INDEX('Global Constants'!BL$45:BL$49,$H37))</f>
        <v/>
      </c>
      <c r="BT37" s="26" t="str">
        <f>IF($C37="","",'Outturn ex VAT'!BT37*INDEX('Global Constants'!BM$45:BM$49,$H37))</f>
        <v/>
      </c>
      <c r="BU37" s="26" t="str">
        <f>IF($C37="","",'Outturn ex VAT'!BU37*INDEX('Global Constants'!BN$45:BN$49,$H37))</f>
        <v/>
      </c>
      <c r="BV37" s="26" t="str">
        <f>IF($C37="","",'Outturn ex VAT'!BV37*INDEX('Global Constants'!BO$45:BO$49,$H37))</f>
        <v/>
      </c>
      <c r="BW37" s="26" t="str">
        <f>IF($C37="","",'Outturn ex VAT'!BW37*INDEX('Global Constants'!BP$45:BP$49,$H37))</f>
        <v/>
      </c>
      <c r="BX37" s="26" t="str">
        <f>IF($C37="","",'Outturn ex VAT'!BX37*INDEX('Global Constants'!BQ$45:BQ$49,$H37))</f>
        <v/>
      </c>
      <c r="BY37" s="26" t="str">
        <f>IF($C37="","",'Outturn ex VAT'!BY37*INDEX('Global Constants'!BR$45:BR$49,$H37))</f>
        <v/>
      </c>
      <c r="BZ37" s="26" t="str">
        <f>IF($C37="","",'Outturn ex VAT'!BZ37*INDEX('Global Constants'!BS$45:BS$49,$H37))</f>
        <v/>
      </c>
      <c r="CA37" s="26" t="str">
        <f>IF($C37="","",'Outturn ex VAT'!CA37*INDEX('Global Constants'!BT$45:BT$49,$H37))</f>
        <v/>
      </c>
      <c r="CB37" s="26" t="str">
        <f>IF($C37="","",'Outturn ex VAT'!CB37*INDEX('Global Constants'!BU$45:BU$49,$H37))</f>
        <v/>
      </c>
      <c r="CC37" s="26" t="str">
        <f>IF($C37="","",'Outturn ex VAT'!CC37*INDEX('Global Constants'!BV$45:BV$49,$H37))</f>
        <v/>
      </c>
      <c r="CD37" s="26" t="str">
        <f>IF($C37="","",'Outturn ex VAT'!CD37*INDEX('Global Constants'!BW$45:BW$49,$H37))</f>
        <v/>
      </c>
      <c r="CE37" s="26" t="str">
        <f>IF($C37="","",'Outturn ex VAT'!CE37*INDEX('Global Constants'!BX$45:BX$49,$H37))</f>
        <v/>
      </c>
      <c r="CF37" s="26" t="str">
        <f>IF($C37="","",'Outturn ex VAT'!CF37*INDEX('Global Constants'!BY$45:BY$49,$H37))</f>
        <v/>
      </c>
      <c r="CG37" s="26" t="str">
        <f>IF($C37="","",'Outturn ex VAT'!CG37*INDEX('Global Constants'!BZ$45:BZ$49,$H37))</f>
        <v/>
      </c>
      <c r="CH37" s="26" t="str">
        <f>IF($C37="","",'Outturn ex VAT'!CH37*INDEX('Global Constants'!CA$45:CA$49,$H37))</f>
        <v/>
      </c>
      <c r="CI37" s="26" t="str">
        <f>IF($C37="","",'Outturn ex VAT'!CI37*INDEX('Global Constants'!CB$45:CB$49,$H37))</f>
        <v/>
      </c>
      <c r="CJ37" s="26" t="str">
        <f>IF($C37="","",'Outturn ex VAT'!CJ37*INDEX('Global Constants'!CC$45:CC$49,$H37))</f>
        <v/>
      </c>
      <c r="CK37" s="26" t="str">
        <f>IF($C37="","",'Outturn ex VAT'!CK37*INDEX('Global Constants'!CD$45:CD$49,$H37))</f>
        <v/>
      </c>
      <c r="CL37" s="26" t="str">
        <f>IF($C37="","",'Outturn ex VAT'!CL37*INDEX('Global Constants'!CE$45:CE$49,$H37))</f>
        <v/>
      </c>
      <c r="CM37" s="26" t="str">
        <f>IF($C37="","",'Outturn ex VAT'!CM37*INDEX('Global Constants'!CF$45:CF$49,$H37))</f>
        <v/>
      </c>
      <c r="CN37" s="26" t="str">
        <f>IF($C37="","",'Outturn ex VAT'!CN37*INDEX('Global Constants'!CG$45:CG$49,$H37))</f>
        <v/>
      </c>
      <c r="CO37" s="26" t="str">
        <f>IF($C37="","",'Outturn ex VAT'!CO37*INDEX('Global Constants'!CH$45:CH$49,$H37))</f>
        <v/>
      </c>
      <c r="CP37" s="26" t="str">
        <f>IF($C37="","",'Outturn ex VAT'!CP37*INDEX('Global Constants'!CI$45:CI$49,$H37))</f>
        <v/>
      </c>
      <c r="CQ37" s="26" t="str">
        <f>IF($C37="","",'Outturn ex VAT'!CQ37*INDEX('Global Constants'!CJ$45:CJ$49,$H37))</f>
        <v/>
      </c>
      <c r="CR37" s="26" t="str">
        <f>IF($C37="","",'Outturn ex VAT'!CR37*INDEX('Global Constants'!CK$45:CK$49,$H37))</f>
        <v/>
      </c>
      <c r="CS37" s="26" t="str">
        <f>IF($C37="","",'Outturn ex VAT'!CS37*INDEX('Global Constants'!CL$45:CL$49,$H37))</f>
        <v/>
      </c>
      <c r="CT37" s="26" t="str">
        <f>IF($C37="","",'Outturn ex VAT'!CT37*INDEX('Global Constants'!CM$45:CM$49,$H37))</f>
        <v/>
      </c>
      <c r="CU37" s="26" t="str">
        <f>IF($C37="","",'Outturn ex VAT'!CU37*INDEX('Global Constants'!CN$45:CN$49,$H37))</f>
        <v/>
      </c>
      <c r="CV37" s="26" t="str">
        <f>IF($C37="","",'Outturn ex VAT'!CV37*INDEX('Global Constants'!CO$45:CO$49,$H37))</f>
        <v/>
      </c>
      <c r="CW37" s="26" t="str">
        <f>IF($C37="","",'Outturn ex VAT'!CW37*INDEX('Global Constants'!CP$45:CP$49,$H37))</f>
        <v/>
      </c>
      <c r="CX37" s="26" t="str">
        <f>IF($C37="","",'Outturn ex VAT'!CX37*INDEX('Global Constants'!CQ$45:CQ$49,$H37))</f>
        <v/>
      </c>
      <c r="CZ37" s="26">
        <f t="shared" ca="1" si="1"/>
        <v>0</v>
      </c>
      <c r="DA37" s="26">
        <f t="shared" si="2"/>
        <v>0</v>
      </c>
    </row>
    <row r="38" spans="3:105" x14ac:dyDescent="0.3">
      <c r="C38" s="4" t="str">
        <f>IF('Cost &amp; Risk Inputs'!C39="","",'Cost &amp; Risk Inputs'!C39)</f>
        <v/>
      </c>
      <c r="D38" s="4" t="str">
        <f>IF(C38="","",'Cost &amp; Risk Inputs'!H39)</f>
        <v/>
      </c>
      <c r="E38" s="4" t="str">
        <f>IF(C38="","",'Cost &amp; Risk Inputs'!I39)</f>
        <v/>
      </c>
      <c r="F38" s="4" t="str">
        <f>IF(C38="","",'Cost &amp; Risk Inputs'!E39)</f>
        <v/>
      </c>
      <c r="H38" s="18" t="str">
        <f t="shared" si="0"/>
        <v/>
      </c>
      <c r="M38" s="26" t="str">
        <f>IF($C38="","",'Outturn ex VAT'!M38*INDEX('Global Constants'!F$45:F$49,$H38))</f>
        <v/>
      </c>
      <c r="N38" s="26" t="str">
        <f>IF($C38="","",'Outturn ex VAT'!N38*INDEX('Global Constants'!G$45:G$49,$H38))</f>
        <v/>
      </c>
      <c r="O38" s="26" t="str">
        <f>IF($C38="","",'Outturn ex VAT'!O38*INDEX('Global Constants'!H$45:H$49,$H38))</f>
        <v/>
      </c>
      <c r="P38" s="26" t="str">
        <f>IF($C38="","",'Outturn ex VAT'!P38*INDEX('Global Constants'!I$45:I$49,$H38))</f>
        <v/>
      </c>
      <c r="Q38" s="26" t="str">
        <f>IF($C38="","",'Outturn ex VAT'!Q38*INDEX('Global Constants'!J$45:J$49,$H38))</f>
        <v/>
      </c>
      <c r="R38" s="26" t="str">
        <f>IF($C38="","",'Outturn ex VAT'!R38*INDEX('Global Constants'!K$45:K$49,$H38))</f>
        <v/>
      </c>
      <c r="S38" s="26" t="str">
        <f>IF($C38="","",'Outturn ex VAT'!S38*INDEX('Global Constants'!L$45:L$49,$H38))</f>
        <v/>
      </c>
      <c r="T38" s="26" t="str">
        <f>IF($C38="","",'Outturn ex VAT'!T38*INDEX('Global Constants'!M$45:M$49,$H38))</f>
        <v/>
      </c>
      <c r="U38" s="26" t="str">
        <f>IF($C38="","",'Outturn ex VAT'!U38*INDEX('Global Constants'!N$45:N$49,$H38))</f>
        <v/>
      </c>
      <c r="V38" s="26" t="str">
        <f>IF($C38="","",'Outturn ex VAT'!V38*INDEX('Global Constants'!O$45:O$49,$H38))</f>
        <v/>
      </c>
      <c r="W38" s="26" t="str">
        <f>IF($C38="","",'Outturn ex VAT'!W38*INDEX('Global Constants'!P$45:P$49,$H38))</f>
        <v/>
      </c>
      <c r="X38" s="26" t="str">
        <f>IF($C38="","",'Outturn ex VAT'!X38*INDEX('Global Constants'!Q$45:Q$49,$H38))</f>
        <v/>
      </c>
      <c r="Y38" s="26" t="str">
        <f>IF($C38="","",'Outturn ex VAT'!Y38*INDEX('Global Constants'!R$45:R$49,$H38))</f>
        <v/>
      </c>
      <c r="Z38" s="26" t="str">
        <f>IF($C38="","",'Outturn ex VAT'!Z38*INDEX('Global Constants'!S$45:S$49,$H38))</f>
        <v/>
      </c>
      <c r="AA38" s="26" t="str">
        <f>IF($C38="","",'Outturn ex VAT'!AA38*INDEX('Global Constants'!T$45:T$49,$H38))</f>
        <v/>
      </c>
      <c r="AB38" s="26" t="str">
        <f>IF($C38="","",'Outturn ex VAT'!AB38*INDEX('Global Constants'!U$45:U$49,$H38))</f>
        <v/>
      </c>
      <c r="AC38" s="26" t="str">
        <f>IF($C38="","",'Outturn ex VAT'!AC38*INDEX('Global Constants'!V$45:V$49,$H38))</f>
        <v/>
      </c>
      <c r="AD38" s="26" t="str">
        <f>IF($C38="","",'Outturn ex VAT'!AD38*INDEX('Global Constants'!W$45:W$49,$H38))</f>
        <v/>
      </c>
      <c r="AE38" s="26" t="str">
        <f>IF($C38="","",'Outturn ex VAT'!AE38*INDEX('Global Constants'!X$45:X$49,$H38))</f>
        <v/>
      </c>
      <c r="AF38" s="26" t="str">
        <f>IF($C38="","",'Outturn ex VAT'!AF38*INDEX('Global Constants'!Y$45:Y$49,$H38))</f>
        <v/>
      </c>
      <c r="AG38" s="26" t="str">
        <f>IF($C38="","",'Outturn ex VAT'!AG38*INDEX('Global Constants'!Z$45:Z$49,$H38))</f>
        <v/>
      </c>
      <c r="AH38" s="26" t="str">
        <f>IF($C38="","",'Outturn ex VAT'!AH38*INDEX('Global Constants'!AA$45:AA$49,$H38))</f>
        <v/>
      </c>
      <c r="AI38" s="26" t="str">
        <f>IF($C38="","",'Outturn ex VAT'!AI38*INDEX('Global Constants'!AB$45:AB$49,$H38))</f>
        <v/>
      </c>
      <c r="AJ38" s="26" t="str">
        <f>IF($C38="","",'Outturn ex VAT'!AJ38*INDEX('Global Constants'!AC$45:AC$49,$H38))</f>
        <v/>
      </c>
      <c r="AK38" s="26" t="str">
        <f>IF($C38="","",'Outturn ex VAT'!AK38*INDEX('Global Constants'!AD$45:AD$49,$H38))</f>
        <v/>
      </c>
      <c r="AL38" s="26" t="str">
        <f>IF($C38="","",'Outturn ex VAT'!AL38*INDEX('Global Constants'!AE$45:AE$49,$H38))</f>
        <v/>
      </c>
      <c r="AM38" s="26" t="str">
        <f>IF($C38="","",'Outturn ex VAT'!AM38*INDEX('Global Constants'!AF$45:AF$49,$H38))</f>
        <v/>
      </c>
      <c r="AN38" s="26" t="str">
        <f>IF($C38="","",'Outturn ex VAT'!AN38*INDEX('Global Constants'!AG$45:AG$49,$H38))</f>
        <v/>
      </c>
      <c r="AO38" s="26" t="str">
        <f>IF($C38="","",'Outturn ex VAT'!AO38*INDEX('Global Constants'!AH$45:AH$49,$H38))</f>
        <v/>
      </c>
      <c r="AP38" s="26" t="str">
        <f>IF($C38="","",'Outturn ex VAT'!AP38*INDEX('Global Constants'!AI$45:AI$49,$H38))</f>
        <v/>
      </c>
      <c r="AQ38" s="26" t="str">
        <f>IF($C38="","",'Outturn ex VAT'!AQ38*INDEX('Global Constants'!AJ$45:AJ$49,$H38))</f>
        <v/>
      </c>
      <c r="AR38" s="26" t="str">
        <f>IF($C38="","",'Outturn ex VAT'!AR38*INDEX('Global Constants'!AK$45:AK$49,$H38))</f>
        <v/>
      </c>
      <c r="AS38" s="26" t="str">
        <f>IF($C38="","",'Outturn ex VAT'!AS38*INDEX('Global Constants'!AL$45:AL$49,$H38))</f>
        <v/>
      </c>
      <c r="AT38" s="26" t="str">
        <f>IF($C38="","",'Outturn ex VAT'!AT38*INDEX('Global Constants'!AM$45:AM$49,$H38))</f>
        <v/>
      </c>
      <c r="AU38" s="26" t="str">
        <f>IF($C38="","",'Outturn ex VAT'!AU38*INDEX('Global Constants'!AN$45:AN$49,$H38))</f>
        <v/>
      </c>
      <c r="AV38" s="26" t="str">
        <f>IF($C38="","",'Outturn ex VAT'!AV38*INDEX('Global Constants'!AO$45:AO$49,$H38))</f>
        <v/>
      </c>
      <c r="AW38" s="26" t="str">
        <f>IF($C38="","",'Outturn ex VAT'!AW38*INDEX('Global Constants'!AP$45:AP$49,$H38))</f>
        <v/>
      </c>
      <c r="AX38" s="26" t="str">
        <f>IF($C38="","",'Outturn ex VAT'!AX38*INDEX('Global Constants'!AQ$45:AQ$49,$H38))</f>
        <v/>
      </c>
      <c r="AY38" s="26" t="str">
        <f>IF($C38="","",'Outturn ex VAT'!AY38*INDEX('Global Constants'!AR$45:AR$49,$H38))</f>
        <v/>
      </c>
      <c r="AZ38" s="26" t="str">
        <f>IF($C38="","",'Outturn ex VAT'!AZ38*INDEX('Global Constants'!AS$45:AS$49,$H38))</f>
        <v/>
      </c>
      <c r="BA38" s="26" t="str">
        <f>IF($C38="","",'Outturn ex VAT'!BA38*INDEX('Global Constants'!AT$45:AT$49,$H38))</f>
        <v/>
      </c>
      <c r="BB38" s="26" t="str">
        <f>IF($C38="","",'Outturn ex VAT'!BB38*INDEX('Global Constants'!AU$45:AU$49,$H38))</f>
        <v/>
      </c>
      <c r="BC38" s="26" t="str">
        <f>IF($C38="","",'Outturn ex VAT'!BC38*INDEX('Global Constants'!AV$45:AV$49,$H38))</f>
        <v/>
      </c>
      <c r="BD38" s="26" t="str">
        <f>IF($C38="","",'Outturn ex VAT'!BD38*INDEX('Global Constants'!AW$45:AW$49,$H38))</f>
        <v/>
      </c>
      <c r="BE38" s="26" t="str">
        <f>IF($C38="","",'Outturn ex VAT'!BE38*INDEX('Global Constants'!AX$45:AX$49,$H38))</f>
        <v/>
      </c>
      <c r="BF38" s="26" t="str">
        <f>IF($C38="","",'Outturn ex VAT'!BF38*INDEX('Global Constants'!AY$45:AY$49,$H38))</f>
        <v/>
      </c>
      <c r="BG38" s="26" t="str">
        <f>IF($C38="","",'Outturn ex VAT'!BG38*INDEX('Global Constants'!AZ$45:AZ$49,$H38))</f>
        <v/>
      </c>
      <c r="BH38" s="26" t="str">
        <f>IF($C38="","",'Outturn ex VAT'!BH38*INDEX('Global Constants'!BA$45:BA$49,$H38))</f>
        <v/>
      </c>
      <c r="BI38" s="26" t="str">
        <f>IF($C38="","",'Outturn ex VAT'!BI38*INDEX('Global Constants'!BB$45:BB$49,$H38))</f>
        <v/>
      </c>
      <c r="BJ38" s="26" t="str">
        <f>IF($C38="","",'Outturn ex VAT'!BJ38*INDEX('Global Constants'!BC$45:BC$49,$H38))</f>
        <v/>
      </c>
      <c r="BK38" s="26" t="str">
        <f>IF($C38="","",'Outturn ex VAT'!BK38*INDEX('Global Constants'!BD$45:BD$49,$H38))</f>
        <v/>
      </c>
      <c r="BL38" s="26" t="str">
        <f>IF($C38="","",'Outturn ex VAT'!BL38*INDEX('Global Constants'!BE$45:BE$49,$H38))</f>
        <v/>
      </c>
      <c r="BM38" s="26" t="str">
        <f>IF($C38="","",'Outturn ex VAT'!BM38*INDEX('Global Constants'!BF$45:BF$49,$H38))</f>
        <v/>
      </c>
      <c r="BN38" s="26" t="str">
        <f>IF($C38="","",'Outturn ex VAT'!BN38*INDEX('Global Constants'!BG$45:BG$49,$H38))</f>
        <v/>
      </c>
      <c r="BO38" s="26" t="str">
        <f>IF($C38="","",'Outturn ex VAT'!BO38*INDEX('Global Constants'!BH$45:BH$49,$H38))</f>
        <v/>
      </c>
      <c r="BP38" s="26" t="str">
        <f>IF($C38="","",'Outturn ex VAT'!BP38*INDEX('Global Constants'!BI$45:BI$49,$H38))</f>
        <v/>
      </c>
      <c r="BQ38" s="26" t="str">
        <f>IF($C38="","",'Outturn ex VAT'!BQ38*INDEX('Global Constants'!BJ$45:BJ$49,$H38))</f>
        <v/>
      </c>
      <c r="BR38" s="26" t="str">
        <f>IF($C38="","",'Outturn ex VAT'!BR38*INDEX('Global Constants'!BK$45:BK$49,$H38))</f>
        <v/>
      </c>
      <c r="BS38" s="26" t="str">
        <f>IF($C38="","",'Outturn ex VAT'!BS38*INDEX('Global Constants'!BL$45:BL$49,$H38))</f>
        <v/>
      </c>
      <c r="BT38" s="26" t="str">
        <f>IF($C38="","",'Outturn ex VAT'!BT38*INDEX('Global Constants'!BM$45:BM$49,$H38))</f>
        <v/>
      </c>
      <c r="BU38" s="26" t="str">
        <f>IF($C38="","",'Outturn ex VAT'!BU38*INDEX('Global Constants'!BN$45:BN$49,$H38))</f>
        <v/>
      </c>
      <c r="BV38" s="26" t="str">
        <f>IF($C38="","",'Outturn ex VAT'!BV38*INDEX('Global Constants'!BO$45:BO$49,$H38))</f>
        <v/>
      </c>
      <c r="BW38" s="26" t="str">
        <f>IF($C38="","",'Outturn ex VAT'!BW38*INDEX('Global Constants'!BP$45:BP$49,$H38))</f>
        <v/>
      </c>
      <c r="BX38" s="26" t="str">
        <f>IF($C38="","",'Outturn ex VAT'!BX38*INDEX('Global Constants'!BQ$45:BQ$49,$H38))</f>
        <v/>
      </c>
      <c r="BY38" s="26" t="str">
        <f>IF($C38="","",'Outturn ex VAT'!BY38*INDEX('Global Constants'!BR$45:BR$49,$H38))</f>
        <v/>
      </c>
      <c r="BZ38" s="26" t="str">
        <f>IF($C38="","",'Outturn ex VAT'!BZ38*INDEX('Global Constants'!BS$45:BS$49,$H38))</f>
        <v/>
      </c>
      <c r="CA38" s="26" t="str">
        <f>IF($C38="","",'Outturn ex VAT'!CA38*INDEX('Global Constants'!BT$45:BT$49,$H38))</f>
        <v/>
      </c>
      <c r="CB38" s="26" t="str">
        <f>IF($C38="","",'Outturn ex VAT'!CB38*INDEX('Global Constants'!BU$45:BU$49,$H38))</f>
        <v/>
      </c>
      <c r="CC38" s="26" t="str">
        <f>IF($C38="","",'Outturn ex VAT'!CC38*INDEX('Global Constants'!BV$45:BV$49,$H38))</f>
        <v/>
      </c>
      <c r="CD38" s="26" t="str">
        <f>IF($C38="","",'Outturn ex VAT'!CD38*INDEX('Global Constants'!BW$45:BW$49,$H38))</f>
        <v/>
      </c>
      <c r="CE38" s="26" t="str">
        <f>IF($C38="","",'Outturn ex VAT'!CE38*INDEX('Global Constants'!BX$45:BX$49,$H38))</f>
        <v/>
      </c>
      <c r="CF38" s="26" t="str">
        <f>IF($C38="","",'Outturn ex VAT'!CF38*INDEX('Global Constants'!BY$45:BY$49,$H38))</f>
        <v/>
      </c>
      <c r="CG38" s="26" t="str">
        <f>IF($C38="","",'Outturn ex VAT'!CG38*INDEX('Global Constants'!BZ$45:BZ$49,$H38))</f>
        <v/>
      </c>
      <c r="CH38" s="26" t="str">
        <f>IF($C38="","",'Outturn ex VAT'!CH38*INDEX('Global Constants'!CA$45:CA$49,$H38))</f>
        <v/>
      </c>
      <c r="CI38" s="26" t="str">
        <f>IF($C38="","",'Outturn ex VAT'!CI38*INDEX('Global Constants'!CB$45:CB$49,$H38))</f>
        <v/>
      </c>
      <c r="CJ38" s="26" t="str">
        <f>IF($C38="","",'Outturn ex VAT'!CJ38*INDEX('Global Constants'!CC$45:CC$49,$H38))</f>
        <v/>
      </c>
      <c r="CK38" s="26" t="str">
        <f>IF($C38="","",'Outturn ex VAT'!CK38*INDEX('Global Constants'!CD$45:CD$49,$H38))</f>
        <v/>
      </c>
      <c r="CL38" s="26" t="str">
        <f>IF($C38="","",'Outturn ex VAT'!CL38*INDEX('Global Constants'!CE$45:CE$49,$H38))</f>
        <v/>
      </c>
      <c r="CM38" s="26" t="str">
        <f>IF($C38="","",'Outturn ex VAT'!CM38*INDEX('Global Constants'!CF$45:CF$49,$H38))</f>
        <v/>
      </c>
      <c r="CN38" s="26" t="str">
        <f>IF($C38="","",'Outturn ex VAT'!CN38*INDEX('Global Constants'!CG$45:CG$49,$H38))</f>
        <v/>
      </c>
      <c r="CO38" s="26" t="str">
        <f>IF($C38="","",'Outturn ex VAT'!CO38*INDEX('Global Constants'!CH$45:CH$49,$H38))</f>
        <v/>
      </c>
      <c r="CP38" s="26" t="str">
        <f>IF($C38="","",'Outturn ex VAT'!CP38*INDEX('Global Constants'!CI$45:CI$49,$H38))</f>
        <v/>
      </c>
      <c r="CQ38" s="26" t="str">
        <f>IF($C38="","",'Outturn ex VAT'!CQ38*INDEX('Global Constants'!CJ$45:CJ$49,$H38))</f>
        <v/>
      </c>
      <c r="CR38" s="26" t="str">
        <f>IF($C38="","",'Outturn ex VAT'!CR38*INDEX('Global Constants'!CK$45:CK$49,$H38))</f>
        <v/>
      </c>
      <c r="CS38" s="26" t="str">
        <f>IF($C38="","",'Outturn ex VAT'!CS38*INDEX('Global Constants'!CL$45:CL$49,$H38))</f>
        <v/>
      </c>
      <c r="CT38" s="26" t="str">
        <f>IF($C38="","",'Outturn ex VAT'!CT38*INDEX('Global Constants'!CM$45:CM$49,$H38))</f>
        <v/>
      </c>
      <c r="CU38" s="26" t="str">
        <f>IF($C38="","",'Outturn ex VAT'!CU38*INDEX('Global Constants'!CN$45:CN$49,$H38))</f>
        <v/>
      </c>
      <c r="CV38" s="26" t="str">
        <f>IF($C38="","",'Outturn ex VAT'!CV38*INDEX('Global Constants'!CO$45:CO$49,$H38))</f>
        <v/>
      </c>
      <c r="CW38" s="26" t="str">
        <f>IF($C38="","",'Outturn ex VAT'!CW38*INDEX('Global Constants'!CP$45:CP$49,$H38))</f>
        <v/>
      </c>
      <c r="CX38" s="26" t="str">
        <f>IF($C38="","",'Outturn ex VAT'!CX38*INDEX('Global Constants'!CQ$45:CQ$49,$H38))</f>
        <v/>
      </c>
      <c r="CZ38" s="26">
        <f t="shared" ca="1" si="1"/>
        <v>0</v>
      </c>
      <c r="DA38" s="26">
        <f t="shared" si="2"/>
        <v>0</v>
      </c>
    </row>
  </sheetData>
  <conditionalFormatting sqref="A1">
    <cfRule type="cellIs" dxfId="11" priority="2" operator="equal">
      <formula>1</formula>
    </cfRule>
  </conditionalFormatting>
  <conditionalFormatting sqref="D1">
    <cfRule type="cellIs" dxfId="10" priority="1" operator="equal">
      <formula>"Error"</formula>
    </cfRule>
  </conditionalFormatting>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79998168889431442"/>
  </sheetPr>
  <dimension ref="A1:CY15"/>
  <sheetViews>
    <sheetView showGridLines="0" workbookViewId="0">
      <pane xSplit="3" ySplit="8" topLeftCell="D9" activePane="bottomRight" state="frozenSplit"/>
      <selection pane="topRight" activeCell="D1" sqref="D1"/>
      <selection pane="bottomLeft" activeCell="A9" sqref="A9"/>
      <selection pane="bottomRight" activeCell="L15" sqref="L15"/>
    </sheetView>
  </sheetViews>
  <sheetFormatPr defaultRowHeight="14.4" x14ac:dyDescent="0.3"/>
  <cols>
    <col min="1" max="2" width="2.77734375" customWidth="1"/>
    <col min="3" max="3" width="33.109375" bestFit="1" customWidth="1"/>
    <col min="4" max="4" width="14.109375" bestFit="1" customWidth="1"/>
    <col min="5" max="5" width="14.88671875" customWidth="1"/>
    <col min="6" max="6" width="14.109375" customWidth="1"/>
    <col min="7" max="8" width="10.5546875" bestFit="1" customWidth="1"/>
    <col min="9" max="9" width="2.88671875" customWidth="1"/>
    <col min="10" max="10" width="10.5546875" hidden="1" customWidth="1"/>
    <col min="11" max="11" width="2.77734375" customWidth="1"/>
    <col min="12" max="13" width="10.5546875" customWidth="1"/>
    <col min="14" max="15" width="10.5546875" bestFit="1" customWidth="1"/>
    <col min="16" max="16" width="10.5546875" customWidth="1"/>
    <col min="17" max="101" width="10.5546875" bestFit="1" customWidth="1"/>
    <col min="103" max="103" width="9.33203125" bestFit="1" customWidth="1"/>
  </cols>
  <sheetData>
    <row r="1" spans="1:103" x14ac:dyDescent="0.3">
      <c r="A1" s="33">
        <f>IF(ISERROR(SUM(C5:CY15)),1,0)</f>
        <v>0</v>
      </c>
      <c r="C1" t="s">
        <v>79</v>
      </c>
      <c r="D1" s="33" t="str">
        <f ca="1">Model_Health</f>
        <v>OK</v>
      </c>
    </row>
    <row r="3" spans="1:103" ht="21" x14ac:dyDescent="0.4">
      <c r="C3" s="3" t="s">
        <v>67</v>
      </c>
      <c r="D3" s="3"/>
      <c r="E3" s="3"/>
      <c r="F3" s="3"/>
    </row>
    <row r="4" spans="1:103" x14ac:dyDescent="0.3">
      <c r="C4" s="65" t="s">
        <v>153</v>
      </c>
    </row>
    <row r="6" spans="1:103" x14ac:dyDescent="0.3">
      <c r="C6" t="s">
        <v>68</v>
      </c>
      <c r="L6" s="22" t="str">
        <f>Timeline!F14</f>
        <v>19/20</v>
      </c>
      <c r="M6" s="22" t="str">
        <f>Timeline!G14</f>
        <v>20/21</v>
      </c>
      <c r="N6" s="22" t="str">
        <f>Timeline!H14</f>
        <v>21/22</v>
      </c>
      <c r="O6" s="22" t="str">
        <f>Timeline!I14</f>
        <v>22/23</v>
      </c>
      <c r="P6" s="22" t="str">
        <f>Timeline!J14</f>
        <v>23/24</v>
      </c>
      <c r="Q6" s="22" t="str">
        <f>Timeline!K14</f>
        <v>24/25</v>
      </c>
      <c r="R6" s="22" t="str">
        <f>Timeline!L14</f>
        <v>25/26</v>
      </c>
      <c r="S6" s="22" t="str">
        <f>Timeline!M14</f>
        <v>26/27</v>
      </c>
      <c r="T6" s="22" t="str">
        <f>Timeline!N14</f>
        <v>27/28</v>
      </c>
      <c r="U6" s="22" t="str">
        <f>Timeline!O14</f>
        <v>28/29</v>
      </c>
      <c r="V6" s="22" t="str">
        <f>Timeline!P14</f>
        <v>29/30</v>
      </c>
      <c r="W6" s="22" t="str">
        <f>Timeline!Q14</f>
        <v>30/31</v>
      </c>
      <c r="X6" s="22" t="str">
        <f>Timeline!R14</f>
        <v>31/32</v>
      </c>
      <c r="Y6" s="22" t="str">
        <f>Timeline!S14</f>
        <v>32/33</v>
      </c>
      <c r="Z6" s="22" t="str">
        <f>Timeline!T14</f>
        <v>33/34</v>
      </c>
      <c r="AA6" s="22" t="str">
        <f>Timeline!U14</f>
        <v>34/35</v>
      </c>
      <c r="AB6" s="22" t="str">
        <f>Timeline!V14</f>
        <v>35/36</v>
      </c>
      <c r="AC6" s="22" t="str">
        <f>Timeline!W14</f>
        <v>36/37</v>
      </c>
      <c r="AD6" s="22" t="str">
        <f>Timeline!X14</f>
        <v>37/38</v>
      </c>
      <c r="AE6" s="22" t="str">
        <f>Timeline!Y14</f>
        <v>38/39</v>
      </c>
      <c r="AF6" s="22" t="str">
        <f>Timeline!Z14</f>
        <v>39/40</v>
      </c>
      <c r="AG6" s="22" t="str">
        <f>Timeline!AA14</f>
        <v>40/41</v>
      </c>
      <c r="AH6" s="22" t="str">
        <f>Timeline!AB14</f>
        <v>41/42</v>
      </c>
      <c r="AI6" s="22" t="str">
        <f>Timeline!AC14</f>
        <v>42/43</v>
      </c>
      <c r="AJ6" s="22" t="str">
        <f>Timeline!AD14</f>
        <v>43/44</v>
      </c>
      <c r="AK6" s="22" t="str">
        <f>Timeline!AE14</f>
        <v>44/45</v>
      </c>
      <c r="AL6" s="22" t="str">
        <f>Timeline!AF14</f>
        <v>45/46</v>
      </c>
      <c r="AM6" s="22" t="str">
        <f>Timeline!AG14</f>
        <v>46/47</v>
      </c>
      <c r="AN6" s="22" t="str">
        <f>Timeline!AH14</f>
        <v>47/48</v>
      </c>
      <c r="AO6" s="22" t="str">
        <f>Timeline!AI14</f>
        <v>48/49</v>
      </c>
      <c r="AP6" s="22" t="str">
        <f>Timeline!AJ14</f>
        <v>49/50</v>
      </c>
      <c r="AQ6" s="22" t="str">
        <f>Timeline!AK14</f>
        <v>50/51</v>
      </c>
      <c r="AR6" s="22" t="str">
        <f>Timeline!AL14</f>
        <v>51/52</v>
      </c>
      <c r="AS6" s="22" t="str">
        <f>Timeline!AM14</f>
        <v>52/53</v>
      </c>
      <c r="AT6" s="22" t="str">
        <f>Timeline!AN14</f>
        <v>53/54</v>
      </c>
      <c r="AU6" s="22" t="str">
        <f>Timeline!AO14</f>
        <v>54/55</v>
      </c>
      <c r="AV6" s="22" t="str">
        <f>Timeline!AP14</f>
        <v>55/56</v>
      </c>
      <c r="AW6" s="22" t="str">
        <f>Timeline!AQ14</f>
        <v>56/57</v>
      </c>
      <c r="AX6" s="22" t="str">
        <f>Timeline!AR14</f>
        <v>57/58</v>
      </c>
      <c r="AY6" s="22" t="str">
        <f>Timeline!AS14</f>
        <v>58/59</v>
      </c>
      <c r="AZ6" s="22" t="str">
        <f>Timeline!AT14</f>
        <v>59/60</v>
      </c>
      <c r="BA6" s="22" t="str">
        <f>Timeline!AU14</f>
        <v>60/61</v>
      </c>
      <c r="BB6" s="22" t="str">
        <f>Timeline!AV14</f>
        <v>61/62</v>
      </c>
      <c r="BC6" s="22" t="str">
        <f>Timeline!AW14</f>
        <v>62/63</v>
      </c>
      <c r="BD6" s="22" t="str">
        <f>Timeline!AX14</f>
        <v>63/64</v>
      </c>
      <c r="BE6" s="22" t="str">
        <f>Timeline!AY14</f>
        <v>64/65</v>
      </c>
      <c r="BF6" s="22" t="str">
        <f>Timeline!AZ14</f>
        <v>65/66</v>
      </c>
      <c r="BG6" s="22" t="str">
        <f>Timeline!BA14</f>
        <v>66/67</v>
      </c>
      <c r="BH6" s="22" t="str">
        <f>Timeline!BB14</f>
        <v>67/68</v>
      </c>
      <c r="BI6" s="22" t="str">
        <f>Timeline!BC14</f>
        <v>68/69</v>
      </c>
      <c r="BJ6" s="22" t="str">
        <f>Timeline!BD14</f>
        <v>69/70</v>
      </c>
      <c r="BK6" s="22" t="str">
        <f>Timeline!BE14</f>
        <v>70/71</v>
      </c>
      <c r="BL6" s="22" t="str">
        <f>Timeline!BF14</f>
        <v>71/72</v>
      </c>
      <c r="BM6" s="22" t="str">
        <f>Timeline!BG14</f>
        <v>72/73</v>
      </c>
      <c r="BN6" s="22" t="str">
        <f>Timeline!BH14</f>
        <v>73/74</v>
      </c>
      <c r="BO6" s="22" t="str">
        <f>Timeline!BI14</f>
        <v>74/75</v>
      </c>
      <c r="BP6" s="22" t="str">
        <f>Timeline!BJ14</f>
        <v>75/76</v>
      </c>
      <c r="BQ6" s="22" t="str">
        <f>Timeline!BK14</f>
        <v>76/77</v>
      </c>
      <c r="BR6" s="22" t="str">
        <f>Timeline!BL14</f>
        <v>77/78</v>
      </c>
      <c r="BS6" s="22" t="str">
        <f>Timeline!BM14</f>
        <v>78/79</v>
      </c>
      <c r="BT6" s="22" t="str">
        <f>Timeline!BN14</f>
        <v>79/80</v>
      </c>
      <c r="BU6" s="22" t="str">
        <f>Timeline!BO14</f>
        <v>80/81</v>
      </c>
      <c r="BV6" s="22" t="str">
        <f>Timeline!BP14</f>
        <v>81/82</v>
      </c>
      <c r="BW6" s="22" t="str">
        <f>Timeline!BQ14</f>
        <v>82/83</v>
      </c>
      <c r="BX6" s="22" t="str">
        <f>Timeline!BR14</f>
        <v>83/84</v>
      </c>
      <c r="BY6" s="22" t="str">
        <f>Timeline!BS14</f>
        <v>84/85</v>
      </c>
      <c r="BZ6" s="22" t="str">
        <f>Timeline!BT14</f>
        <v>85/86</v>
      </c>
      <c r="CA6" s="22" t="str">
        <f>Timeline!BU14</f>
        <v>86/87</v>
      </c>
      <c r="CB6" s="22" t="str">
        <f>Timeline!BV14</f>
        <v>87/88</v>
      </c>
      <c r="CC6" s="22" t="str">
        <f>Timeline!BW14</f>
        <v>88/89</v>
      </c>
      <c r="CD6" s="22" t="str">
        <f>Timeline!BX14</f>
        <v>89/90</v>
      </c>
      <c r="CE6" s="22" t="str">
        <f>Timeline!BY14</f>
        <v>90/91</v>
      </c>
      <c r="CF6" s="22" t="str">
        <f>Timeline!BZ14</f>
        <v>91/92</v>
      </c>
      <c r="CG6" s="22" t="str">
        <f>Timeline!CA14</f>
        <v>92/93</v>
      </c>
      <c r="CH6" s="22" t="str">
        <f>Timeline!CB14</f>
        <v>93/94</v>
      </c>
      <c r="CI6" s="22" t="str">
        <f>Timeline!CC14</f>
        <v>94/95</v>
      </c>
      <c r="CJ6" s="22" t="str">
        <f>Timeline!CD14</f>
        <v>95/96</v>
      </c>
      <c r="CK6" s="22" t="str">
        <f>Timeline!CE14</f>
        <v>96/97</v>
      </c>
      <c r="CL6" s="22" t="str">
        <f>Timeline!CF14</f>
        <v>97/98</v>
      </c>
      <c r="CM6" s="22" t="str">
        <f>Timeline!CG14</f>
        <v>98/99</v>
      </c>
      <c r="CN6" s="22" t="str">
        <f>Timeline!CH14</f>
        <v>99/00</v>
      </c>
      <c r="CO6" s="22" t="str">
        <f>Timeline!CI14</f>
        <v>00/01</v>
      </c>
      <c r="CP6" s="22" t="str">
        <f>Timeline!CJ14</f>
        <v>01/02</v>
      </c>
      <c r="CQ6" s="22" t="str">
        <f>Timeline!CK14</f>
        <v>02/03</v>
      </c>
      <c r="CR6" s="22" t="str">
        <f>Timeline!CL14</f>
        <v>03/04</v>
      </c>
      <c r="CS6" s="22" t="str">
        <f>Timeline!CM14</f>
        <v>04/05</v>
      </c>
      <c r="CT6" s="22" t="str">
        <f>Timeline!CN14</f>
        <v>05/06</v>
      </c>
      <c r="CU6" s="22" t="str">
        <f>Timeline!CO14</f>
        <v>06/07</v>
      </c>
      <c r="CV6" s="22" t="str">
        <f>Timeline!CP14</f>
        <v>07/08</v>
      </c>
      <c r="CW6" s="22" t="str">
        <f>Timeline!CQ14</f>
        <v>08/09</v>
      </c>
    </row>
    <row r="7" spans="1:103" x14ac:dyDescent="0.3">
      <c r="L7" s="21">
        <f>Timeline!F15</f>
        <v>43556</v>
      </c>
      <c r="M7" s="21">
        <f>Timeline!G15</f>
        <v>43922</v>
      </c>
      <c r="N7" s="21">
        <f>Timeline!H15</f>
        <v>44287</v>
      </c>
      <c r="O7" s="21">
        <f>Timeline!I15</f>
        <v>44652</v>
      </c>
      <c r="P7" s="21">
        <f>Timeline!J15</f>
        <v>45017</v>
      </c>
      <c r="Q7" s="21">
        <f>Timeline!K15</f>
        <v>45383</v>
      </c>
      <c r="R7" s="21">
        <f>Timeline!L15</f>
        <v>45748</v>
      </c>
      <c r="S7" s="21">
        <f>Timeline!M15</f>
        <v>46113</v>
      </c>
      <c r="T7" s="21">
        <f>Timeline!N15</f>
        <v>46478</v>
      </c>
      <c r="U7" s="21">
        <f>Timeline!O15</f>
        <v>46844</v>
      </c>
      <c r="V7" s="21">
        <f>Timeline!P15</f>
        <v>47209</v>
      </c>
      <c r="W7" s="21">
        <f>Timeline!Q15</f>
        <v>47574</v>
      </c>
      <c r="X7" s="21">
        <f>Timeline!R15</f>
        <v>47939</v>
      </c>
      <c r="Y7" s="21">
        <f>Timeline!S15</f>
        <v>48305</v>
      </c>
      <c r="Z7" s="21">
        <f>Timeline!T15</f>
        <v>48670</v>
      </c>
      <c r="AA7" s="21">
        <f>Timeline!U15</f>
        <v>49035</v>
      </c>
      <c r="AB7" s="21">
        <f>Timeline!V15</f>
        <v>49400</v>
      </c>
      <c r="AC7" s="21">
        <f>Timeline!W15</f>
        <v>49766</v>
      </c>
      <c r="AD7" s="21">
        <f>Timeline!X15</f>
        <v>50131</v>
      </c>
      <c r="AE7" s="21">
        <f>Timeline!Y15</f>
        <v>50496</v>
      </c>
      <c r="AF7" s="21">
        <f>Timeline!Z15</f>
        <v>50861</v>
      </c>
      <c r="AG7" s="21">
        <f>Timeline!AA15</f>
        <v>51227</v>
      </c>
      <c r="AH7" s="21">
        <f>Timeline!AB15</f>
        <v>51592</v>
      </c>
      <c r="AI7" s="21">
        <f>Timeline!AC15</f>
        <v>51957</v>
      </c>
      <c r="AJ7" s="21">
        <f>Timeline!AD15</f>
        <v>52322</v>
      </c>
      <c r="AK7" s="21">
        <f>Timeline!AE15</f>
        <v>52688</v>
      </c>
      <c r="AL7" s="21">
        <f>Timeline!AF15</f>
        <v>53053</v>
      </c>
      <c r="AM7" s="21">
        <f>Timeline!AG15</f>
        <v>53418</v>
      </c>
      <c r="AN7" s="21">
        <f>Timeline!AH15</f>
        <v>53783</v>
      </c>
      <c r="AO7" s="21">
        <f>Timeline!AI15</f>
        <v>54149</v>
      </c>
      <c r="AP7" s="21">
        <f>Timeline!AJ15</f>
        <v>54514</v>
      </c>
      <c r="AQ7" s="21">
        <f>Timeline!AK15</f>
        <v>54879</v>
      </c>
      <c r="AR7" s="21">
        <f>Timeline!AL15</f>
        <v>55244</v>
      </c>
      <c r="AS7" s="21">
        <f>Timeline!AM15</f>
        <v>55610</v>
      </c>
      <c r="AT7" s="21">
        <f>Timeline!AN15</f>
        <v>55975</v>
      </c>
      <c r="AU7" s="21">
        <f>Timeline!AO15</f>
        <v>56340</v>
      </c>
      <c r="AV7" s="21">
        <f>Timeline!AP15</f>
        <v>56705</v>
      </c>
      <c r="AW7" s="21">
        <f>Timeline!AQ15</f>
        <v>57071</v>
      </c>
      <c r="AX7" s="21">
        <f>Timeline!AR15</f>
        <v>57436</v>
      </c>
      <c r="AY7" s="21">
        <f>Timeline!AS15</f>
        <v>57801</v>
      </c>
      <c r="AZ7" s="21">
        <f>Timeline!AT15</f>
        <v>58166</v>
      </c>
      <c r="BA7" s="21">
        <f>Timeline!AU15</f>
        <v>58532</v>
      </c>
      <c r="BB7" s="21">
        <f>Timeline!AV15</f>
        <v>58897</v>
      </c>
      <c r="BC7" s="21">
        <f>Timeline!AW15</f>
        <v>59262</v>
      </c>
      <c r="BD7" s="21">
        <f>Timeline!AX15</f>
        <v>59627</v>
      </c>
      <c r="BE7" s="21">
        <f>Timeline!AY15</f>
        <v>59993</v>
      </c>
      <c r="BF7" s="21">
        <f>Timeline!AZ15</f>
        <v>60358</v>
      </c>
      <c r="BG7" s="21">
        <f>Timeline!BA15</f>
        <v>60723</v>
      </c>
      <c r="BH7" s="21">
        <f>Timeline!BB15</f>
        <v>61088</v>
      </c>
      <c r="BI7" s="21">
        <f>Timeline!BC15</f>
        <v>61454</v>
      </c>
      <c r="BJ7" s="21">
        <f>Timeline!BD15</f>
        <v>61819</v>
      </c>
      <c r="BK7" s="21">
        <f>Timeline!BE15</f>
        <v>62184</v>
      </c>
      <c r="BL7" s="21">
        <f>Timeline!BF15</f>
        <v>62549</v>
      </c>
      <c r="BM7" s="21">
        <f>Timeline!BG15</f>
        <v>62915</v>
      </c>
      <c r="BN7" s="21">
        <f>Timeline!BH15</f>
        <v>63280</v>
      </c>
      <c r="BO7" s="21">
        <f>Timeline!BI15</f>
        <v>63645</v>
      </c>
      <c r="BP7" s="21">
        <f>Timeline!BJ15</f>
        <v>64010</v>
      </c>
      <c r="BQ7" s="21">
        <f>Timeline!BK15</f>
        <v>64376</v>
      </c>
      <c r="BR7" s="21">
        <f>Timeline!BL15</f>
        <v>64741</v>
      </c>
      <c r="BS7" s="21">
        <f>Timeline!BM15</f>
        <v>65106</v>
      </c>
      <c r="BT7" s="21">
        <f>Timeline!BN15</f>
        <v>65471</v>
      </c>
      <c r="BU7" s="21">
        <f>Timeline!BO15</f>
        <v>65837</v>
      </c>
      <c r="BV7" s="21">
        <f>Timeline!BP15</f>
        <v>66202</v>
      </c>
      <c r="BW7" s="21">
        <f>Timeline!BQ15</f>
        <v>66567</v>
      </c>
      <c r="BX7" s="21">
        <f>Timeline!BR15</f>
        <v>66932</v>
      </c>
      <c r="BY7" s="21">
        <f>Timeline!BS15</f>
        <v>67298</v>
      </c>
      <c r="BZ7" s="21">
        <f>Timeline!BT15</f>
        <v>67663</v>
      </c>
      <c r="CA7" s="21">
        <f>Timeline!BU15</f>
        <v>68028</v>
      </c>
      <c r="CB7" s="21">
        <f>Timeline!BV15</f>
        <v>68393</v>
      </c>
      <c r="CC7" s="21">
        <f>Timeline!BW15</f>
        <v>68759</v>
      </c>
      <c r="CD7" s="21">
        <f>Timeline!BX15</f>
        <v>69124</v>
      </c>
      <c r="CE7" s="21">
        <f>Timeline!BY15</f>
        <v>69489</v>
      </c>
      <c r="CF7" s="21">
        <f>Timeline!BZ15</f>
        <v>69854</v>
      </c>
      <c r="CG7" s="21">
        <f>Timeline!CA15</f>
        <v>70220</v>
      </c>
      <c r="CH7" s="21">
        <f>Timeline!CB15</f>
        <v>70585</v>
      </c>
      <c r="CI7" s="21">
        <f>Timeline!CC15</f>
        <v>70950</v>
      </c>
      <c r="CJ7" s="21">
        <f>Timeline!CD15</f>
        <v>71315</v>
      </c>
      <c r="CK7" s="21">
        <f>Timeline!CE15</f>
        <v>71681</v>
      </c>
      <c r="CL7" s="21">
        <f>Timeline!CF15</f>
        <v>72046</v>
      </c>
      <c r="CM7" s="21">
        <f>Timeline!CG15</f>
        <v>72411</v>
      </c>
      <c r="CN7" s="21">
        <f>Timeline!CH15</f>
        <v>72776</v>
      </c>
      <c r="CO7" s="21">
        <f>Timeline!CI15</f>
        <v>73141</v>
      </c>
      <c r="CP7" s="21">
        <f>Timeline!CJ15</f>
        <v>73506</v>
      </c>
      <c r="CQ7" s="21">
        <f>Timeline!CK15</f>
        <v>73871</v>
      </c>
      <c r="CR7" s="21">
        <f>Timeline!CL15</f>
        <v>74236</v>
      </c>
      <c r="CS7" s="21">
        <f>Timeline!CM15</f>
        <v>74602</v>
      </c>
      <c r="CT7" s="21">
        <f>Timeline!CN15</f>
        <v>74967</v>
      </c>
      <c r="CU7" s="21">
        <f>Timeline!CO15</f>
        <v>75332</v>
      </c>
      <c r="CV7" s="21">
        <f>Timeline!CP15</f>
        <v>75697</v>
      </c>
      <c r="CW7" s="21">
        <f>Timeline!CQ15</f>
        <v>76063</v>
      </c>
    </row>
    <row r="8" spans="1:103" x14ac:dyDescent="0.3">
      <c r="C8" s="11" t="s">
        <v>22</v>
      </c>
      <c r="D8" s="11" t="s">
        <v>25</v>
      </c>
      <c r="E8" s="11" t="s">
        <v>5</v>
      </c>
      <c r="F8" s="11" t="s">
        <v>42</v>
      </c>
      <c r="G8" s="11" t="s">
        <v>43</v>
      </c>
      <c r="L8" s="21">
        <f>Timeline!F16</f>
        <v>43921</v>
      </c>
      <c r="M8" s="21">
        <f>Timeline!G16</f>
        <v>44286</v>
      </c>
      <c r="N8" s="21">
        <f>Timeline!H16</f>
        <v>44651</v>
      </c>
      <c r="O8" s="21">
        <f>Timeline!I16</f>
        <v>45016</v>
      </c>
      <c r="P8" s="21">
        <f>Timeline!J16</f>
        <v>45382</v>
      </c>
      <c r="Q8" s="21">
        <f>Timeline!K16</f>
        <v>45747</v>
      </c>
      <c r="R8" s="21">
        <f>Timeline!L16</f>
        <v>46112</v>
      </c>
      <c r="S8" s="21">
        <f>Timeline!M16</f>
        <v>46477</v>
      </c>
      <c r="T8" s="21">
        <f>Timeline!N16</f>
        <v>46843</v>
      </c>
      <c r="U8" s="21">
        <f>Timeline!O16</f>
        <v>47208</v>
      </c>
      <c r="V8" s="21">
        <f>Timeline!P16</f>
        <v>47573</v>
      </c>
      <c r="W8" s="21">
        <f>Timeline!Q16</f>
        <v>47938</v>
      </c>
      <c r="X8" s="21">
        <f>Timeline!R16</f>
        <v>48304</v>
      </c>
      <c r="Y8" s="21">
        <f>Timeline!S16</f>
        <v>48669</v>
      </c>
      <c r="Z8" s="21">
        <f>Timeline!T16</f>
        <v>49034</v>
      </c>
      <c r="AA8" s="21">
        <f>Timeline!U16</f>
        <v>49399</v>
      </c>
      <c r="AB8" s="21">
        <f>Timeline!V16</f>
        <v>49765</v>
      </c>
      <c r="AC8" s="21">
        <f>Timeline!W16</f>
        <v>50130</v>
      </c>
      <c r="AD8" s="21">
        <f>Timeline!X16</f>
        <v>50495</v>
      </c>
      <c r="AE8" s="21">
        <f>Timeline!Y16</f>
        <v>50860</v>
      </c>
      <c r="AF8" s="21">
        <f>Timeline!Z16</f>
        <v>51226</v>
      </c>
      <c r="AG8" s="21">
        <f>Timeline!AA16</f>
        <v>51591</v>
      </c>
      <c r="AH8" s="21">
        <f>Timeline!AB16</f>
        <v>51956</v>
      </c>
      <c r="AI8" s="21">
        <f>Timeline!AC16</f>
        <v>52321</v>
      </c>
      <c r="AJ8" s="21">
        <f>Timeline!AD16</f>
        <v>52687</v>
      </c>
      <c r="AK8" s="21">
        <f>Timeline!AE16</f>
        <v>53052</v>
      </c>
      <c r="AL8" s="21">
        <f>Timeline!AF16</f>
        <v>53417</v>
      </c>
      <c r="AM8" s="21">
        <f>Timeline!AG16</f>
        <v>53782</v>
      </c>
      <c r="AN8" s="21">
        <f>Timeline!AH16</f>
        <v>54148</v>
      </c>
      <c r="AO8" s="21">
        <f>Timeline!AI16</f>
        <v>54513</v>
      </c>
      <c r="AP8" s="21">
        <f>Timeline!AJ16</f>
        <v>54878</v>
      </c>
      <c r="AQ8" s="21">
        <f>Timeline!AK16</f>
        <v>55243</v>
      </c>
      <c r="AR8" s="21">
        <f>Timeline!AL16</f>
        <v>55609</v>
      </c>
      <c r="AS8" s="21">
        <f>Timeline!AM16</f>
        <v>55974</v>
      </c>
      <c r="AT8" s="21">
        <f>Timeline!AN16</f>
        <v>56339</v>
      </c>
      <c r="AU8" s="21">
        <f>Timeline!AO16</f>
        <v>56704</v>
      </c>
      <c r="AV8" s="21">
        <f>Timeline!AP16</f>
        <v>57070</v>
      </c>
      <c r="AW8" s="21">
        <f>Timeline!AQ16</f>
        <v>57435</v>
      </c>
      <c r="AX8" s="21">
        <f>Timeline!AR16</f>
        <v>57800</v>
      </c>
      <c r="AY8" s="21">
        <f>Timeline!AS16</f>
        <v>58165</v>
      </c>
      <c r="AZ8" s="21">
        <f>Timeline!AT16</f>
        <v>58531</v>
      </c>
      <c r="BA8" s="21">
        <f>Timeline!AU16</f>
        <v>58896</v>
      </c>
      <c r="BB8" s="21">
        <f>Timeline!AV16</f>
        <v>59261</v>
      </c>
      <c r="BC8" s="21">
        <f>Timeline!AW16</f>
        <v>59626</v>
      </c>
      <c r="BD8" s="21">
        <f>Timeline!AX16</f>
        <v>59992</v>
      </c>
      <c r="BE8" s="21">
        <f>Timeline!AY16</f>
        <v>60357</v>
      </c>
      <c r="BF8" s="21">
        <f>Timeline!AZ16</f>
        <v>60722</v>
      </c>
      <c r="BG8" s="21">
        <f>Timeline!BA16</f>
        <v>61087</v>
      </c>
      <c r="BH8" s="21">
        <f>Timeline!BB16</f>
        <v>61453</v>
      </c>
      <c r="BI8" s="21">
        <f>Timeline!BC16</f>
        <v>61818</v>
      </c>
      <c r="BJ8" s="21">
        <f>Timeline!BD16</f>
        <v>62183</v>
      </c>
      <c r="BK8" s="21">
        <f>Timeline!BE16</f>
        <v>62548</v>
      </c>
      <c r="BL8" s="21">
        <f>Timeline!BF16</f>
        <v>62914</v>
      </c>
      <c r="BM8" s="21">
        <f>Timeline!BG16</f>
        <v>63279</v>
      </c>
      <c r="BN8" s="21">
        <f>Timeline!BH16</f>
        <v>63644</v>
      </c>
      <c r="BO8" s="21">
        <f>Timeline!BI16</f>
        <v>64009</v>
      </c>
      <c r="BP8" s="21">
        <f>Timeline!BJ16</f>
        <v>64375</v>
      </c>
      <c r="BQ8" s="21">
        <f>Timeline!BK16</f>
        <v>64740</v>
      </c>
      <c r="BR8" s="21">
        <f>Timeline!BL16</f>
        <v>65105</v>
      </c>
      <c r="BS8" s="21">
        <f>Timeline!BM16</f>
        <v>65470</v>
      </c>
      <c r="BT8" s="21">
        <f>Timeline!BN16</f>
        <v>65836</v>
      </c>
      <c r="BU8" s="21">
        <f>Timeline!BO16</f>
        <v>66201</v>
      </c>
      <c r="BV8" s="21">
        <f>Timeline!BP16</f>
        <v>66566</v>
      </c>
      <c r="BW8" s="21">
        <f>Timeline!BQ16</f>
        <v>66931</v>
      </c>
      <c r="BX8" s="21">
        <f>Timeline!BR16</f>
        <v>67297</v>
      </c>
      <c r="BY8" s="21">
        <f>Timeline!BS16</f>
        <v>67662</v>
      </c>
      <c r="BZ8" s="21">
        <f>Timeline!BT16</f>
        <v>68027</v>
      </c>
      <c r="CA8" s="21">
        <f>Timeline!BU16</f>
        <v>68392</v>
      </c>
      <c r="CB8" s="21">
        <f>Timeline!BV16</f>
        <v>68758</v>
      </c>
      <c r="CC8" s="21">
        <f>Timeline!BW16</f>
        <v>69123</v>
      </c>
      <c r="CD8" s="21">
        <f>Timeline!BX16</f>
        <v>69488</v>
      </c>
      <c r="CE8" s="21">
        <f>Timeline!BY16</f>
        <v>69853</v>
      </c>
      <c r="CF8" s="21">
        <f>Timeline!BZ16</f>
        <v>70219</v>
      </c>
      <c r="CG8" s="21">
        <f>Timeline!CA16</f>
        <v>70584</v>
      </c>
      <c r="CH8" s="21">
        <f>Timeline!CB16</f>
        <v>70949</v>
      </c>
      <c r="CI8" s="21">
        <f>Timeline!CC16</f>
        <v>71314</v>
      </c>
      <c r="CJ8" s="21">
        <f>Timeline!CD16</f>
        <v>71680</v>
      </c>
      <c r="CK8" s="21">
        <f>Timeline!CE16</f>
        <v>72045</v>
      </c>
      <c r="CL8" s="21">
        <f>Timeline!CF16</f>
        <v>72410</v>
      </c>
      <c r="CM8" s="21">
        <f>Timeline!CG16</f>
        <v>72775</v>
      </c>
      <c r="CN8" s="21">
        <f>Timeline!CH16</f>
        <v>73140</v>
      </c>
      <c r="CO8" s="21">
        <f>Timeline!CI16</f>
        <v>73505</v>
      </c>
      <c r="CP8" s="21">
        <f>Timeline!CJ16</f>
        <v>73870</v>
      </c>
      <c r="CQ8" s="21">
        <f>Timeline!CK16</f>
        <v>74235</v>
      </c>
      <c r="CR8" s="21">
        <f>Timeline!CL16</f>
        <v>74601</v>
      </c>
      <c r="CS8" s="21">
        <f>Timeline!CM16</f>
        <v>74966</v>
      </c>
      <c r="CT8" s="21">
        <f>Timeline!CN16</f>
        <v>75331</v>
      </c>
      <c r="CU8" s="21">
        <f>Timeline!CO16</f>
        <v>75696</v>
      </c>
      <c r="CV8" s="21">
        <f>Timeline!CP16</f>
        <v>76062</v>
      </c>
      <c r="CW8" s="21">
        <f>Timeline!CQ16</f>
        <v>76427</v>
      </c>
      <c r="CY8" s="6" t="s">
        <v>65</v>
      </c>
    </row>
    <row r="9" spans="1:103" x14ac:dyDescent="0.3">
      <c r="C9" s="4" t="str">
        <f>IF('Cost &amp; Risk Inputs'!C10="","",'Cost &amp; Risk Inputs'!C10)</f>
        <v>Test 1</v>
      </c>
      <c r="D9" s="28">
        <f>IF(C9="","",'Cost &amp; Risk Inputs'!N10)</f>
        <v>100</v>
      </c>
      <c r="E9" s="4" t="str">
        <f>IF(C9="","",'Cost &amp; Risk Inputs'!H10)</f>
        <v>Concept</v>
      </c>
      <c r="F9" s="19">
        <f>IF(C9="","",'Cost &amp; Risk Inputs'!J10)</f>
        <v>42095</v>
      </c>
      <c r="G9" s="19">
        <f>IF(D9="","",'Cost &amp; Risk Inputs'!K10)</f>
        <v>42460</v>
      </c>
      <c r="L9" s="18">
        <f>'Cost &amp; Risk Inputs'!Z6</f>
        <v>1</v>
      </c>
      <c r="M9" s="18">
        <f>'Cost &amp; Risk Inputs'!AA6</f>
        <v>0</v>
      </c>
      <c r="N9" s="18">
        <f>'Cost &amp; Risk Inputs'!AB6</f>
        <v>0</v>
      </c>
      <c r="O9" s="18">
        <f>'Cost &amp; Risk Inputs'!AC6</f>
        <v>0</v>
      </c>
      <c r="P9" s="18">
        <f>'Cost &amp; Risk Inputs'!AD6</f>
        <v>0</v>
      </c>
      <c r="Q9" s="18">
        <f>'Cost &amp; Risk Inputs'!AE6</f>
        <v>0</v>
      </c>
      <c r="R9" s="18">
        <f>'Cost &amp; Risk Inputs'!AF6</f>
        <v>0</v>
      </c>
      <c r="S9" s="18">
        <f>'Cost &amp; Risk Inputs'!AG6</f>
        <v>0</v>
      </c>
      <c r="T9" s="18">
        <f>'Cost &amp; Risk Inputs'!AH6</f>
        <v>0</v>
      </c>
      <c r="U9" s="18">
        <f>'Cost &amp; Risk Inputs'!AI6</f>
        <v>0</v>
      </c>
      <c r="V9" s="18">
        <f>'Cost &amp; Risk Inputs'!AJ6</f>
        <v>0</v>
      </c>
      <c r="W9" s="18">
        <f>'Cost &amp; Risk Inputs'!AK6</f>
        <v>0</v>
      </c>
      <c r="X9" s="18">
        <f>'Cost &amp; Risk Inputs'!AL6</f>
        <v>0</v>
      </c>
      <c r="Y9" s="18">
        <f>'Cost &amp; Risk Inputs'!AM6</f>
        <v>0</v>
      </c>
      <c r="Z9" s="18">
        <f>'Cost &amp; Risk Inputs'!AN6</f>
        <v>0</v>
      </c>
      <c r="AA9" s="18">
        <f>'Cost &amp; Risk Inputs'!AO6</f>
        <v>0</v>
      </c>
      <c r="AB9" s="18">
        <f>'Cost &amp; Risk Inputs'!AP6</f>
        <v>0</v>
      </c>
      <c r="AC9" s="18">
        <f>'Cost &amp; Risk Inputs'!AQ6</f>
        <v>1</v>
      </c>
      <c r="AD9" s="18">
        <f>'Cost &amp; Risk Inputs'!AR6</f>
        <v>2</v>
      </c>
      <c r="AE9" s="18">
        <f>'Cost &amp; Risk Inputs'!AS6</f>
        <v>3</v>
      </c>
      <c r="AF9" s="18">
        <f>'Cost &amp; Risk Inputs'!AT6</f>
        <v>4</v>
      </c>
      <c r="AG9" s="18">
        <f>'Cost &amp; Risk Inputs'!AU6</f>
        <v>5</v>
      </c>
      <c r="AH9" s="18">
        <f>'Cost &amp; Risk Inputs'!AV6</f>
        <v>5</v>
      </c>
      <c r="AI9" s="18">
        <f>'Cost &amp; Risk Inputs'!AW6</f>
        <v>5</v>
      </c>
      <c r="AJ9" s="18">
        <f>'Cost &amp; Risk Inputs'!AX6</f>
        <v>5</v>
      </c>
      <c r="AK9" s="18">
        <f>'Cost &amp; Risk Inputs'!AY6</f>
        <v>5</v>
      </c>
      <c r="AL9" s="18">
        <f>'Cost &amp; Risk Inputs'!AZ6</f>
        <v>5</v>
      </c>
      <c r="AM9" s="18">
        <f>'Cost &amp; Risk Inputs'!BA6</f>
        <v>5</v>
      </c>
      <c r="AN9" s="18">
        <f>'Cost &amp; Risk Inputs'!BB6</f>
        <v>5</v>
      </c>
      <c r="AO9" s="18">
        <f>'Cost &amp; Risk Inputs'!BC6</f>
        <v>5</v>
      </c>
      <c r="AP9" s="18">
        <f>'Cost &amp; Risk Inputs'!BD6</f>
        <v>5</v>
      </c>
      <c r="AQ9" s="18">
        <f>'Cost &amp; Risk Inputs'!BE6</f>
        <v>5</v>
      </c>
      <c r="AR9" s="18">
        <f>'Cost &amp; Risk Inputs'!BF6</f>
        <v>5</v>
      </c>
      <c r="AS9" s="18">
        <f>'Cost &amp; Risk Inputs'!BG6</f>
        <v>5</v>
      </c>
      <c r="AT9" s="18">
        <f>'Cost &amp; Risk Inputs'!BH6</f>
        <v>0</v>
      </c>
      <c r="AU9" s="18">
        <f>'Cost &amp; Risk Inputs'!BI6</f>
        <v>0</v>
      </c>
      <c r="AV9" s="18">
        <f>'Cost &amp; Risk Inputs'!BJ6</f>
        <v>0</v>
      </c>
      <c r="AW9" s="18">
        <f>'Cost &amp; Risk Inputs'!BK6</f>
        <v>0</v>
      </c>
      <c r="AX9" s="18">
        <f>'Cost &amp; Risk Inputs'!BL6</f>
        <v>0</v>
      </c>
      <c r="AY9" s="18">
        <f>'Cost &amp; Risk Inputs'!BM6</f>
        <v>0</v>
      </c>
      <c r="AZ9" s="18">
        <f>'Cost &amp; Risk Inputs'!BN6</f>
        <v>0</v>
      </c>
      <c r="BA9" s="18">
        <f>'Cost &amp; Risk Inputs'!BO6</f>
        <v>0</v>
      </c>
      <c r="BB9" s="18">
        <f>'Cost &amp; Risk Inputs'!BP6</f>
        <v>0</v>
      </c>
      <c r="BC9" s="18">
        <f>'Cost &amp; Risk Inputs'!BQ6</f>
        <v>0</v>
      </c>
      <c r="BD9" s="18">
        <f>'Cost &amp; Risk Inputs'!BR6</f>
        <v>0</v>
      </c>
      <c r="BE9" s="18">
        <f>'Cost &amp; Risk Inputs'!BS6</f>
        <v>0</v>
      </c>
      <c r="BF9" s="18">
        <f>'Cost &amp; Risk Inputs'!BT6</f>
        <v>0</v>
      </c>
      <c r="BG9" s="18">
        <f>'Cost &amp; Risk Inputs'!BU6</f>
        <v>0</v>
      </c>
      <c r="BH9" s="18">
        <f>'Cost &amp; Risk Inputs'!BV6</f>
        <v>0</v>
      </c>
      <c r="BI9" s="18">
        <f>'Cost &amp; Risk Inputs'!BW6</f>
        <v>0</v>
      </c>
      <c r="BJ9" s="18">
        <f>'Cost &amp; Risk Inputs'!BX6</f>
        <v>0</v>
      </c>
      <c r="BK9" s="18">
        <f>'Cost &amp; Risk Inputs'!BY6</f>
        <v>0</v>
      </c>
      <c r="BL9" s="18">
        <f>'Cost &amp; Risk Inputs'!BZ6</f>
        <v>0</v>
      </c>
      <c r="BM9" s="18">
        <f>'Cost &amp; Risk Inputs'!CA6</f>
        <v>0</v>
      </c>
      <c r="BN9" s="18">
        <f>'Cost &amp; Risk Inputs'!CB6</f>
        <v>0</v>
      </c>
      <c r="BO9" s="18">
        <f>'Cost &amp; Risk Inputs'!CC6</f>
        <v>0</v>
      </c>
      <c r="BP9" s="18">
        <f>'Cost &amp; Risk Inputs'!CD6</f>
        <v>0</v>
      </c>
      <c r="BQ9" s="18">
        <f>'Cost &amp; Risk Inputs'!CE6</f>
        <v>0</v>
      </c>
      <c r="BR9" s="18">
        <f>'Cost &amp; Risk Inputs'!CF6</f>
        <v>0</v>
      </c>
      <c r="BS9" s="18">
        <f>'Cost &amp; Risk Inputs'!CG6</f>
        <v>0</v>
      </c>
      <c r="BT9" s="18">
        <f>'Cost &amp; Risk Inputs'!CH6</f>
        <v>0</v>
      </c>
      <c r="BU9" s="18">
        <f>'Cost &amp; Risk Inputs'!CI6</f>
        <v>0</v>
      </c>
      <c r="BV9" s="18">
        <f>'Cost &amp; Risk Inputs'!CJ6</f>
        <v>0</v>
      </c>
      <c r="BW9" s="18">
        <f>'Cost &amp; Risk Inputs'!CK6</f>
        <v>0</v>
      </c>
      <c r="BX9" s="18">
        <f>'Cost &amp; Risk Inputs'!CL6</f>
        <v>0</v>
      </c>
      <c r="BY9" s="18">
        <f>'Cost &amp; Risk Inputs'!CM6</f>
        <v>0</v>
      </c>
      <c r="BZ9" s="18">
        <f>'Cost &amp; Risk Inputs'!CN6</f>
        <v>0</v>
      </c>
      <c r="CA9" s="18">
        <f>'Cost &amp; Risk Inputs'!CO6</f>
        <v>0</v>
      </c>
      <c r="CB9" s="18">
        <f>'Cost &amp; Risk Inputs'!CP6</f>
        <v>0</v>
      </c>
      <c r="CC9" s="18">
        <f>'Cost &amp; Risk Inputs'!CQ6</f>
        <v>0</v>
      </c>
      <c r="CD9" s="18">
        <f>'Cost &amp; Risk Inputs'!CR6</f>
        <v>0</v>
      </c>
      <c r="CE9" s="18">
        <f>'Cost &amp; Risk Inputs'!CS6</f>
        <v>0</v>
      </c>
      <c r="CF9" s="18">
        <f>'Cost &amp; Risk Inputs'!CT6</f>
        <v>0</v>
      </c>
      <c r="CG9" s="18">
        <f>'Cost &amp; Risk Inputs'!CU6</f>
        <v>0</v>
      </c>
      <c r="CH9" s="18">
        <f>'Cost &amp; Risk Inputs'!CV6</f>
        <v>0</v>
      </c>
      <c r="CI9" s="18">
        <f>'Cost &amp; Risk Inputs'!CW6</f>
        <v>0</v>
      </c>
      <c r="CJ9" s="18">
        <f>'Cost &amp; Risk Inputs'!CX6</f>
        <v>0</v>
      </c>
      <c r="CK9" s="18">
        <f>'Cost &amp; Risk Inputs'!CY6</f>
        <v>0</v>
      </c>
      <c r="CL9" s="18">
        <f>'Cost &amp; Risk Inputs'!CZ6</f>
        <v>0</v>
      </c>
      <c r="CM9" s="18">
        <f>'Cost &amp; Risk Inputs'!DA6</f>
        <v>0</v>
      </c>
      <c r="CN9" s="18">
        <f>'Cost &amp; Risk Inputs'!DB6</f>
        <v>0</v>
      </c>
      <c r="CO9" s="18">
        <f>'Cost &amp; Risk Inputs'!DC6</f>
        <v>0</v>
      </c>
      <c r="CP9" s="18">
        <f>'Cost &amp; Risk Inputs'!DD6</f>
        <v>0</v>
      </c>
      <c r="CQ9" s="18">
        <f>'Cost &amp; Risk Inputs'!DE6</f>
        <v>0</v>
      </c>
      <c r="CR9" s="18">
        <f>'Cost &amp; Risk Inputs'!DF6</f>
        <v>0</v>
      </c>
      <c r="CS9" s="18">
        <f>'Cost &amp; Risk Inputs'!DG6</f>
        <v>0</v>
      </c>
      <c r="CT9" s="18">
        <f>'Cost &amp; Risk Inputs'!DH6</f>
        <v>0</v>
      </c>
      <c r="CU9" s="18">
        <f>'Cost &amp; Risk Inputs'!DI6</f>
        <v>0</v>
      </c>
      <c r="CV9" s="18">
        <f>'Cost &amp; Risk Inputs'!DJ6</f>
        <v>0</v>
      </c>
      <c r="CW9" s="18">
        <f>'Cost &amp; Risk Inputs'!DK6</f>
        <v>0</v>
      </c>
      <c r="CY9" s="18">
        <f>SUM(L9:CW9)</f>
        <v>76</v>
      </c>
    </row>
    <row r="11" spans="1:103" x14ac:dyDescent="0.3">
      <c r="C11" t="s">
        <v>66</v>
      </c>
    </row>
    <row r="12" spans="1:103" x14ac:dyDescent="0.3">
      <c r="L12" s="22" t="str">
        <f>Timeline!F14</f>
        <v>19/20</v>
      </c>
      <c r="M12" s="22" t="str">
        <f>Timeline!G14</f>
        <v>20/21</v>
      </c>
      <c r="N12" s="22" t="str">
        <f>Timeline!H14</f>
        <v>21/22</v>
      </c>
      <c r="O12" s="22" t="str">
        <f>Timeline!I14</f>
        <v>22/23</v>
      </c>
      <c r="P12" s="22" t="str">
        <f>Timeline!J14</f>
        <v>23/24</v>
      </c>
      <c r="Q12" s="22" t="str">
        <f>Timeline!K14</f>
        <v>24/25</v>
      </c>
      <c r="R12" s="22" t="str">
        <f>Timeline!L14</f>
        <v>25/26</v>
      </c>
      <c r="S12" s="22" t="str">
        <f>Timeline!M14</f>
        <v>26/27</v>
      </c>
      <c r="T12" s="22" t="str">
        <f>Timeline!N14</f>
        <v>27/28</v>
      </c>
      <c r="U12" s="22" t="str">
        <f>Timeline!O14</f>
        <v>28/29</v>
      </c>
      <c r="V12" s="22" t="str">
        <f>Timeline!P14</f>
        <v>29/30</v>
      </c>
      <c r="W12" s="22" t="str">
        <f>Timeline!Q14</f>
        <v>30/31</v>
      </c>
      <c r="X12" s="22" t="str">
        <f>Timeline!R14</f>
        <v>31/32</v>
      </c>
      <c r="Y12" s="22" t="str">
        <f>Timeline!S14</f>
        <v>32/33</v>
      </c>
      <c r="Z12" s="22" t="str">
        <f>Timeline!T14</f>
        <v>33/34</v>
      </c>
      <c r="AA12" s="22" t="str">
        <f>Timeline!U14</f>
        <v>34/35</v>
      </c>
      <c r="AB12" s="22" t="str">
        <f>Timeline!V14</f>
        <v>35/36</v>
      </c>
      <c r="AC12" s="22" t="str">
        <f>Timeline!W14</f>
        <v>36/37</v>
      </c>
      <c r="AD12" s="22" t="str">
        <f>Timeline!X14</f>
        <v>37/38</v>
      </c>
      <c r="AE12" s="22" t="str">
        <f>Timeline!Y14</f>
        <v>38/39</v>
      </c>
      <c r="AF12" s="22" t="str">
        <f>Timeline!Z14</f>
        <v>39/40</v>
      </c>
      <c r="AG12" s="22" t="str">
        <f>Timeline!AA14</f>
        <v>40/41</v>
      </c>
      <c r="AH12" s="22" t="str">
        <f>Timeline!AB14</f>
        <v>41/42</v>
      </c>
      <c r="AI12" s="22" t="str">
        <f>Timeline!AC14</f>
        <v>42/43</v>
      </c>
      <c r="AJ12" s="22" t="str">
        <f>Timeline!AD14</f>
        <v>43/44</v>
      </c>
      <c r="AK12" s="22" t="str">
        <f>Timeline!AE14</f>
        <v>44/45</v>
      </c>
      <c r="AL12" s="22" t="str">
        <f>Timeline!AF14</f>
        <v>45/46</v>
      </c>
      <c r="AM12" s="22" t="str">
        <f>Timeline!AG14</f>
        <v>46/47</v>
      </c>
      <c r="AN12" s="22" t="str">
        <f>Timeline!AH14</f>
        <v>47/48</v>
      </c>
      <c r="AO12" s="22" t="str">
        <f>Timeline!AI14</f>
        <v>48/49</v>
      </c>
      <c r="AP12" s="22" t="str">
        <f>Timeline!AJ14</f>
        <v>49/50</v>
      </c>
      <c r="AQ12" s="22" t="str">
        <f>Timeline!AK14</f>
        <v>50/51</v>
      </c>
      <c r="AR12" s="22" t="str">
        <f>Timeline!AL14</f>
        <v>51/52</v>
      </c>
      <c r="AS12" s="22" t="str">
        <f>Timeline!AM14</f>
        <v>52/53</v>
      </c>
      <c r="AT12" s="22" t="str">
        <f>Timeline!AN14</f>
        <v>53/54</v>
      </c>
      <c r="AU12" s="22" t="str">
        <f>Timeline!AO14</f>
        <v>54/55</v>
      </c>
      <c r="AV12" s="22" t="str">
        <f>Timeline!AP14</f>
        <v>55/56</v>
      </c>
      <c r="AW12" s="22" t="str">
        <f>Timeline!AQ14</f>
        <v>56/57</v>
      </c>
      <c r="AX12" s="22" t="str">
        <f>Timeline!AR14</f>
        <v>57/58</v>
      </c>
      <c r="AY12" s="22" t="str">
        <f>Timeline!AS14</f>
        <v>58/59</v>
      </c>
      <c r="AZ12" s="22" t="str">
        <f>Timeline!AT14</f>
        <v>59/60</v>
      </c>
      <c r="BA12" s="22" t="str">
        <f>Timeline!AU14</f>
        <v>60/61</v>
      </c>
      <c r="BB12" s="22" t="str">
        <f>Timeline!AV14</f>
        <v>61/62</v>
      </c>
      <c r="BC12" s="22" t="str">
        <f>Timeline!AW14</f>
        <v>62/63</v>
      </c>
      <c r="BD12" s="22" t="str">
        <f>Timeline!AX14</f>
        <v>63/64</v>
      </c>
      <c r="BE12" s="22" t="str">
        <f>Timeline!AY14</f>
        <v>64/65</v>
      </c>
      <c r="BF12" s="22" t="str">
        <f>Timeline!AZ14</f>
        <v>65/66</v>
      </c>
      <c r="BG12" s="22" t="str">
        <f>Timeline!BA14</f>
        <v>66/67</v>
      </c>
      <c r="BH12" s="22" t="str">
        <f>Timeline!BB14</f>
        <v>67/68</v>
      </c>
      <c r="BI12" s="22" t="str">
        <f>Timeline!BC14</f>
        <v>68/69</v>
      </c>
      <c r="BJ12" s="22" t="str">
        <f>Timeline!BD14</f>
        <v>69/70</v>
      </c>
      <c r="BK12" s="22" t="str">
        <f>Timeline!BE14</f>
        <v>70/71</v>
      </c>
      <c r="BL12" s="22" t="str">
        <f>Timeline!BF14</f>
        <v>71/72</v>
      </c>
      <c r="BM12" s="22" t="str">
        <f>Timeline!BG14</f>
        <v>72/73</v>
      </c>
      <c r="BN12" s="22" t="str">
        <f>Timeline!BH14</f>
        <v>73/74</v>
      </c>
      <c r="BO12" s="22" t="str">
        <f>Timeline!BI14</f>
        <v>74/75</v>
      </c>
      <c r="BP12" s="22" t="str">
        <f>Timeline!BJ14</f>
        <v>75/76</v>
      </c>
      <c r="BQ12" s="22" t="str">
        <f>Timeline!BK14</f>
        <v>76/77</v>
      </c>
      <c r="BR12" s="22" t="str">
        <f>Timeline!BL14</f>
        <v>77/78</v>
      </c>
      <c r="BS12" s="22" t="str">
        <f>Timeline!BM14</f>
        <v>78/79</v>
      </c>
      <c r="BT12" s="22" t="str">
        <f>Timeline!BN14</f>
        <v>79/80</v>
      </c>
      <c r="BU12" s="22" t="str">
        <f>Timeline!BO14</f>
        <v>80/81</v>
      </c>
      <c r="BV12" s="22" t="str">
        <f>Timeline!BP14</f>
        <v>81/82</v>
      </c>
      <c r="BW12" s="22" t="str">
        <f>Timeline!BQ14</f>
        <v>82/83</v>
      </c>
      <c r="BX12" s="22" t="str">
        <f>Timeline!BR14</f>
        <v>83/84</v>
      </c>
      <c r="BY12" s="22" t="str">
        <f>Timeline!BS14</f>
        <v>84/85</v>
      </c>
      <c r="BZ12" s="22" t="str">
        <f>Timeline!BT14</f>
        <v>85/86</v>
      </c>
      <c r="CA12" s="22" t="str">
        <f>Timeline!BU14</f>
        <v>86/87</v>
      </c>
      <c r="CB12" s="22" t="str">
        <f>Timeline!BV14</f>
        <v>87/88</v>
      </c>
      <c r="CC12" s="22" t="str">
        <f>Timeline!BW14</f>
        <v>88/89</v>
      </c>
      <c r="CD12" s="22" t="str">
        <f>Timeline!BX14</f>
        <v>89/90</v>
      </c>
      <c r="CE12" s="22" t="str">
        <f>Timeline!BY14</f>
        <v>90/91</v>
      </c>
      <c r="CF12" s="22" t="str">
        <f>Timeline!BZ14</f>
        <v>91/92</v>
      </c>
      <c r="CG12" s="22" t="str">
        <f>Timeline!CA14</f>
        <v>92/93</v>
      </c>
      <c r="CH12" s="22" t="str">
        <f>Timeline!CB14</f>
        <v>93/94</v>
      </c>
      <c r="CI12" s="22" t="str">
        <f>Timeline!CC14</f>
        <v>94/95</v>
      </c>
      <c r="CJ12" s="22" t="str">
        <f>Timeline!CD14</f>
        <v>95/96</v>
      </c>
      <c r="CK12" s="22" t="str">
        <f>Timeline!CE14</f>
        <v>96/97</v>
      </c>
      <c r="CL12" s="22" t="str">
        <f>Timeline!CF14</f>
        <v>97/98</v>
      </c>
      <c r="CM12" s="22" t="str">
        <f>Timeline!CG14</f>
        <v>98/99</v>
      </c>
      <c r="CN12" s="22" t="str">
        <f>Timeline!CH14</f>
        <v>99/00</v>
      </c>
      <c r="CO12" s="22" t="str">
        <f>Timeline!CI14</f>
        <v>00/01</v>
      </c>
      <c r="CP12" s="22" t="str">
        <f>Timeline!CJ14</f>
        <v>01/02</v>
      </c>
      <c r="CQ12" s="22" t="str">
        <f>Timeline!CK14</f>
        <v>02/03</v>
      </c>
      <c r="CR12" s="22" t="str">
        <f>Timeline!CL14</f>
        <v>03/04</v>
      </c>
      <c r="CS12" s="22" t="str">
        <f>Timeline!CM14</f>
        <v>04/05</v>
      </c>
      <c r="CT12" s="22" t="str">
        <f>Timeline!CN14</f>
        <v>05/06</v>
      </c>
      <c r="CU12" s="22" t="str">
        <f>Timeline!CO14</f>
        <v>06/07</v>
      </c>
      <c r="CV12" s="22" t="str">
        <f>Timeline!CP14</f>
        <v>07/08</v>
      </c>
      <c r="CW12" s="22" t="str">
        <f>Timeline!CQ14</f>
        <v>08/09</v>
      </c>
    </row>
    <row r="13" spans="1:103" x14ac:dyDescent="0.3">
      <c r="L13" s="21">
        <f>Timeline!F15</f>
        <v>43556</v>
      </c>
      <c r="M13" s="21">
        <f>Timeline!G15</f>
        <v>43922</v>
      </c>
      <c r="N13" s="21">
        <f>Timeline!H15</f>
        <v>44287</v>
      </c>
      <c r="O13" s="21">
        <f>Timeline!I15</f>
        <v>44652</v>
      </c>
      <c r="P13" s="21">
        <f>Timeline!J15</f>
        <v>45017</v>
      </c>
      <c r="Q13" s="21">
        <f>Timeline!K15</f>
        <v>45383</v>
      </c>
      <c r="R13" s="21">
        <f>Timeline!L15</f>
        <v>45748</v>
      </c>
      <c r="S13" s="21">
        <f>Timeline!M15</f>
        <v>46113</v>
      </c>
      <c r="T13" s="21">
        <f>Timeline!N15</f>
        <v>46478</v>
      </c>
      <c r="U13" s="21">
        <f>Timeline!O15</f>
        <v>46844</v>
      </c>
      <c r="V13" s="21">
        <f>Timeline!P15</f>
        <v>47209</v>
      </c>
      <c r="W13" s="21">
        <f>Timeline!Q15</f>
        <v>47574</v>
      </c>
      <c r="X13" s="21">
        <f>Timeline!R15</f>
        <v>47939</v>
      </c>
      <c r="Y13" s="21">
        <f>Timeline!S15</f>
        <v>48305</v>
      </c>
      <c r="Z13" s="21">
        <f>Timeline!T15</f>
        <v>48670</v>
      </c>
      <c r="AA13" s="21">
        <f>Timeline!U15</f>
        <v>49035</v>
      </c>
      <c r="AB13" s="21">
        <f>Timeline!V15</f>
        <v>49400</v>
      </c>
      <c r="AC13" s="21">
        <f>Timeline!W15</f>
        <v>49766</v>
      </c>
      <c r="AD13" s="21">
        <f>Timeline!X15</f>
        <v>50131</v>
      </c>
      <c r="AE13" s="21">
        <f>Timeline!Y15</f>
        <v>50496</v>
      </c>
      <c r="AF13" s="21">
        <f>Timeline!Z15</f>
        <v>50861</v>
      </c>
      <c r="AG13" s="21">
        <f>Timeline!AA15</f>
        <v>51227</v>
      </c>
      <c r="AH13" s="21">
        <f>Timeline!AB15</f>
        <v>51592</v>
      </c>
      <c r="AI13" s="21">
        <f>Timeline!AC15</f>
        <v>51957</v>
      </c>
      <c r="AJ13" s="21">
        <f>Timeline!AD15</f>
        <v>52322</v>
      </c>
      <c r="AK13" s="21">
        <f>Timeline!AE15</f>
        <v>52688</v>
      </c>
      <c r="AL13" s="21">
        <f>Timeline!AF15</f>
        <v>53053</v>
      </c>
      <c r="AM13" s="21">
        <f>Timeline!AG15</f>
        <v>53418</v>
      </c>
      <c r="AN13" s="21">
        <f>Timeline!AH15</f>
        <v>53783</v>
      </c>
      <c r="AO13" s="21">
        <f>Timeline!AI15</f>
        <v>54149</v>
      </c>
      <c r="AP13" s="21">
        <f>Timeline!AJ15</f>
        <v>54514</v>
      </c>
      <c r="AQ13" s="21">
        <f>Timeline!AK15</f>
        <v>54879</v>
      </c>
      <c r="AR13" s="21">
        <f>Timeline!AL15</f>
        <v>55244</v>
      </c>
      <c r="AS13" s="21">
        <f>Timeline!AM15</f>
        <v>55610</v>
      </c>
      <c r="AT13" s="21">
        <f>Timeline!AN15</f>
        <v>55975</v>
      </c>
      <c r="AU13" s="21">
        <f>Timeline!AO15</f>
        <v>56340</v>
      </c>
      <c r="AV13" s="21">
        <f>Timeline!AP15</f>
        <v>56705</v>
      </c>
      <c r="AW13" s="21">
        <f>Timeline!AQ15</f>
        <v>57071</v>
      </c>
      <c r="AX13" s="21">
        <f>Timeline!AR15</f>
        <v>57436</v>
      </c>
      <c r="AY13" s="21">
        <f>Timeline!AS15</f>
        <v>57801</v>
      </c>
      <c r="AZ13" s="21">
        <f>Timeline!AT15</f>
        <v>58166</v>
      </c>
      <c r="BA13" s="21">
        <f>Timeline!AU15</f>
        <v>58532</v>
      </c>
      <c r="BB13" s="21">
        <f>Timeline!AV15</f>
        <v>58897</v>
      </c>
      <c r="BC13" s="21">
        <f>Timeline!AW15</f>
        <v>59262</v>
      </c>
      <c r="BD13" s="21">
        <f>Timeline!AX15</f>
        <v>59627</v>
      </c>
      <c r="BE13" s="21">
        <f>Timeline!AY15</f>
        <v>59993</v>
      </c>
      <c r="BF13" s="21">
        <f>Timeline!AZ15</f>
        <v>60358</v>
      </c>
      <c r="BG13" s="21">
        <f>Timeline!BA15</f>
        <v>60723</v>
      </c>
      <c r="BH13" s="21">
        <f>Timeline!BB15</f>
        <v>61088</v>
      </c>
      <c r="BI13" s="21">
        <f>Timeline!BC15</f>
        <v>61454</v>
      </c>
      <c r="BJ13" s="21">
        <f>Timeline!BD15</f>
        <v>61819</v>
      </c>
      <c r="BK13" s="21">
        <f>Timeline!BE15</f>
        <v>62184</v>
      </c>
      <c r="BL13" s="21">
        <f>Timeline!BF15</f>
        <v>62549</v>
      </c>
      <c r="BM13" s="21">
        <f>Timeline!BG15</f>
        <v>62915</v>
      </c>
      <c r="BN13" s="21">
        <f>Timeline!BH15</f>
        <v>63280</v>
      </c>
      <c r="BO13" s="21">
        <f>Timeline!BI15</f>
        <v>63645</v>
      </c>
      <c r="BP13" s="21">
        <f>Timeline!BJ15</f>
        <v>64010</v>
      </c>
      <c r="BQ13" s="21">
        <f>Timeline!BK15</f>
        <v>64376</v>
      </c>
      <c r="BR13" s="21">
        <f>Timeline!BL15</f>
        <v>64741</v>
      </c>
      <c r="BS13" s="21">
        <f>Timeline!BM15</f>
        <v>65106</v>
      </c>
      <c r="BT13" s="21">
        <f>Timeline!BN15</f>
        <v>65471</v>
      </c>
      <c r="BU13" s="21">
        <f>Timeline!BO15</f>
        <v>65837</v>
      </c>
      <c r="BV13" s="21">
        <f>Timeline!BP15</f>
        <v>66202</v>
      </c>
      <c r="BW13" s="21">
        <f>Timeline!BQ15</f>
        <v>66567</v>
      </c>
      <c r="BX13" s="21">
        <f>Timeline!BR15</f>
        <v>66932</v>
      </c>
      <c r="BY13" s="21">
        <f>Timeline!BS15</f>
        <v>67298</v>
      </c>
      <c r="BZ13" s="21">
        <f>Timeline!BT15</f>
        <v>67663</v>
      </c>
      <c r="CA13" s="21">
        <f>Timeline!BU15</f>
        <v>68028</v>
      </c>
      <c r="CB13" s="21">
        <f>Timeline!BV15</f>
        <v>68393</v>
      </c>
      <c r="CC13" s="21">
        <f>Timeline!BW15</f>
        <v>68759</v>
      </c>
      <c r="CD13" s="21">
        <f>Timeline!BX15</f>
        <v>69124</v>
      </c>
      <c r="CE13" s="21">
        <f>Timeline!BY15</f>
        <v>69489</v>
      </c>
      <c r="CF13" s="21">
        <f>Timeline!BZ15</f>
        <v>69854</v>
      </c>
      <c r="CG13" s="21">
        <f>Timeline!CA15</f>
        <v>70220</v>
      </c>
      <c r="CH13" s="21">
        <f>Timeline!CB15</f>
        <v>70585</v>
      </c>
      <c r="CI13" s="21">
        <f>Timeline!CC15</f>
        <v>70950</v>
      </c>
      <c r="CJ13" s="21">
        <f>Timeline!CD15</f>
        <v>71315</v>
      </c>
      <c r="CK13" s="21">
        <f>Timeline!CE15</f>
        <v>71681</v>
      </c>
      <c r="CL13" s="21">
        <f>Timeline!CF15</f>
        <v>72046</v>
      </c>
      <c r="CM13" s="21">
        <f>Timeline!CG15</f>
        <v>72411</v>
      </c>
      <c r="CN13" s="21">
        <f>Timeline!CH15</f>
        <v>72776</v>
      </c>
      <c r="CO13" s="21">
        <f>Timeline!CI15</f>
        <v>73141</v>
      </c>
      <c r="CP13" s="21">
        <f>Timeline!CJ15</f>
        <v>73506</v>
      </c>
      <c r="CQ13" s="21">
        <f>Timeline!CK15</f>
        <v>73871</v>
      </c>
      <c r="CR13" s="21">
        <f>Timeline!CL15</f>
        <v>74236</v>
      </c>
      <c r="CS13" s="21">
        <f>Timeline!CM15</f>
        <v>74602</v>
      </c>
      <c r="CT13" s="21">
        <f>Timeline!CN15</f>
        <v>74967</v>
      </c>
      <c r="CU13" s="21">
        <f>Timeline!CO15</f>
        <v>75332</v>
      </c>
      <c r="CV13" s="21">
        <f>Timeline!CP15</f>
        <v>75697</v>
      </c>
      <c r="CW13" s="21">
        <f>Timeline!CQ15</f>
        <v>76063</v>
      </c>
    </row>
    <row r="14" spans="1:103" x14ac:dyDescent="0.3">
      <c r="C14" s="11" t="s">
        <v>22</v>
      </c>
      <c r="D14" s="11" t="s">
        <v>5</v>
      </c>
      <c r="L14" s="21">
        <f>Timeline!F16</f>
        <v>43921</v>
      </c>
      <c r="M14" s="21">
        <f>Timeline!G16</f>
        <v>44286</v>
      </c>
      <c r="N14" s="21">
        <f>Timeline!H16</f>
        <v>44651</v>
      </c>
      <c r="O14" s="21">
        <f>Timeline!I16</f>
        <v>45016</v>
      </c>
      <c r="P14" s="21">
        <f>Timeline!J16</f>
        <v>45382</v>
      </c>
      <c r="Q14" s="21">
        <f>Timeline!K16</f>
        <v>45747</v>
      </c>
      <c r="R14" s="21">
        <f>Timeline!L16</f>
        <v>46112</v>
      </c>
      <c r="S14" s="21">
        <f>Timeline!M16</f>
        <v>46477</v>
      </c>
      <c r="T14" s="21">
        <f>Timeline!N16</f>
        <v>46843</v>
      </c>
      <c r="U14" s="21">
        <f>Timeline!O16</f>
        <v>47208</v>
      </c>
      <c r="V14" s="21">
        <f>Timeline!P16</f>
        <v>47573</v>
      </c>
      <c r="W14" s="21">
        <f>Timeline!Q16</f>
        <v>47938</v>
      </c>
      <c r="X14" s="21">
        <f>Timeline!R16</f>
        <v>48304</v>
      </c>
      <c r="Y14" s="21">
        <f>Timeline!S16</f>
        <v>48669</v>
      </c>
      <c r="Z14" s="21">
        <f>Timeline!T16</f>
        <v>49034</v>
      </c>
      <c r="AA14" s="21">
        <f>Timeline!U16</f>
        <v>49399</v>
      </c>
      <c r="AB14" s="21">
        <f>Timeline!V16</f>
        <v>49765</v>
      </c>
      <c r="AC14" s="21">
        <f>Timeline!W16</f>
        <v>50130</v>
      </c>
      <c r="AD14" s="21">
        <f>Timeline!X16</f>
        <v>50495</v>
      </c>
      <c r="AE14" s="21">
        <f>Timeline!Y16</f>
        <v>50860</v>
      </c>
      <c r="AF14" s="21">
        <f>Timeline!Z16</f>
        <v>51226</v>
      </c>
      <c r="AG14" s="21">
        <f>Timeline!AA16</f>
        <v>51591</v>
      </c>
      <c r="AH14" s="21">
        <f>Timeline!AB16</f>
        <v>51956</v>
      </c>
      <c r="AI14" s="21">
        <f>Timeline!AC16</f>
        <v>52321</v>
      </c>
      <c r="AJ14" s="21">
        <f>Timeline!AD16</f>
        <v>52687</v>
      </c>
      <c r="AK14" s="21">
        <f>Timeline!AE16</f>
        <v>53052</v>
      </c>
      <c r="AL14" s="21">
        <f>Timeline!AF16</f>
        <v>53417</v>
      </c>
      <c r="AM14" s="21">
        <f>Timeline!AG16</f>
        <v>53782</v>
      </c>
      <c r="AN14" s="21">
        <f>Timeline!AH16</f>
        <v>54148</v>
      </c>
      <c r="AO14" s="21">
        <f>Timeline!AI16</f>
        <v>54513</v>
      </c>
      <c r="AP14" s="21">
        <f>Timeline!AJ16</f>
        <v>54878</v>
      </c>
      <c r="AQ14" s="21">
        <f>Timeline!AK16</f>
        <v>55243</v>
      </c>
      <c r="AR14" s="21">
        <f>Timeline!AL16</f>
        <v>55609</v>
      </c>
      <c r="AS14" s="21">
        <f>Timeline!AM16</f>
        <v>55974</v>
      </c>
      <c r="AT14" s="21">
        <f>Timeline!AN16</f>
        <v>56339</v>
      </c>
      <c r="AU14" s="21">
        <f>Timeline!AO16</f>
        <v>56704</v>
      </c>
      <c r="AV14" s="21">
        <f>Timeline!AP16</f>
        <v>57070</v>
      </c>
      <c r="AW14" s="21">
        <f>Timeline!AQ16</f>
        <v>57435</v>
      </c>
      <c r="AX14" s="21">
        <f>Timeline!AR16</f>
        <v>57800</v>
      </c>
      <c r="AY14" s="21">
        <f>Timeline!AS16</f>
        <v>58165</v>
      </c>
      <c r="AZ14" s="21">
        <f>Timeline!AT16</f>
        <v>58531</v>
      </c>
      <c r="BA14" s="21">
        <f>Timeline!AU16</f>
        <v>58896</v>
      </c>
      <c r="BB14" s="21">
        <f>Timeline!AV16</f>
        <v>59261</v>
      </c>
      <c r="BC14" s="21">
        <f>Timeline!AW16</f>
        <v>59626</v>
      </c>
      <c r="BD14" s="21">
        <f>Timeline!AX16</f>
        <v>59992</v>
      </c>
      <c r="BE14" s="21">
        <f>Timeline!AY16</f>
        <v>60357</v>
      </c>
      <c r="BF14" s="21">
        <f>Timeline!AZ16</f>
        <v>60722</v>
      </c>
      <c r="BG14" s="21">
        <f>Timeline!BA16</f>
        <v>61087</v>
      </c>
      <c r="BH14" s="21">
        <f>Timeline!BB16</f>
        <v>61453</v>
      </c>
      <c r="BI14" s="21">
        <f>Timeline!BC16</f>
        <v>61818</v>
      </c>
      <c r="BJ14" s="21">
        <f>Timeline!BD16</f>
        <v>62183</v>
      </c>
      <c r="BK14" s="21">
        <f>Timeline!BE16</f>
        <v>62548</v>
      </c>
      <c r="BL14" s="21">
        <f>Timeline!BF16</f>
        <v>62914</v>
      </c>
      <c r="BM14" s="21">
        <f>Timeline!BG16</f>
        <v>63279</v>
      </c>
      <c r="BN14" s="21">
        <f>Timeline!BH16</f>
        <v>63644</v>
      </c>
      <c r="BO14" s="21">
        <f>Timeline!BI16</f>
        <v>64009</v>
      </c>
      <c r="BP14" s="21">
        <f>Timeline!BJ16</f>
        <v>64375</v>
      </c>
      <c r="BQ14" s="21">
        <f>Timeline!BK16</f>
        <v>64740</v>
      </c>
      <c r="BR14" s="21">
        <f>Timeline!BL16</f>
        <v>65105</v>
      </c>
      <c r="BS14" s="21">
        <f>Timeline!BM16</f>
        <v>65470</v>
      </c>
      <c r="BT14" s="21">
        <f>Timeline!BN16</f>
        <v>65836</v>
      </c>
      <c r="BU14" s="21">
        <f>Timeline!BO16</f>
        <v>66201</v>
      </c>
      <c r="BV14" s="21">
        <f>Timeline!BP16</f>
        <v>66566</v>
      </c>
      <c r="BW14" s="21">
        <f>Timeline!BQ16</f>
        <v>66931</v>
      </c>
      <c r="BX14" s="21">
        <f>Timeline!BR16</f>
        <v>67297</v>
      </c>
      <c r="BY14" s="21">
        <f>Timeline!BS16</f>
        <v>67662</v>
      </c>
      <c r="BZ14" s="21">
        <f>Timeline!BT16</f>
        <v>68027</v>
      </c>
      <c r="CA14" s="21">
        <f>Timeline!BU16</f>
        <v>68392</v>
      </c>
      <c r="CB14" s="21">
        <f>Timeline!BV16</f>
        <v>68758</v>
      </c>
      <c r="CC14" s="21">
        <f>Timeline!BW16</f>
        <v>69123</v>
      </c>
      <c r="CD14" s="21">
        <f>Timeline!BX16</f>
        <v>69488</v>
      </c>
      <c r="CE14" s="21">
        <f>Timeline!BY16</f>
        <v>69853</v>
      </c>
      <c r="CF14" s="21">
        <f>Timeline!BZ16</f>
        <v>70219</v>
      </c>
      <c r="CG14" s="21">
        <f>Timeline!CA16</f>
        <v>70584</v>
      </c>
      <c r="CH14" s="21">
        <f>Timeline!CB16</f>
        <v>70949</v>
      </c>
      <c r="CI14" s="21">
        <f>Timeline!CC16</f>
        <v>71314</v>
      </c>
      <c r="CJ14" s="21">
        <f>Timeline!CD16</f>
        <v>71680</v>
      </c>
      <c r="CK14" s="21">
        <f>Timeline!CE16</f>
        <v>72045</v>
      </c>
      <c r="CL14" s="21">
        <f>Timeline!CF16</f>
        <v>72410</v>
      </c>
      <c r="CM14" s="21">
        <f>Timeline!CG16</f>
        <v>72775</v>
      </c>
      <c r="CN14" s="21">
        <f>Timeline!CH16</f>
        <v>73140</v>
      </c>
      <c r="CO14" s="21">
        <f>Timeline!CI16</f>
        <v>73505</v>
      </c>
      <c r="CP14" s="21">
        <f>Timeline!CJ16</f>
        <v>73870</v>
      </c>
      <c r="CQ14" s="21">
        <f>Timeline!CK16</f>
        <v>74235</v>
      </c>
      <c r="CR14" s="21">
        <f>Timeline!CL16</f>
        <v>74601</v>
      </c>
      <c r="CS14" s="21">
        <f>Timeline!CM16</f>
        <v>74966</v>
      </c>
      <c r="CT14" s="21">
        <f>Timeline!CN16</f>
        <v>75331</v>
      </c>
      <c r="CU14" s="21">
        <f>Timeline!CO16</f>
        <v>75696</v>
      </c>
      <c r="CV14" s="21">
        <f>Timeline!CP16</f>
        <v>76062</v>
      </c>
      <c r="CW14" s="21">
        <f>Timeline!CQ16</f>
        <v>76427</v>
      </c>
      <c r="CY14" s="6" t="s">
        <v>65</v>
      </c>
    </row>
    <row r="15" spans="1:103" x14ac:dyDescent="0.3">
      <c r="C15" s="4" t="str">
        <f>IF('Cost &amp; Risk Inputs'!C10="","",'Cost &amp; Risk Inputs'!C10)</f>
        <v>Test 1</v>
      </c>
      <c r="D15" s="4" t="str">
        <f>IF(C15="","",'Cost &amp; Risk Inputs'!H10)</f>
        <v>Concept</v>
      </c>
      <c r="L15" s="18">
        <f>IF($C15="",0,L9*'Global Constants'!F$59)</f>
        <v>1</v>
      </c>
      <c r="M15" s="18">
        <f>IF($C15="",0,M9*'Global Constants'!G$59)</f>
        <v>0</v>
      </c>
      <c r="N15" s="18">
        <f>IF($C15="",0,N9*'Global Constants'!H$59)</f>
        <v>0</v>
      </c>
      <c r="O15" s="18">
        <f>IF($C15="",0,O9*'Global Constants'!I$59)</f>
        <v>0</v>
      </c>
      <c r="P15" s="18">
        <f>IF($C15="",0,P9*'Global Constants'!J$59)</f>
        <v>0</v>
      </c>
      <c r="Q15" s="18">
        <f>IF($C15="",0,Q9*'Global Constants'!K$59)</f>
        <v>0</v>
      </c>
      <c r="R15" s="18">
        <f>IF($C15="",0,R9*'Global Constants'!L$59)</f>
        <v>0</v>
      </c>
      <c r="S15" s="18">
        <f>IF($C15="",0,S9*'Global Constants'!M$59)</f>
        <v>0</v>
      </c>
      <c r="T15" s="18">
        <f>IF($C15="",0,T9*'Global Constants'!N$59)</f>
        <v>0</v>
      </c>
      <c r="U15" s="18">
        <f>IF($C15="",0,U9*'Global Constants'!O$59)</f>
        <v>0</v>
      </c>
      <c r="V15" s="18">
        <f>IF($C15="",0,V9*'Global Constants'!P$59)</f>
        <v>0</v>
      </c>
      <c r="W15" s="18">
        <f>IF($C15="",0,W9*'Global Constants'!Q$59)</f>
        <v>0</v>
      </c>
      <c r="X15" s="18">
        <f>IF($C15="",0,X9*'Global Constants'!R$59)</f>
        <v>0</v>
      </c>
      <c r="Y15" s="18">
        <f>IF($C15="",0,Y9*'Global Constants'!S$59)</f>
        <v>0</v>
      </c>
      <c r="Z15" s="18">
        <f>IF($C15="",0,Z9*'Global Constants'!T$59)</f>
        <v>0</v>
      </c>
      <c r="AA15" s="18">
        <f>IF($C15="",0,AA9*'Global Constants'!U$59)</f>
        <v>0</v>
      </c>
      <c r="AB15" s="18">
        <f>IF($C15="",0,AB9*'Global Constants'!V$59)</f>
        <v>0</v>
      </c>
      <c r="AC15" s="18">
        <f>IF($C15="",0,AC9*'Global Constants'!W$59)</f>
        <v>0.38377979251668914</v>
      </c>
      <c r="AD15" s="18">
        <f>IF($C15="",0,AD9*'Global Constants'!X$59)</f>
        <v>0.72493007214111982</v>
      </c>
      <c r="AE15" s="18">
        <f>IF($C15="",0,AE9*'Global Constants'!Y$59)</f>
        <v>1.0270022414058113</v>
      </c>
      <c r="AF15" s="18">
        <f>IF($C15="",0,AF9*'Global Constants'!Z$59)</f>
        <v>1.2932847142527806</v>
      </c>
      <c r="AG15" s="18">
        <f>IF($C15="",0,AG9*'Global Constants'!AA$59)</f>
        <v>1.5268211736967394</v>
      </c>
      <c r="AH15" s="18">
        <f>IF($C15="",0,AH9*'Global Constants'!AB$59)</f>
        <v>1.4420230105607168</v>
      </c>
      <c r="AI15" s="18">
        <f>IF($C15="",0,AI9*'Global Constants'!AC$59)</f>
        <v>1.361934454938083</v>
      </c>
      <c r="AJ15" s="18">
        <f>IF($C15="",0,AJ9*'Global Constants'!AD$59)</f>
        <v>1.286293939807692</v>
      </c>
      <c r="AK15" s="18">
        <f>IF($C15="",0,AK9*'Global Constants'!AE$59)</f>
        <v>1.2148544253263747</v>
      </c>
      <c r="AL15" s="29">
        <f>IF($C15="",0,AL9*'Global Constants'!AF$59)</f>
        <v>1.1473825920036032</v>
      </c>
      <c r="AM15" s="18">
        <f>IF($C15="",0,AM9*'Global Constants'!AG$59)</f>
        <v>1.0836580786864467</v>
      </c>
      <c r="AN15" s="18">
        <f>IF($C15="",0,AN9*'Global Constants'!AH$59)</f>
        <v>1.0234727628661056</v>
      </c>
      <c r="AO15" s="18">
        <f>IF($C15="",0,AO9*'Global Constants'!AI$59)</f>
        <v>0.96663008095551661</v>
      </c>
      <c r="AP15" s="18">
        <f>IF($C15="",0,AP9*'Global Constants'!AJ$59)</f>
        <v>0.91737615518370352</v>
      </c>
      <c r="AQ15" s="18">
        <f>IF($C15="",0,AQ9*'Global Constants'!AK$59)</f>
        <v>0.87063192702189784</v>
      </c>
      <c r="AR15" s="18">
        <f>IF($C15="",0,AR9*'Global Constants'!AL$59)</f>
        <v>0.82626951667178949</v>
      </c>
      <c r="AS15" s="18">
        <f>IF($C15="",0,AS9*'Global Constants'!AM$59)</f>
        <v>0.78416756035626189</v>
      </c>
      <c r="AT15" s="18">
        <f>IF($C15="",0,AT9*'Global Constants'!AN$59)</f>
        <v>0</v>
      </c>
      <c r="AU15" s="18">
        <f>IF($C15="",0,AU9*'Global Constants'!AO$59)</f>
        <v>0</v>
      </c>
      <c r="AV15" s="18">
        <f>IF($C15="",0,AV9*'Global Constants'!AP$59)</f>
        <v>0</v>
      </c>
      <c r="AW15" s="18">
        <f>IF($C15="",0,AW9*'Global Constants'!AQ$59)</f>
        <v>0</v>
      </c>
      <c r="AX15" s="18">
        <f>IF($C15="",0,AX9*'Global Constants'!AR$59)</f>
        <v>0</v>
      </c>
      <c r="AY15" s="18">
        <f>IF($C15="",0,AY9*'Global Constants'!AS$59)</f>
        <v>0</v>
      </c>
      <c r="AZ15" s="18">
        <f>IF($C15="",0,AZ9*'Global Constants'!AT$59)</f>
        <v>0</v>
      </c>
      <c r="BA15" s="18">
        <f>IF($C15="",0,BA9*'Global Constants'!AU$59)</f>
        <v>0</v>
      </c>
      <c r="BB15" s="18">
        <f>IF($C15="",0,BB9*'Global Constants'!AV$59)</f>
        <v>0</v>
      </c>
      <c r="BC15" s="18">
        <f>IF($C15="",0,BC9*'Global Constants'!AW$59)</f>
        <v>0</v>
      </c>
      <c r="BD15" s="18">
        <f>IF($C15="",0,BD9*'Global Constants'!AX$59)</f>
        <v>0</v>
      </c>
      <c r="BE15" s="18">
        <f>IF($C15="",0,BE9*'Global Constants'!AY$59)</f>
        <v>0</v>
      </c>
      <c r="BF15" s="18">
        <f>IF($C15="",0,BF9*'Global Constants'!AZ$59)</f>
        <v>0</v>
      </c>
      <c r="BG15" s="18">
        <f>IF($C15="",0,BG9*'Global Constants'!BA$59)</f>
        <v>0</v>
      </c>
      <c r="BH15" s="18">
        <f>IF($C15="",0,BH9*'Global Constants'!BB$59)</f>
        <v>0</v>
      </c>
      <c r="BI15" s="18">
        <f>IF($C15="",0,BI9*'Global Constants'!BC$59)</f>
        <v>0</v>
      </c>
      <c r="BJ15" s="18">
        <f>IF($C15="",0,BJ9*'Global Constants'!BD$59)</f>
        <v>0</v>
      </c>
      <c r="BK15" s="18">
        <f>IF($C15="",0,BK9*'Global Constants'!BE$59)</f>
        <v>0</v>
      </c>
      <c r="BL15" s="18">
        <f>IF($C15="",0,BL9*'Global Constants'!BF$59)</f>
        <v>0</v>
      </c>
      <c r="BM15" s="18">
        <f>IF($C15="",0,BM9*'Global Constants'!BG$59)</f>
        <v>0</v>
      </c>
      <c r="BN15" s="18">
        <f>IF($C15="",0,BN9*'Global Constants'!BH$59)</f>
        <v>0</v>
      </c>
      <c r="BO15" s="18">
        <f>IF($C15="",0,BO9*'Global Constants'!BI$59)</f>
        <v>0</v>
      </c>
      <c r="BP15" s="18">
        <f>IF($C15="",0,BP9*'Global Constants'!BJ$59)</f>
        <v>0</v>
      </c>
      <c r="BQ15" s="18">
        <f>IF($C15="",0,BQ9*'Global Constants'!BK$59)</f>
        <v>0</v>
      </c>
      <c r="BR15" s="18">
        <f>IF($C15="",0,BR9*'Global Constants'!BL$59)</f>
        <v>0</v>
      </c>
      <c r="BS15" s="18">
        <f>IF($C15="",0,BS9*'Global Constants'!BM$59)</f>
        <v>0</v>
      </c>
      <c r="BT15" s="18">
        <f>IF($C15="",0,BT9*'Global Constants'!BN$59)</f>
        <v>0</v>
      </c>
      <c r="BU15" s="18">
        <f>IF($C15="",0,BU9*'Global Constants'!BO$59)</f>
        <v>0</v>
      </c>
      <c r="BV15" s="18">
        <f>IF($C15="",0,BV9*'Global Constants'!BP$59)</f>
        <v>0</v>
      </c>
      <c r="BW15" s="18">
        <f>IF($C15="",0,BW9*'Global Constants'!BQ$59)</f>
        <v>0</v>
      </c>
      <c r="BX15" s="18">
        <f>IF($C15="",0,BX9*'Global Constants'!BR$59)</f>
        <v>0</v>
      </c>
      <c r="BY15" s="18">
        <f>IF($C15="",0,BY9*'Global Constants'!BS$59)</f>
        <v>0</v>
      </c>
      <c r="BZ15" s="18">
        <f>IF($C15="",0,BZ9*'Global Constants'!BT$59)</f>
        <v>0</v>
      </c>
      <c r="CA15" s="18">
        <f>IF($C15="",0,CA9*'Global Constants'!BU$59)</f>
        <v>0</v>
      </c>
      <c r="CB15" s="18">
        <f>IF($C15="",0,CB9*'Global Constants'!BV$59)</f>
        <v>0</v>
      </c>
      <c r="CC15" s="18">
        <f>IF($C15="",0,CC9*'Global Constants'!BW$59)</f>
        <v>0</v>
      </c>
      <c r="CD15" s="18">
        <f>IF($C15="",0,CD9*'Global Constants'!BX$59)</f>
        <v>0</v>
      </c>
      <c r="CE15" s="18">
        <f>IF($C15="",0,CE9*'Global Constants'!BY$59)</f>
        <v>0</v>
      </c>
      <c r="CF15" s="18">
        <f>IF($C15="",0,CF9*'Global Constants'!BZ$59)</f>
        <v>0</v>
      </c>
      <c r="CG15" s="18">
        <f>IF($C15="",0,CG9*'Global Constants'!CA$59)</f>
        <v>0</v>
      </c>
      <c r="CH15" s="18">
        <f>IF($C15="",0,CH9*'Global Constants'!CB$59)</f>
        <v>0</v>
      </c>
      <c r="CI15" s="18">
        <f>IF($C15="",0,CI9*'Global Constants'!CC$59)</f>
        <v>0</v>
      </c>
      <c r="CJ15" s="18">
        <f>IF($C15="",0,CJ9*'Global Constants'!CD$59)</f>
        <v>0</v>
      </c>
      <c r="CK15" s="18">
        <f>IF($C15="",0,CK9*'Global Constants'!CE$59)</f>
        <v>0</v>
      </c>
      <c r="CL15" s="18">
        <f>IF($C15="",0,CL9*'Global Constants'!CF$59)</f>
        <v>0</v>
      </c>
      <c r="CM15" s="18">
        <f>IF($C15="",0,CM9*'Global Constants'!CG$59)</f>
        <v>0</v>
      </c>
      <c r="CN15" s="18">
        <f>IF($C15="",0,CN9*'Global Constants'!CH$59)</f>
        <v>0</v>
      </c>
      <c r="CO15" s="18">
        <f>IF($C15="",0,CO9*'Global Constants'!CI$59)</f>
        <v>0</v>
      </c>
      <c r="CP15" s="18">
        <f>IF($C15="",0,CP9*'Global Constants'!CJ$59)</f>
        <v>0</v>
      </c>
      <c r="CQ15" s="18">
        <f>IF($C15="",0,CQ9*'Global Constants'!CK$59)</f>
        <v>0</v>
      </c>
      <c r="CR15" s="18">
        <f>IF($C15="",0,CR9*'Global Constants'!CL$59)</f>
        <v>0</v>
      </c>
      <c r="CS15" s="18">
        <f>IF($C15="",0,CS9*'Global Constants'!CM$59)</f>
        <v>0</v>
      </c>
      <c r="CT15" s="18">
        <f>IF($C15="",0,CT9*'Global Constants'!CN$59)</f>
        <v>0</v>
      </c>
      <c r="CU15" s="18">
        <f>IF($C15="",0,CU9*'Global Constants'!CO$59)</f>
        <v>0</v>
      </c>
      <c r="CV15" s="18">
        <f>IF($C15="",0,CV9*'Global Constants'!CP$59)</f>
        <v>0</v>
      </c>
      <c r="CW15" s="18">
        <f>IF($C15="",0,CW9*'Global Constants'!CQ$59)</f>
        <v>0</v>
      </c>
      <c r="CY15" s="29">
        <f>SUM(L15:CW15)</f>
        <v>18.880512498391333</v>
      </c>
    </row>
  </sheetData>
  <conditionalFormatting sqref="A1">
    <cfRule type="cellIs" dxfId="9" priority="2" operator="equal">
      <formula>1</formula>
    </cfRule>
  </conditionalFormatting>
  <conditionalFormatting sqref="D1">
    <cfRule type="cellIs" dxfId="8" priority="1" operator="equal">
      <formula>"Error"</formula>
    </cfRule>
  </conditionalFormatting>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79998168889431442"/>
  </sheetPr>
  <dimension ref="A1:DA38"/>
  <sheetViews>
    <sheetView showGridLines="0" workbookViewId="0">
      <pane xSplit="3" ySplit="8" topLeftCell="D9" activePane="bottomRight" state="frozenSplit"/>
      <selection pane="topRight" activeCell="D1" sqref="D1"/>
      <selection pane="bottomLeft" activeCell="A9" sqref="A9"/>
      <selection pane="bottomRight"/>
    </sheetView>
  </sheetViews>
  <sheetFormatPr defaultRowHeight="14.4" x14ac:dyDescent="0.3"/>
  <cols>
    <col min="1" max="2" width="2.77734375" customWidth="1"/>
    <col min="3" max="3" width="10" bestFit="1" customWidth="1"/>
    <col min="4" max="4" width="11.5546875" bestFit="1" customWidth="1"/>
    <col min="5" max="5" width="11.5546875" customWidth="1"/>
    <col min="6" max="6" width="2.77734375" hidden="1" customWidth="1"/>
    <col min="7" max="7" width="14" hidden="1" customWidth="1"/>
    <col min="8" max="8" width="2.77734375" hidden="1" customWidth="1"/>
    <col min="9" max="9" width="12.88671875" hidden="1" customWidth="1"/>
    <col min="10" max="10" width="13.6640625" hidden="1" customWidth="1"/>
    <col min="11" max="11" width="2.77734375" hidden="1" customWidth="1"/>
    <col min="12" max="12" width="2.77734375" customWidth="1"/>
    <col min="13" max="14" width="10.5546875" customWidth="1"/>
    <col min="15" max="16" width="10.5546875" bestFit="1" customWidth="1"/>
    <col min="17" max="17" width="10.5546875" customWidth="1"/>
    <col min="18" max="30" width="10.5546875" bestFit="1" customWidth="1"/>
    <col min="31" max="34" width="10.88671875" bestFit="1" customWidth="1"/>
    <col min="35" max="102" width="10.5546875" bestFit="1" customWidth="1"/>
    <col min="104" max="105" width="11.88671875" bestFit="1" customWidth="1"/>
  </cols>
  <sheetData>
    <row r="1" spans="1:105" x14ac:dyDescent="0.3">
      <c r="A1" s="33">
        <f ca="1">IF(ISERROR(SUM(C5:DA38)),1,0)</f>
        <v>0</v>
      </c>
      <c r="C1" t="s">
        <v>79</v>
      </c>
      <c r="D1" s="33" t="str">
        <f ca="1">Model_Health</f>
        <v>OK</v>
      </c>
    </row>
    <row r="3" spans="1:105" ht="21" x14ac:dyDescent="0.4">
      <c r="C3" s="3" t="s">
        <v>53</v>
      </c>
      <c r="D3" s="3"/>
      <c r="E3" s="3"/>
    </row>
    <row r="4" spans="1:105" x14ac:dyDescent="0.3">
      <c r="C4" s="65" t="s">
        <v>154</v>
      </c>
    </row>
    <row r="6" spans="1:105" x14ac:dyDescent="0.3">
      <c r="C6" t="s">
        <v>98</v>
      </c>
      <c r="M6" s="22" t="str">
        <f>Timeline!F14</f>
        <v>19/20</v>
      </c>
      <c r="N6" s="22" t="str">
        <f>Timeline!G14</f>
        <v>20/21</v>
      </c>
      <c r="O6" s="22" t="str">
        <f>Timeline!H14</f>
        <v>21/22</v>
      </c>
      <c r="P6" s="22" t="str">
        <f>Timeline!I14</f>
        <v>22/23</v>
      </c>
      <c r="Q6" s="22" t="str">
        <f>Timeline!J14</f>
        <v>23/24</v>
      </c>
      <c r="R6" s="22" t="str">
        <f>Timeline!K14</f>
        <v>24/25</v>
      </c>
      <c r="S6" s="22" t="str">
        <f>Timeline!L14</f>
        <v>25/26</v>
      </c>
      <c r="T6" s="22" t="str">
        <f>Timeline!M14</f>
        <v>26/27</v>
      </c>
      <c r="U6" s="22" t="str">
        <f>Timeline!N14</f>
        <v>27/28</v>
      </c>
      <c r="V6" s="22" t="str">
        <f>Timeline!O14</f>
        <v>28/29</v>
      </c>
      <c r="W6" s="22" t="str">
        <f>Timeline!P14</f>
        <v>29/30</v>
      </c>
      <c r="X6" s="22" t="str">
        <f>Timeline!Q14</f>
        <v>30/31</v>
      </c>
      <c r="Y6" s="22" t="str">
        <f>Timeline!R14</f>
        <v>31/32</v>
      </c>
      <c r="Z6" s="22" t="str">
        <f>Timeline!S14</f>
        <v>32/33</v>
      </c>
      <c r="AA6" s="22" t="str">
        <f>Timeline!T14</f>
        <v>33/34</v>
      </c>
      <c r="AB6" s="22" t="str">
        <f>Timeline!U14</f>
        <v>34/35</v>
      </c>
      <c r="AC6" s="22" t="str">
        <f>Timeline!V14</f>
        <v>35/36</v>
      </c>
      <c r="AD6" s="22" t="str">
        <f>Timeline!W14</f>
        <v>36/37</v>
      </c>
      <c r="AE6" s="22" t="str">
        <f>Timeline!X14</f>
        <v>37/38</v>
      </c>
      <c r="AF6" s="22" t="str">
        <f>Timeline!Y14</f>
        <v>38/39</v>
      </c>
      <c r="AG6" s="22" t="str">
        <f>Timeline!Z14</f>
        <v>39/40</v>
      </c>
      <c r="AH6" s="22" t="str">
        <f>Timeline!AA14</f>
        <v>40/41</v>
      </c>
      <c r="AI6" s="22" t="str">
        <f>Timeline!AB14</f>
        <v>41/42</v>
      </c>
      <c r="AJ6" s="22" t="str">
        <f>Timeline!AC14</f>
        <v>42/43</v>
      </c>
      <c r="AK6" s="22" t="str">
        <f>Timeline!AD14</f>
        <v>43/44</v>
      </c>
      <c r="AL6" s="22" t="str">
        <f>Timeline!AE14</f>
        <v>44/45</v>
      </c>
      <c r="AM6" s="22" t="str">
        <f>Timeline!AF14</f>
        <v>45/46</v>
      </c>
      <c r="AN6" s="22" t="str">
        <f>Timeline!AG14</f>
        <v>46/47</v>
      </c>
      <c r="AO6" s="22" t="str">
        <f>Timeline!AH14</f>
        <v>47/48</v>
      </c>
      <c r="AP6" s="22" t="str">
        <f>Timeline!AI14</f>
        <v>48/49</v>
      </c>
      <c r="AQ6" s="22" t="str">
        <f>Timeline!AJ14</f>
        <v>49/50</v>
      </c>
      <c r="AR6" s="22" t="str">
        <f>Timeline!AK14</f>
        <v>50/51</v>
      </c>
      <c r="AS6" s="22" t="str">
        <f>Timeline!AL14</f>
        <v>51/52</v>
      </c>
      <c r="AT6" s="22" t="str">
        <f>Timeline!AM14</f>
        <v>52/53</v>
      </c>
      <c r="AU6" s="22" t="str">
        <f>Timeline!AN14</f>
        <v>53/54</v>
      </c>
      <c r="AV6" s="22" t="str">
        <f>Timeline!AO14</f>
        <v>54/55</v>
      </c>
      <c r="AW6" s="22" t="str">
        <f>Timeline!AP14</f>
        <v>55/56</v>
      </c>
      <c r="AX6" s="22" t="str">
        <f>Timeline!AQ14</f>
        <v>56/57</v>
      </c>
      <c r="AY6" s="22" t="str">
        <f>Timeline!AR14</f>
        <v>57/58</v>
      </c>
      <c r="AZ6" s="22" t="str">
        <f>Timeline!AS14</f>
        <v>58/59</v>
      </c>
      <c r="BA6" s="22" t="str">
        <f>Timeline!AT14</f>
        <v>59/60</v>
      </c>
      <c r="BB6" s="22" t="str">
        <f>Timeline!AU14</f>
        <v>60/61</v>
      </c>
      <c r="BC6" s="22" t="str">
        <f>Timeline!AV14</f>
        <v>61/62</v>
      </c>
      <c r="BD6" s="22" t="str">
        <f>Timeline!AW14</f>
        <v>62/63</v>
      </c>
      <c r="BE6" s="22" t="str">
        <f>Timeline!AX14</f>
        <v>63/64</v>
      </c>
      <c r="BF6" s="22" t="str">
        <f>Timeline!AY14</f>
        <v>64/65</v>
      </c>
      <c r="BG6" s="22" t="str">
        <f>Timeline!AZ14</f>
        <v>65/66</v>
      </c>
      <c r="BH6" s="22" t="str">
        <f>Timeline!BA14</f>
        <v>66/67</v>
      </c>
      <c r="BI6" s="22" t="str">
        <f>Timeline!BB14</f>
        <v>67/68</v>
      </c>
      <c r="BJ6" s="22" t="str">
        <f>Timeline!BC14</f>
        <v>68/69</v>
      </c>
      <c r="BK6" s="22" t="str">
        <f>Timeline!BD14</f>
        <v>69/70</v>
      </c>
      <c r="BL6" s="22" t="str">
        <f>Timeline!BE14</f>
        <v>70/71</v>
      </c>
      <c r="BM6" s="22" t="str">
        <f>Timeline!BF14</f>
        <v>71/72</v>
      </c>
      <c r="BN6" s="22" t="str">
        <f>Timeline!BG14</f>
        <v>72/73</v>
      </c>
      <c r="BO6" s="22" t="str">
        <f>Timeline!BH14</f>
        <v>73/74</v>
      </c>
      <c r="BP6" s="22" t="str">
        <f>Timeline!BI14</f>
        <v>74/75</v>
      </c>
      <c r="BQ6" s="22" t="str">
        <f>Timeline!BJ14</f>
        <v>75/76</v>
      </c>
      <c r="BR6" s="22" t="str">
        <f>Timeline!BK14</f>
        <v>76/77</v>
      </c>
      <c r="BS6" s="22" t="str">
        <f>Timeline!BL14</f>
        <v>77/78</v>
      </c>
      <c r="BT6" s="22" t="str">
        <f>Timeline!BM14</f>
        <v>78/79</v>
      </c>
      <c r="BU6" s="22" t="str">
        <f>Timeline!BN14</f>
        <v>79/80</v>
      </c>
      <c r="BV6" s="22" t="str">
        <f>Timeline!BO14</f>
        <v>80/81</v>
      </c>
      <c r="BW6" s="22" t="str">
        <f>Timeline!BP14</f>
        <v>81/82</v>
      </c>
      <c r="BX6" s="22" t="str">
        <f>Timeline!BQ14</f>
        <v>82/83</v>
      </c>
      <c r="BY6" s="22" t="str">
        <f>Timeline!BR14</f>
        <v>83/84</v>
      </c>
      <c r="BZ6" s="22" t="str">
        <f>Timeline!BS14</f>
        <v>84/85</v>
      </c>
      <c r="CA6" s="22" t="str">
        <f>Timeline!BT14</f>
        <v>85/86</v>
      </c>
      <c r="CB6" s="22" t="str">
        <f>Timeline!BU14</f>
        <v>86/87</v>
      </c>
      <c r="CC6" s="22" t="str">
        <f>Timeline!BV14</f>
        <v>87/88</v>
      </c>
      <c r="CD6" s="22" t="str">
        <f>Timeline!BW14</f>
        <v>88/89</v>
      </c>
      <c r="CE6" s="22" t="str">
        <f>Timeline!BX14</f>
        <v>89/90</v>
      </c>
      <c r="CF6" s="22" t="str">
        <f>Timeline!BY14</f>
        <v>90/91</v>
      </c>
      <c r="CG6" s="22" t="str">
        <f>Timeline!BZ14</f>
        <v>91/92</v>
      </c>
      <c r="CH6" s="22" t="str">
        <f>Timeline!CA14</f>
        <v>92/93</v>
      </c>
      <c r="CI6" s="22" t="str">
        <f>Timeline!CB14</f>
        <v>93/94</v>
      </c>
      <c r="CJ6" s="22" t="str">
        <f>Timeline!CC14</f>
        <v>94/95</v>
      </c>
      <c r="CK6" s="22" t="str">
        <f>Timeline!CD14</f>
        <v>95/96</v>
      </c>
      <c r="CL6" s="22" t="str">
        <f>Timeline!CE14</f>
        <v>96/97</v>
      </c>
      <c r="CM6" s="22" t="str">
        <f>Timeline!CF14</f>
        <v>97/98</v>
      </c>
      <c r="CN6" s="22" t="str">
        <f>Timeline!CG14</f>
        <v>98/99</v>
      </c>
      <c r="CO6" s="22" t="str">
        <f>Timeline!CH14</f>
        <v>99/00</v>
      </c>
      <c r="CP6" s="22" t="str">
        <f>Timeline!CI14</f>
        <v>00/01</v>
      </c>
      <c r="CQ6" s="22" t="str">
        <f>Timeline!CJ14</f>
        <v>01/02</v>
      </c>
      <c r="CR6" s="22" t="str">
        <f>Timeline!CK14</f>
        <v>02/03</v>
      </c>
      <c r="CS6" s="22" t="str">
        <f>Timeline!CL14</f>
        <v>03/04</v>
      </c>
      <c r="CT6" s="22" t="str">
        <f>Timeline!CM14</f>
        <v>04/05</v>
      </c>
      <c r="CU6" s="22" t="str">
        <f>Timeline!CN14</f>
        <v>05/06</v>
      </c>
      <c r="CV6" s="22" t="str">
        <f>Timeline!CO14</f>
        <v>06/07</v>
      </c>
      <c r="CW6" s="22" t="str">
        <f>Timeline!CP14</f>
        <v>07/08</v>
      </c>
      <c r="CX6" s="22" t="str">
        <f>Timeline!CQ14</f>
        <v>08/09</v>
      </c>
    </row>
    <row r="7" spans="1:105" x14ac:dyDescent="0.3">
      <c r="M7" s="21">
        <f>Timeline!F15</f>
        <v>43556</v>
      </c>
      <c r="N7" s="21">
        <f>Timeline!G15</f>
        <v>43922</v>
      </c>
      <c r="O7" s="21">
        <f>Timeline!H15</f>
        <v>44287</v>
      </c>
      <c r="P7" s="21">
        <f>Timeline!I15</f>
        <v>44652</v>
      </c>
      <c r="Q7" s="21">
        <f>Timeline!J15</f>
        <v>45017</v>
      </c>
      <c r="R7" s="21">
        <f>Timeline!K15</f>
        <v>45383</v>
      </c>
      <c r="S7" s="21">
        <f>Timeline!L15</f>
        <v>45748</v>
      </c>
      <c r="T7" s="21">
        <f>Timeline!M15</f>
        <v>46113</v>
      </c>
      <c r="U7" s="21">
        <f>Timeline!N15</f>
        <v>46478</v>
      </c>
      <c r="V7" s="21">
        <f>Timeline!O15</f>
        <v>46844</v>
      </c>
      <c r="W7" s="21">
        <f>Timeline!P15</f>
        <v>47209</v>
      </c>
      <c r="X7" s="21">
        <f>Timeline!Q15</f>
        <v>47574</v>
      </c>
      <c r="Y7" s="21">
        <f>Timeline!R15</f>
        <v>47939</v>
      </c>
      <c r="Z7" s="21">
        <f>Timeline!S15</f>
        <v>48305</v>
      </c>
      <c r="AA7" s="21">
        <f>Timeline!T15</f>
        <v>48670</v>
      </c>
      <c r="AB7" s="21">
        <f>Timeline!U15</f>
        <v>49035</v>
      </c>
      <c r="AC7" s="21">
        <f>Timeline!V15</f>
        <v>49400</v>
      </c>
      <c r="AD7" s="21">
        <f>Timeline!W15</f>
        <v>49766</v>
      </c>
      <c r="AE7" s="21">
        <f>Timeline!X15</f>
        <v>50131</v>
      </c>
      <c r="AF7" s="21">
        <f>Timeline!Y15</f>
        <v>50496</v>
      </c>
      <c r="AG7" s="21">
        <f>Timeline!Z15</f>
        <v>50861</v>
      </c>
      <c r="AH7" s="21">
        <f>Timeline!AA15</f>
        <v>51227</v>
      </c>
      <c r="AI7" s="21">
        <f>Timeline!AB15</f>
        <v>51592</v>
      </c>
      <c r="AJ7" s="21">
        <f>Timeline!AC15</f>
        <v>51957</v>
      </c>
      <c r="AK7" s="21">
        <f>Timeline!AD15</f>
        <v>52322</v>
      </c>
      <c r="AL7" s="21">
        <f>Timeline!AE15</f>
        <v>52688</v>
      </c>
      <c r="AM7" s="21">
        <f>Timeline!AF15</f>
        <v>53053</v>
      </c>
      <c r="AN7" s="21">
        <f>Timeline!AG15</f>
        <v>53418</v>
      </c>
      <c r="AO7" s="21">
        <f>Timeline!AH15</f>
        <v>53783</v>
      </c>
      <c r="AP7" s="21">
        <f>Timeline!AI15</f>
        <v>54149</v>
      </c>
      <c r="AQ7" s="21">
        <f>Timeline!AJ15</f>
        <v>54514</v>
      </c>
      <c r="AR7" s="21">
        <f>Timeline!AK15</f>
        <v>54879</v>
      </c>
      <c r="AS7" s="21">
        <f>Timeline!AL15</f>
        <v>55244</v>
      </c>
      <c r="AT7" s="21">
        <f>Timeline!AM15</f>
        <v>55610</v>
      </c>
      <c r="AU7" s="21">
        <f>Timeline!AN15</f>
        <v>55975</v>
      </c>
      <c r="AV7" s="21">
        <f>Timeline!AO15</f>
        <v>56340</v>
      </c>
      <c r="AW7" s="21">
        <f>Timeline!AP15</f>
        <v>56705</v>
      </c>
      <c r="AX7" s="21">
        <f>Timeline!AQ15</f>
        <v>57071</v>
      </c>
      <c r="AY7" s="21">
        <f>Timeline!AR15</f>
        <v>57436</v>
      </c>
      <c r="AZ7" s="21">
        <f>Timeline!AS15</f>
        <v>57801</v>
      </c>
      <c r="BA7" s="21">
        <f>Timeline!AT15</f>
        <v>58166</v>
      </c>
      <c r="BB7" s="21">
        <f>Timeline!AU15</f>
        <v>58532</v>
      </c>
      <c r="BC7" s="21">
        <f>Timeline!AV15</f>
        <v>58897</v>
      </c>
      <c r="BD7" s="21">
        <f>Timeline!AW15</f>
        <v>59262</v>
      </c>
      <c r="BE7" s="21">
        <f>Timeline!AX15</f>
        <v>59627</v>
      </c>
      <c r="BF7" s="21">
        <f>Timeline!AY15</f>
        <v>59993</v>
      </c>
      <c r="BG7" s="21">
        <f>Timeline!AZ15</f>
        <v>60358</v>
      </c>
      <c r="BH7" s="21">
        <f>Timeline!BA15</f>
        <v>60723</v>
      </c>
      <c r="BI7" s="21">
        <f>Timeline!BB15</f>
        <v>61088</v>
      </c>
      <c r="BJ7" s="21">
        <f>Timeline!BC15</f>
        <v>61454</v>
      </c>
      <c r="BK7" s="21">
        <f>Timeline!BD15</f>
        <v>61819</v>
      </c>
      <c r="BL7" s="21">
        <f>Timeline!BE15</f>
        <v>62184</v>
      </c>
      <c r="BM7" s="21">
        <f>Timeline!BF15</f>
        <v>62549</v>
      </c>
      <c r="BN7" s="21">
        <f>Timeline!BG15</f>
        <v>62915</v>
      </c>
      <c r="BO7" s="21">
        <f>Timeline!BH15</f>
        <v>63280</v>
      </c>
      <c r="BP7" s="21">
        <f>Timeline!BI15</f>
        <v>63645</v>
      </c>
      <c r="BQ7" s="21">
        <f>Timeline!BJ15</f>
        <v>64010</v>
      </c>
      <c r="BR7" s="21">
        <f>Timeline!BK15</f>
        <v>64376</v>
      </c>
      <c r="BS7" s="21">
        <f>Timeline!BL15</f>
        <v>64741</v>
      </c>
      <c r="BT7" s="21">
        <f>Timeline!BM15</f>
        <v>65106</v>
      </c>
      <c r="BU7" s="21">
        <f>Timeline!BN15</f>
        <v>65471</v>
      </c>
      <c r="BV7" s="21">
        <f>Timeline!BO15</f>
        <v>65837</v>
      </c>
      <c r="BW7" s="21">
        <f>Timeline!BP15</f>
        <v>66202</v>
      </c>
      <c r="BX7" s="21">
        <f>Timeline!BQ15</f>
        <v>66567</v>
      </c>
      <c r="BY7" s="21">
        <f>Timeline!BR15</f>
        <v>66932</v>
      </c>
      <c r="BZ7" s="21">
        <f>Timeline!BS15</f>
        <v>67298</v>
      </c>
      <c r="CA7" s="21">
        <f>Timeline!BT15</f>
        <v>67663</v>
      </c>
      <c r="CB7" s="21">
        <f>Timeline!BU15</f>
        <v>68028</v>
      </c>
      <c r="CC7" s="21">
        <f>Timeline!BV15</f>
        <v>68393</v>
      </c>
      <c r="CD7" s="21">
        <f>Timeline!BW15</f>
        <v>68759</v>
      </c>
      <c r="CE7" s="21">
        <f>Timeline!BX15</f>
        <v>69124</v>
      </c>
      <c r="CF7" s="21">
        <f>Timeline!BY15</f>
        <v>69489</v>
      </c>
      <c r="CG7" s="21">
        <f>Timeline!BZ15</f>
        <v>69854</v>
      </c>
      <c r="CH7" s="21">
        <f>Timeline!CA15</f>
        <v>70220</v>
      </c>
      <c r="CI7" s="21">
        <f>Timeline!CB15</f>
        <v>70585</v>
      </c>
      <c r="CJ7" s="21">
        <f>Timeline!CC15</f>
        <v>70950</v>
      </c>
      <c r="CK7" s="21">
        <f>Timeline!CD15</f>
        <v>71315</v>
      </c>
      <c r="CL7" s="21">
        <f>Timeline!CE15</f>
        <v>71681</v>
      </c>
      <c r="CM7" s="21">
        <f>Timeline!CF15</f>
        <v>72046</v>
      </c>
      <c r="CN7" s="21">
        <f>Timeline!CG15</f>
        <v>72411</v>
      </c>
      <c r="CO7" s="21">
        <f>Timeline!CH15</f>
        <v>72776</v>
      </c>
      <c r="CP7" s="21">
        <f>Timeline!CI15</f>
        <v>73141</v>
      </c>
      <c r="CQ7" s="21">
        <f>Timeline!CJ15</f>
        <v>73506</v>
      </c>
      <c r="CR7" s="21">
        <f>Timeline!CK15</f>
        <v>73871</v>
      </c>
      <c r="CS7" s="21">
        <f>Timeline!CL15</f>
        <v>74236</v>
      </c>
      <c r="CT7" s="21">
        <f>Timeline!CM15</f>
        <v>74602</v>
      </c>
      <c r="CU7" s="21">
        <f>Timeline!CN15</f>
        <v>74967</v>
      </c>
      <c r="CV7" s="21">
        <f>Timeline!CO15</f>
        <v>75332</v>
      </c>
      <c r="CW7" s="21">
        <f>Timeline!CP15</f>
        <v>75697</v>
      </c>
      <c r="CX7" s="21">
        <f>Timeline!CQ15</f>
        <v>76063</v>
      </c>
    </row>
    <row r="8" spans="1:105" x14ac:dyDescent="0.3">
      <c r="C8" s="11" t="s">
        <v>22</v>
      </c>
      <c r="D8" s="11" t="s">
        <v>5</v>
      </c>
      <c r="E8" s="11" t="s">
        <v>24</v>
      </c>
      <c r="M8" s="21">
        <f>Timeline!F16</f>
        <v>43921</v>
      </c>
      <c r="N8" s="21">
        <f>Timeline!G16</f>
        <v>44286</v>
      </c>
      <c r="O8" s="21">
        <f>Timeline!H16</f>
        <v>44651</v>
      </c>
      <c r="P8" s="21">
        <f>Timeline!I16</f>
        <v>45016</v>
      </c>
      <c r="Q8" s="21">
        <f>Timeline!J16</f>
        <v>45382</v>
      </c>
      <c r="R8" s="21">
        <f>Timeline!K16</f>
        <v>45747</v>
      </c>
      <c r="S8" s="21">
        <f>Timeline!L16</f>
        <v>46112</v>
      </c>
      <c r="T8" s="21">
        <f>Timeline!M16</f>
        <v>46477</v>
      </c>
      <c r="U8" s="21">
        <f>Timeline!N16</f>
        <v>46843</v>
      </c>
      <c r="V8" s="21">
        <f>Timeline!O16</f>
        <v>47208</v>
      </c>
      <c r="W8" s="21">
        <f>Timeline!P16</f>
        <v>47573</v>
      </c>
      <c r="X8" s="21">
        <f>Timeline!Q16</f>
        <v>47938</v>
      </c>
      <c r="Y8" s="21">
        <f>Timeline!R16</f>
        <v>48304</v>
      </c>
      <c r="Z8" s="21">
        <f>Timeline!S16</f>
        <v>48669</v>
      </c>
      <c r="AA8" s="21">
        <f>Timeline!T16</f>
        <v>49034</v>
      </c>
      <c r="AB8" s="21">
        <f>Timeline!U16</f>
        <v>49399</v>
      </c>
      <c r="AC8" s="21">
        <f>Timeline!V16</f>
        <v>49765</v>
      </c>
      <c r="AD8" s="21">
        <f>Timeline!W16</f>
        <v>50130</v>
      </c>
      <c r="AE8" s="21">
        <f>Timeline!X16</f>
        <v>50495</v>
      </c>
      <c r="AF8" s="21">
        <f>Timeline!Y16</f>
        <v>50860</v>
      </c>
      <c r="AG8" s="21">
        <f>Timeline!Z16</f>
        <v>51226</v>
      </c>
      <c r="AH8" s="21">
        <f>Timeline!AA16</f>
        <v>51591</v>
      </c>
      <c r="AI8" s="21">
        <f>Timeline!AB16</f>
        <v>51956</v>
      </c>
      <c r="AJ8" s="21">
        <f>Timeline!AC16</f>
        <v>52321</v>
      </c>
      <c r="AK8" s="21">
        <f>Timeline!AD16</f>
        <v>52687</v>
      </c>
      <c r="AL8" s="21">
        <f>Timeline!AE16</f>
        <v>53052</v>
      </c>
      <c r="AM8" s="21">
        <f>Timeline!AF16</f>
        <v>53417</v>
      </c>
      <c r="AN8" s="21">
        <f>Timeline!AG16</f>
        <v>53782</v>
      </c>
      <c r="AO8" s="21">
        <f>Timeline!AH16</f>
        <v>54148</v>
      </c>
      <c r="AP8" s="21">
        <f>Timeline!AI16</f>
        <v>54513</v>
      </c>
      <c r="AQ8" s="21">
        <f>Timeline!AJ16</f>
        <v>54878</v>
      </c>
      <c r="AR8" s="21">
        <f>Timeline!AK16</f>
        <v>55243</v>
      </c>
      <c r="AS8" s="21">
        <f>Timeline!AL16</f>
        <v>55609</v>
      </c>
      <c r="AT8" s="21">
        <f>Timeline!AM16</f>
        <v>55974</v>
      </c>
      <c r="AU8" s="21">
        <f>Timeline!AN16</f>
        <v>56339</v>
      </c>
      <c r="AV8" s="21">
        <f>Timeline!AO16</f>
        <v>56704</v>
      </c>
      <c r="AW8" s="21">
        <f>Timeline!AP16</f>
        <v>57070</v>
      </c>
      <c r="AX8" s="21">
        <f>Timeline!AQ16</f>
        <v>57435</v>
      </c>
      <c r="AY8" s="21">
        <f>Timeline!AR16</f>
        <v>57800</v>
      </c>
      <c r="AZ8" s="21">
        <f>Timeline!AS16</f>
        <v>58165</v>
      </c>
      <c r="BA8" s="21">
        <f>Timeline!AT16</f>
        <v>58531</v>
      </c>
      <c r="BB8" s="21">
        <f>Timeline!AU16</f>
        <v>58896</v>
      </c>
      <c r="BC8" s="21">
        <f>Timeline!AV16</f>
        <v>59261</v>
      </c>
      <c r="BD8" s="21">
        <f>Timeline!AW16</f>
        <v>59626</v>
      </c>
      <c r="BE8" s="21">
        <f>Timeline!AX16</f>
        <v>59992</v>
      </c>
      <c r="BF8" s="21">
        <f>Timeline!AY16</f>
        <v>60357</v>
      </c>
      <c r="BG8" s="21">
        <f>Timeline!AZ16</f>
        <v>60722</v>
      </c>
      <c r="BH8" s="21">
        <f>Timeline!BA16</f>
        <v>61087</v>
      </c>
      <c r="BI8" s="21">
        <f>Timeline!BB16</f>
        <v>61453</v>
      </c>
      <c r="BJ8" s="21">
        <f>Timeline!BC16</f>
        <v>61818</v>
      </c>
      <c r="BK8" s="21">
        <f>Timeline!BD16</f>
        <v>62183</v>
      </c>
      <c r="BL8" s="21">
        <f>Timeline!BE16</f>
        <v>62548</v>
      </c>
      <c r="BM8" s="21">
        <f>Timeline!BF16</f>
        <v>62914</v>
      </c>
      <c r="BN8" s="21">
        <f>Timeline!BG16</f>
        <v>63279</v>
      </c>
      <c r="BO8" s="21">
        <f>Timeline!BH16</f>
        <v>63644</v>
      </c>
      <c r="BP8" s="21">
        <f>Timeline!BI16</f>
        <v>64009</v>
      </c>
      <c r="BQ8" s="21">
        <f>Timeline!BJ16</f>
        <v>64375</v>
      </c>
      <c r="BR8" s="21">
        <f>Timeline!BK16</f>
        <v>64740</v>
      </c>
      <c r="BS8" s="21">
        <f>Timeline!BL16</f>
        <v>65105</v>
      </c>
      <c r="BT8" s="21">
        <f>Timeline!BM16</f>
        <v>65470</v>
      </c>
      <c r="BU8" s="21">
        <f>Timeline!BN16</f>
        <v>65836</v>
      </c>
      <c r="BV8" s="21">
        <f>Timeline!BO16</f>
        <v>66201</v>
      </c>
      <c r="BW8" s="21">
        <f>Timeline!BP16</f>
        <v>66566</v>
      </c>
      <c r="BX8" s="21">
        <f>Timeline!BQ16</f>
        <v>66931</v>
      </c>
      <c r="BY8" s="21">
        <f>Timeline!BR16</f>
        <v>67297</v>
      </c>
      <c r="BZ8" s="21">
        <f>Timeline!BS16</f>
        <v>67662</v>
      </c>
      <c r="CA8" s="21">
        <f>Timeline!BT16</f>
        <v>68027</v>
      </c>
      <c r="CB8" s="21">
        <f>Timeline!BU16</f>
        <v>68392</v>
      </c>
      <c r="CC8" s="21">
        <f>Timeline!BV16</f>
        <v>68758</v>
      </c>
      <c r="CD8" s="21">
        <f>Timeline!BW16</f>
        <v>69123</v>
      </c>
      <c r="CE8" s="21">
        <f>Timeline!BX16</f>
        <v>69488</v>
      </c>
      <c r="CF8" s="21">
        <f>Timeline!BY16</f>
        <v>69853</v>
      </c>
      <c r="CG8" s="21">
        <f>Timeline!BZ16</f>
        <v>70219</v>
      </c>
      <c r="CH8" s="21">
        <f>Timeline!CA16</f>
        <v>70584</v>
      </c>
      <c r="CI8" s="21">
        <f>Timeline!CB16</f>
        <v>70949</v>
      </c>
      <c r="CJ8" s="21">
        <f>Timeline!CC16</f>
        <v>71314</v>
      </c>
      <c r="CK8" s="21">
        <f>Timeline!CD16</f>
        <v>71680</v>
      </c>
      <c r="CL8" s="21">
        <f>Timeline!CE16</f>
        <v>72045</v>
      </c>
      <c r="CM8" s="21">
        <f>Timeline!CF16</f>
        <v>72410</v>
      </c>
      <c r="CN8" s="21">
        <f>Timeline!CG16</f>
        <v>72775</v>
      </c>
      <c r="CO8" s="21">
        <f>Timeline!CH16</f>
        <v>73140</v>
      </c>
      <c r="CP8" s="21">
        <f>Timeline!CI16</f>
        <v>73505</v>
      </c>
      <c r="CQ8" s="21">
        <f>Timeline!CJ16</f>
        <v>73870</v>
      </c>
      <c r="CR8" s="21">
        <f>Timeline!CK16</f>
        <v>74235</v>
      </c>
      <c r="CS8" s="21">
        <f>Timeline!CL16</f>
        <v>74601</v>
      </c>
      <c r="CT8" s="21">
        <f>Timeline!CM16</f>
        <v>74966</v>
      </c>
      <c r="CU8" s="21">
        <f>Timeline!CN16</f>
        <v>75331</v>
      </c>
      <c r="CV8" s="21">
        <f>Timeline!CO16</f>
        <v>75696</v>
      </c>
      <c r="CW8" s="21">
        <f>Timeline!CP16</f>
        <v>76062</v>
      </c>
      <c r="CX8" s="21">
        <f>Timeline!CQ16</f>
        <v>76427</v>
      </c>
      <c r="CZ8" s="6" t="s">
        <v>64</v>
      </c>
      <c r="DA8" s="6" t="s">
        <v>65</v>
      </c>
    </row>
    <row r="9" spans="1:105" x14ac:dyDescent="0.3">
      <c r="C9" s="4" t="str">
        <f>IF('Cost &amp; Risk Inputs'!C10="","",'Cost &amp; Risk Inputs'!C10)</f>
        <v>Test 1</v>
      </c>
      <c r="D9" s="4" t="str">
        <f>IF(C9="","",'Cost &amp; Risk Inputs'!H10)</f>
        <v>Concept</v>
      </c>
      <c r="E9" s="4" t="str">
        <f>IF(C9="","",'Cost &amp; Risk Inputs'!I10)</f>
        <v>Training</v>
      </c>
      <c r="M9" s="26">
        <f ca="1">IF($C9="","",'Outturn ex VAT'!M9*'Global Constants'!F$59)</f>
        <v>0</v>
      </c>
      <c r="N9" s="26">
        <f ca="1">IF($C9="","",'Outturn ex VAT'!N9*'Global Constants'!G$59)</f>
        <v>0</v>
      </c>
      <c r="O9" s="26">
        <f ca="1">IF($C9="","",'Outturn ex VAT'!O9*'Global Constants'!H$59)</f>
        <v>0</v>
      </c>
      <c r="P9" s="26">
        <f ca="1">IF($C9="","",'Outturn ex VAT'!P9*'Global Constants'!I$59)</f>
        <v>0</v>
      </c>
      <c r="Q9" s="26">
        <f ca="1">IF($C9="","",'Outturn ex VAT'!Q9*'Global Constants'!J$59)</f>
        <v>0</v>
      </c>
      <c r="R9" s="26">
        <f ca="1">IF($C9="","",'Outturn ex VAT'!R9*'Global Constants'!K$59)</f>
        <v>0</v>
      </c>
      <c r="S9" s="26">
        <f ca="1">IF($C9="","",'Outturn ex VAT'!S9*'Global Constants'!L$59)</f>
        <v>0</v>
      </c>
      <c r="T9" s="26">
        <f ca="1">IF($C9="","",'Outturn ex VAT'!T9*'Global Constants'!M$59)</f>
        <v>0</v>
      </c>
      <c r="U9" s="26">
        <f ca="1">IF($C9="","",'Outturn ex VAT'!U9*'Global Constants'!N$59)</f>
        <v>0</v>
      </c>
      <c r="V9" s="26">
        <f ca="1">IF($C9="","",'Outturn ex VAT'!V9*'Global Constants'!O$59)</f>
        <v>0</v>
      </c>
      <c r="W9" s="26">
        <f ca="1">IF($C9="","",'Outturn ex VAT'!W9*'Global Constants'!P$59)</f>
        <v>0</v>
      </c>
      <c r="X9" s="26">
        <f ca="1">IF($C9="","",'Outturn ex VAT'!X9*'Global Constants'!Q$59)</f>
        <v>0</v>
      </c>
      <c r="Y9" s="26">
        <f ca="1">IF($C9="","",'Outturn ex VAT'!Y9*'Global Constants'!R$59)</f>
        <v>0</v>
      </c>
      <c r="Z9" s="26">
        <f ca="1">IF($C9="","",'Outturn ex VAT'!Z9*'Global Constants'!S$59)</f>
        <v>0</v>
      </c>
      <c r="AA9" s="26">
        <f ca="1">IF($C9="","",'Outturn ex VAT'!AA9*'Global Constants'!T$59)</f>
        <v>0</v>
      </c>
      <c r="AB9" s="26">
        <f ca="1">IF($C9="","",'Outturn ex VAT'!AB9*'Global Constants'!U$59)</f>
        <v>0</v>
      </c>
      <c r="AC9" s="26">
        <f ca="1">IF($C9="","",'Outturn ex VAT'!AC9*'Global Constants'!V$59)</f>
        <v>0</v>
      </c>
      <c r="AD9" s="26">
        <f ca="1">IF($C9="","",'Outturn ex VAT'!AD9*'Global Constants'!W$59)</f>
        <v>601.98438258716192</v>
      </c>
      <c r="AE9" s="26">
        <f ca="1">IF($C9="","",'Outturn ex VAT'!AE9*'Global Constants'!X$59)</f>
        <v>0</v>
      </c>
      <c r="AF9" s="26">
        <f ca="1">IF($C9="","",'Outturn ex VAT'!AF9*'Global Constants'!Y$59)</f>
        <v>0</v>
      </c>
      <c r="AG9" s="26">
        <f ca="1">IF($C9="","",'Outturn ex VAT'!AG9*'Global Constants'!Z$59)</f>
        <v>0</v>
      </c>
      <c r="AH9" s="26">
        <f ca="1">IF($C9="","",'Outturn ex VAT'!AH9*'Global Constants'!AA$59)</f>
        <v>0</v>
      </c>
      <c r="AI9" s="26">
        <f ca="1">IF($C9="","",'Outturn ex VAT'!AI9*'Global Constants'!AB$59)</f>
        <v>0</v>
      </c>
      <c r="AJ9" s="26">
        <f ca="1">IF($C9="","",'Outturn ex VAT'!AJ9*'Global Constants'!AC$59)</f>
        <v>0</v>
      </c>
      <c r="AK9" s="26">
        <f ca="1">IF($C9="","",'Outturn ex VAT'!AK9*'Global Constants'!AD$59)</f>
        <v>0</v>
      </c>
      <c r="AL9" s="26">
        <f ca="1">IF($C9="","",'Outturn ex VAT'!AL9*'Global Constants'!AE$59)</f>
        <v>0</v>
      </c>
      <c r="AM9" s="26">
        <f ca="1">IF($C9="","",'Outturn ex VAT'!AM9*'Global Constants'!AF$59)</f>
        <v>0</v>
      </c>
      <c r="AN9" s="26">
        <f ca="1">IF($C9="","",'Outturn ex VAT'!AN9*'Global Constants'!AG$59)</f>
        <v>0</v>
      </c>
      <c r="AO9" s="26">
        <f ca="1">IF($C9="","",'Outturn ex VAT'!AO9*'Global Constants'!AH$59)</f>
        <v>0</v>
      </c>
      <c r="AP9" s="26">
        <f ca="1">IF($C9="","",'Outturn ex VAT'!AP9*'Global Constants'!AI$59)</f>
        <v>0</v>
      </c>
      <c r="AQ9" s="26">
        <f ca="1">IF($C9="","",'Outturn ex VAT'!AQ9*'Global Constants'!AJ$59)</f>
        <v>0</v>
      </c>
      <c r="AR9" s="26">
        <f ca="1">IF($C9="","",'Outturn ex VAT'!AR9*'Global Constants'!AK$59)</f>
        <v>0</v>
      </c>
      <c r="AS9" s="26">
        <f ca="1">IF($C9="","",'Outturn ex VAT'!AS9*'Global Constants'!AL$59)</f>
        <v>0</v>
      </c>
      <c r="AT9" s="26">
        <f ca="1">IF($C9="","",'Outturn ex VAT'!AT9*'Global Constants'!AM$59)</f>
        <v>0</v>
      </c>
      <c r="AU9" s="26">
        <f ca="1">IF($C9="","",'Outturn ex VAT'!AU9*'Global Constants'!AN$59)</f>
        <v>0</v>
      </c>
      <c r="AV9" s="26">
        <f ca="1">IF($C9="","",'Outturn ex VAT'!AV9*'Global Constants'!AO$59)</f>
        <v>0</v>
      </c>
      <c r="AW9" s="26">
        <f ca="1">IF($C9="","",'Outturn ex VAT'!AW9*'Global Constants'!AP$59)</f>
        <v>0</v>
      </c>
      <c r="AX9" s="26">
        <f ca="1">IF($C9="","",'Outturn ex VAT'!AX9*'Global Constants'!AQ$59)</f>
        <v>0</v>
      </c>
      <c r="AY9" s="26">
        <f ca="1">IF($C9="","",'Outturn ex VAT'!AY9*'Global Constants'!AR$59)</f>
        <v>0</v>
      </c>
      <c r="AZ9" s="26">
        <f ca="1">IF($C9="","",'Outturn ex VAT'!AZ9*'Global Constants'!AS$59)</f>
        <v>0</v>
      </c>
      <c r="BA9" s="26">
        <f ca="1">IF($C9="","",'Outturn ex VAT'!BA9*'Global Constants'!AT$59)</f>
        <v>0</v>
      </c>
      <c r="BB9" s="26">
        <f ca="1">IF($C9="","",'Outturn ex VAT'!BB9*'Global Constants'!AU$59)</f>
        <v>0</v>
      </c>
      <c r="BC9" s="26">
        <f ca="1">IF($C9="","",'Outturn ex VAT'!BC9*'Global Constants'!AV$59)</f>
        <v>0</v>
      </c>
      <c r="BD9" s="26">
        <f ca="1">IF($C9="","",'Outturn ex VAT'!BD9*'Global Constants'!AW$59)</f>
        <v>0</v>
      </c>
      <c r="BE9" s="26">
        <f ca="1">IF($C9="","",'Outturn ex VAT'!BE9*'Global Constants'!AX$59)</f>
        <v>0</v>
      </c>
      <c r="BF9" s="26">
        <f ca="1">IF($C9="","",'Outturn ex VAT'!BF9*'Global Constants'!AY$59)</f>
        <v>0</v>
      </c>
      <c r="BG9" s="26">
        <f ca="1">IF($C9="","",'Outturn ex VAT'!BG9*'Global Constants'!AZ$59)</f>
        <v>0</v>
      </c>
      <c r="BH9" s="26">
        <f ca="1">IF($C9="","",'Outturn ex VAT'!BH9*'Global Constants'!BA$59)</f>
        <v>0</v>
      </c>
      <c r="BI9" s="26">
        <f ca="1">IF($C9="","",'Outturn ex VAT'!BI9*'Global Constants'!BB$59)</f>
        <v>0</v>
      </c>
      <c r="BJ9" s="26">
        <f ca="1">IF($C9="","",'Outturn ex VAT'!BJ9*'Global Constants'!BC$59)</f>
        <v>0</v>
      </c>
      <c r="BK9" s="26">
        <f ca="1">IF($C9="","",'Outturn ex VAT'!BK9*'Global Constants'!BD$59)</f>
        <v>0</v>
      </c>
      <c r="BL9" s="26">
        <f ca="1">IF($C9="","",'Outturn ex VAT'!BL9*'Global Constants'!BE$59)</f>
        <v>0</v>
      </c>
      <c r="BM9" s="26">
        <f ca="1">IF($C9="","",'Outturn ex VAT'!BM9*'Global Constants'!BF$59)</f>
        <v>0</v>
      </c>
      <c r="BN9" s="26">
        <f ca="1">IF($C9="","",'Outturn ex VAT'!BN9*'Global Constants'!BG$59)</f>
        <v>0</v>
      </c>
      <c r="BO9" s="26">
        <f ca="1">IF($C9="","",'Outturn ex VAT'!BO9*'Global Constants'!BH$59)</f>
        <v>0</v>
      </c>
      <c r="BP9" s="26">
        <f ca="1">IF($C9="","",'Outturn ex VAT'!BP9*'Global Constants'!BI$59)</f>
        <v>0</v>
      </c>
      <c r="BQ9" s="26">
        <f ca="1">IF($C9="","",'Outturn ex VAT'!BQ9*'Global Constants'!BJ$59)</f>
        <v>0</v>
      </c>
      <c r="BR9" s="26">
        <f ca="1">IF($C9="","",'Outturn ex VAT'!BR9*'Global Constants'!BK$59)</f>
        <v>0</v>
      </c>
      <c r="BS9" s="26">
        <f ca="1">IF($C9="","",'Outturn ex VAT'!BS9*'Global Constants'!BL$59)</f>
        <v>0</v>
      </c>
      <c r="BT9" s="26">
        <f ca="1">IF($C9="","",'Outturn ex VAT'!BT9*'Global Constants'!BM$59)</f>
        <v>0</v>
      </c>
      <c r="BU9" s="26">
        <f ca="1">IF($C9="","",'Outturn ex VAT'!BU9*'Global Constants'!BN$59)</f>
        <v>0</v>
      </c>
      <c r="BV9" s="26">
        <f ca="1">IF($C9="","",'Outturn ex VAT'!BV9*'Global Constants'!BO$59)</f>
        <v>0</v>
      </c>
      <c r="BW9" s="26">
        <f ca="1">IF($C9="","",'Outturn ex VAT'!BW9*'Global Constants'!BP$59)</f>
        <v>0</v>
      </c>
      <c r="BX9" s="26">
        <f ca="1">IF($C9="","",'Outturn ex VAT'!BX9*'Global Constants'!BQ$59)</f>
        <v>0</v>
      </c>
      <c r="BY9" s="26">
        <f ca="1">IF($C9="","",'Outturn ex VAT'!BY9*'Global Constants'!BR$59)</f>
        <v>0</v>
      </c>
      <c r="BZ9" s="26">
        <f ca="1">IF($C9="","",'Outturn ex VAT'!BZ9*'Global Constants'!BS$59)</f>
        <v>0</v>
      </c>
      <c r="CA9" s="26">
        <f ca="1">IF($C9="","",'Outturn ex VAT'!CA9*'Global Constants'!BT$59)</f>
        <v>0</v>
      </c>
      <c r="CB9" s="26">
        <f ca="1">IF($C9="","",'Outturn ex VAT'!CB9*'Global Constants'!BU$59)</f>
        <v>0</v>
      </c>
      <c r="CC9" s="26">
        <f ca="1">IF($C9="","",'Outturn ex VAT'!CC9*'Global Constants'!BV$59)</f>
        <v>0</v>
      </c>
      <c r="CD9" s="26">
        <f ca="1">IF($C9="","",'Outturn ex VAT'!CD9*'Global Constants'!BW$59)</f>
        <v>0</v>
      </c>
      <c r="CE9" s="26">
        <f ca="1">IF($C9="","",'Outturn ex VAT'!CE9*'Global Constants'!BX$59)</f>
        <v>0</v>
      </c>
      <c r="CF9" s="26">
        <f ca="1">IF($C9="","",'Outturn ex VAT'!CF9*'Global Constants'!BY$59)</f>
        <v>0</v>
      </c>
      <c r="CG9" s="26">
        <f ca="1">IF($C9="","",'Outturn ex VAT'!CG9*'Global Constants'!BZ$59)</f>
        <v>0</v>
      </c>
      <c r="CH9" s="26">
        <f ca="1">IF($C9="","",'Outturn ex VAT'!CH9*'Global Constants'!CA$59)</f>
        <v>0</v>
      </c>
      <c r="CI9" s="26">
        <f ca="1">IF($C9="","",'Outturn ex VAT'!CI9*'Global Constants'!CB$59)</f>
        <v>0</v>
      </c>
      <c r="CJ9" s="26">
        <f ca="1">IF($C9="","",'Outturn ex VAT'!CJ9*'Global Constants'!CC$59)</f>
        <v>0</v>
      </c>
      <c r="CK9" s="26">
        <f ca="1">IF($C9="","",'Outturn ex VAT'!CK9*'Global Constants'!CD$59)</f>
        <v>0</v>
      </c>
      <c r="CL9" s="26">
        <f ca="1">IF($C9="","",'Outturn ex VAT'!CL9*'Global Constants'!CE$59)</f>
        <v>0</v>
      </c>
      <c r="CM9" s="26">
        <f ca="1">IF($C9="","",'Outturn ex VAT'!CM9*'Global Constants'!CF$59)</f>
        <v>0</v>
      </c>
      <c r="CN9" s="26">
        <f ca="1">IF($C9="","",'Outturn ex VAT'!CN9*'Global Constants'!CG$59)</f>
        <v>0</v>
      </c>
      <c r="CO9" s="26">
        <f ca="1">IF($C9="","",'Outturn ex VAT'!CO9*'Global Constants'!CH$59)</f>
        <v>0</v>
      </c>
      <c r="CP9" s="26">
        <f ca="1">IF($C9="","",'Outturn ex VAT'!CP9*'Global Constants'!CI$59)</f>
        <v>0</v>
      </c>
      <c r="CQ9" s="26">
        <f ca="1">IF($C9="","",'Outturn ex VAT'!CQ9*'Global Constants'!CJ$59)</f>
        <v>0</v>
      </c>
      <c r="CR9" s="26">
        <f ca="1">IF($C9="","",'Outturn ex VAT'!CR9*'Global Constants'!CK$59)</f>
        <v>0</v>
      </c>
      <c r="CS9" s="26">
        <f ca="1">IF($C9="","",'Outturn ex VAT'!CS9*'Global Constants'!CL$59)</f>
        <v>0</v>
      </c>
      <c r="CT9" s="26">
        <f ca="1">IF($C9="","",'Outturn ex VAT'!CT9*'Global Constants'!CM$59)</f>
        <v>0</v>
      </c>
      <c r="CU9" s="26">
        <f ca="1">IF($C9="","",'Outturn ex VAT'!CU9*'Global Constants'!CN$59)</f>
        <v>0</v>
      </c>
      <c r="CV9" s="26">
        <f ca="1">IF($C9="","",'Outturn ex VAT'!CV9*'Global Constants'!CO$59)</f>
        <v>0</v>
      </c>
      <c r="CW9" s="26">
        <f ca="1">IF($C9="","",'Outturn ex VAT'!CW9*'Global Constants'!CP$59)</f>
        <v>0</v>
      </c>
      <c r="CX9" s="26">
        <f ca="1">IF($C9="","",'Outturn ex VAT'!CX9*'Global Constants'!CQ$59)</f>
        <v>0</v>
      </c>
      <c r="CZ9" s="26">
        <f t="shared" ref="CZ9:CZ38" ca="1" si="0">SUM(OFFSET(M9,0,MATCH(Model_Base,$M$6:$CX$6,0),1,10))</f>
        <v>0</v>
      </c>
      <c r="DA9" s="26">
        <f ca="1">SUM(M9:CX9)</f>
        <v>601.98438258716192</v>
      </c>
    </row>
    <row r="10" spans="1:105" x14ac:dyDescent="0.3">
      <c r="C10" s="4" t="str">
        <f>IF('Cost &amp; Risk Inputs'!C11="","",'Cost &amp; Risk Inputs'!C11)</f>
        <v>Test 2</v>
      </c>
      <c r="D10" s="4" t="str">
        <f>IF(C10="","",'Cost &amp; Risk Inputs'!H11)</f>
        <v>Assessment</v>
      </c>
      <c r="E10" s="4" t="str">
        <f>IF(C10="","",'Cost &amp; Risk Inputs'!I11)</f>
        <v>Equipment</v>
      </c>
      <c r="M10" s="26">
        <f ca="1">IF($C10="","",'Outturn ex VAT'!M10*'Global Constants'!F$59)</f>
        <v>0</v>
      </c>
      <c r="N10" s="26">
        <f ca="1">IF($C10="","",'Outturn ex VAT'!N10*'Global Constants'!G$59)</f>
        <v>0</v>
      </c>
      <c r="O10" s="26">
        <f ca="1">IF($C10="","",'Outturn ex VAT'!O10*'Global Constants'!H$59)</f>
        <v>0</v>
      </c>
      <c r="P10" s="26">
        <f ca="1">IF($C10="","",'Outturn ex VAT'!P10*'Global Constants'!I$59)</f>
        <v>0</v>
      </c>
      <c r="Q10" s="26">
        <f ca="1">IF($C10="","",'Outturn ex VAT'!Q10*'Global Constants'!J$59)</f>
        <v>0</v>
      </c>
      <c r="R10" s="26">
        <f ca="1">IF($C10="","",'Outturn ex VAT'!R10*'Global Constants'!K$59)</f>
        <v>0</v>
      </c>
      <c r="S10" s="26">
        <f ca="1">IF($C10="","",'Outturn ex VAT'!S10*'Global Constants'!L$59)</f>
        <v>0</v>
      </c>
      <c r="T10" s="26">
        <f ca="1">IF($C10="","",'Outturn ex VAT'!T10*'Global Constants'!M$59)</f>
        <v>0</v>
      </c>
      <c r="U10" s="26">
        <f ca="1">IF($C10="","",'Outturn ex VAT'!U10*'Global Constants'!N$59)</f>
        <v>0</v>
      </c>
      <c r="V10" s="26">
        <f ca="1">IF($C10="","",'Outturn ex VAT'!V10*'Global Constants'!O$59)</f>
        <v>0</v>
      </c>
      <c r="W10" s="26">
        <f ca="1">IF($C10="","",'Outturn ex VAT'!W10*'Global Constants'!P$59)</f>
        <v>0</v>
      </c>
      <c r="X10" s="26">
        <f ca="1">IF($C10="","",'Outturn ex VAT'!X10*'Global Constants'!Q$59)</f>
        <v>0</v>
      </c>
      <c r="Y10" s="26">
        <f ca="1">IF($C10="","",'Outturn ex VAT'!Y10*'Global Constants'!R$59)</f>
        <v>0</v>
      </c>
      <c r="Z10" s="26">
        <f ca="1">IF($C10="","",'Outturn ex VAT'!Z10*'Global Constants'!S$59)</f>
        <v>0</v>
      </c>
      <c r="AA10" s="26">
        <f ca="1">IF($C10="","",'Outturn ex VAT'!AA10*'Global Constants'!T$59)</f>
        <v>0</v>
      </c>
      <c r="AB10" s="26">
        <f ca="1">IF($C10="","",'Outturn ex VAT'!AB10*'Global Constants'!U$59)</f>
        <v>0</v>
      </c>
      <c r="AC10" s="26">
        <f ca="1">IF($C10="","",'Outturn ex VAT'!AC10*'Global Constants'!V$59)</f>
        <v>0</v>
      </c>
      <c r="AD10" s="26">
        <f ca="1">IF($C10="","",'Outturn ex VAT'!AD10*'Global Constants'!W$59)</f>
        <v>0</v>
      </c>
      <c r="AE10" s="26">
        <f ca="1">IF($C10="","",'Outturn ex VAT'!AE10*'Global Constants'!X$59)</f>
        <v>724.93007214111981</v>
      </c>
      <c r="AF10" s="26">
        <f ca="1">IF($C10="","",'Outturn ex VAT'!AF10*'Global Constants'!Y$59)</f>
        <v>0</v>
      </c>
      <c r="AG10" s="26">
        <f ca="1">IF($C10="","",'Outturn ex VAT'!AG10*'Global Constants'!Z$59)</f>
        <v>0</v>
      </c>
      <c r="AH10" s="26">
        <f ca="1">IF($C10="","",'Outturn ex VAT'!AH10*'Global Constants'!AA$59)</f>
        <v>0</v>
      </c>
      <c r="AI10" s="26">
        <f ca="1">IF($C10="","",'Outturn ex VAT'!AI10*'Global Constants'!AB$59)</f>
        <v>0</v>
      </c>
      <c r="AJ10" s="26">
        <f ca="1">IF($C10="","",'Outturn ex VAT'!AJ10*'Global Constants'!AC$59)</f>
        <v>0</v>
      </c>
      <c r="AK10" s="26">
        <f ca="1">IF($C10="","",'Outturn ex VAT'!AK10*'Global Constants'!AD$59)</f>
        <v>0</v>
      </c>
      <c r="AL10" s="26">
        <f ca="1">IF($C10="","",'Outturn ex VAT'!AL10*'Global Constants'!AE$59)</f>
        <v>0</v>
      </c>
      <c r="AM10" s="26">
        <f ca="1">IF($C10="","",'Outturn ex VAT'!AM10*'Global Constants'!AF$59)</f>
        <v>0</v>
      </c>
      <c r="AN10" s="26">
        <f ca="1">IF($C10="","",'Outturn ex VAT'!AN10*'Global Constants'!AG$59)</f>
        <v>0</v>
      </c>
      <c r="AO10" s="26">
        <f ca="1">IF($C10="","",'Outturn ex VAT'!AO10*'Global Constants'!AH$59)</f>
        <v>0</v>
      </c>
      <c r="AP10" s="26">
        <f ca="1">IF($C10="","",'Outturn ex VAT'!AP10*'Global Constants'!AI$59)</f>
        <v>0</v>
      </c>
      <c r="AQ10" s="26">
        <f ca="1">IF($C10="","",'Outturn ex VAT'!AQ10*'Global Constants'!AJ$59)</f>
        <v>0</v>
      </c>
      <c r="AR10" s="26">
        <f ca="1">IF($C10="","",'Outturn ex VAT'!AR10*'Global Constants'!AK$59)</f>
        <v>0</v>
      </c>
      <c r="AS10" s="26">
        <f ca="1">IF($C10="","",'Outturn ex VAT'!AS10*'Global Constants'!AL$59)</f>
        <v>0</v>
      </c>
      <c r="AT10" s="26">
        <f ca="1">IF($C10="","",'Outturn ex VAT'!AT10*'Global Constants'!AM$59)</f>
        <v>0</v>
      </c>
      <c r="AU10" s="26">
        <f ca="1">IF($C10="","",'Outturn ex VAT'!AU10*'Global Constants'!AN$59)</f>
        <v>0</v>
      </c>
      <c r="AV10" s="26">
        <f ca="1">IF($C10="","",'Outturn ex VAT'!AV10*'Global Constants'!AO$59)</f>
        <v>0</v>
      </c>
      <c r="AW10" s="26">
        <f ca="1">IF($C10="","",'Outturn ex VAT'!AW10*'Global Constants'!AP$59)</f>
        <v>0</v>
      </c>
      <c r="AX10" s="26">
        <f ca="1">IF($C10="","",'Outturn ex VAT'!AX10*'Global Constants'!AQ$59)</f>
        <v>0</v>
      </c>
      <c r="AY10" s="26">
        <f ca="1">IF($C10="","",'Outturn ex VAT'!AY10*'Global Constants'!AR$59)</f>
        <v>0</v>
      </c>
      <c r="AZ10" s="26">
        <f ca="1">IF($C10="","",'Outturn ex VAT'!AZ10*'Global Constants'!AS$59)</f>
        <v>0</v>
      </c>
      <c r="BA10" s="26">
        <f ca="1">IF($C10="","",'Outturn ex VAT'!BA10*'Global Constants'!AT$59)</f>
        <v>0</v>
      </c>
      <c r="BB10" s="26">
        <f ca="1">IF($C10="","",'Outturn ex VAT'!BB10*'Global Constants'!AU$59)</f>
        <v>0</v>
      </c>
      <c r="BC10" s="26">
        <f ca="1">IF($C10="","",'Outturn ex VAT'!BC10*'Global Constants'!AV$59)</f>
        <v>0</v>
      </c>
      <c r="BD10" s="26">
        <f ca="1">IF($C10="","",'Outturn ex VAT'!BD10*'Global Constants'!AW$59)</f>
        <v>0</v>
      </c>
      <c r="BE10" s="26">
        <f ca="1">IF($C10="","",'Outturn ex VAT'!BE10*'Global Constants'!AX$59)</f>
        <v>0</v>
      </c>
      <c r="BF10" s="26">
        <f ca="1">IF($C10="","",'Outturn ex VAT'!BF10*'Global Constants'!AY$59)</f>
        <v>0</v>
      </c>
      <c r="BG10" s="26">
        <f ca="1">IF($C10="","",'Outturn ex VAT'!BG10*'Global Constants'!AZ$59)</f>
        <v>0</v>
      </c>
      <c r="BH10" s="26">
        <f ca="1">IF($C10="","",'Outturn ex VAT'!BH10*'Global Constants'!BA$59)</f>
        <v>0</v>
      </c>
      <c r="BI10" s="26">
        <f ca="1">IF($C10="","",'Outturn ex VAT'!BI10*'Global Constants'!BB$59)</f>
        <v>0</v>
      </c>
      <c r="BJ10" s="26">
        <f ca="1">IF($C10="","",'Outturn ex VAT'!BJ10*'Global Constants'!BC$59)</f>
        <v>0</v>
      </c>
      <c r="BK10" s="26">
        <f ca="1">IF($C10="","",'Outturn ex VAT'!BK10*'Global Constants'!BD$59)</f>
        <v>0</v>
      </c>
      <c r="BL10" s="26">
        <f ca="1">IF($C10="","",'Outturn ex VAT'!BL10*'Global Constants'!BE$59)</f>
        <v>0</v>
      </c>
      <c r="BM10" s="26">
        <f ca="1">IF($C10="","",'Outturn ex VAT'!BM10*'Global Constants'!BF$59)</f>
        <v>0</v>
      </c>
      <c r="BN10" s="26">
        <f ca="1">IF($C10="","",'Outturn ex VAT'!BN10*'Global Constants'!BG$59)</f>
        <v>0</v>
      </c>
      <c r="BO10" s="26">
        <f ca="1">IF($C10="","",'Outturn ex VAT'!BO10*'Global Constants'!BH$59)</f>
        <v>0</v>
      </c>
      <c r="BP10" s="26">
        <f ca="1">IF($C10="","",'Outturn ex VAT'!BP10*'Global Constants'!BI$59)</f>
        <v>0</v>
      </c>
      <c r="BQ10" s="26">
        <f ca="1">IF($C10="","",'Outturn ex VAT'!BQ10*'Global Constants'!BJ$59)</f>
        <v>0</v>
      </c>
      <c r="BR10" s="26">
        <f ca="1">IF($C10="","",'Outturn ex VAT'!BR10*'Global Constants'!BK$59)</f>
        <v>0</v>
      </c>
      <c r="BS10" s="26">
        <f ca="1">IF($C10="","",'Outturn ex VAT'!BS10*'Global Constants'!BL$59)</f>
        <v>0</v>
      </c>
      <c r="BT10" s="26">
        <f ca="1">IF($C10="","",'Outturn ex VAT'!BT10*'Global Constants'!BM$59)</f>
        <v>0</v>
      </c>
      <c r="BU10" s="26">
        <f ca="1">IF($C10="","",'Outturn ex VAT'!BU10*'Global Constants'!BN$59)</f>
        <v>0</v>
      </c>
      <c r="BV10" s="26">
        <f ca="1">IF($C10="","",'Outturn ex VAT'!BV10*'Global Constants'!BO$59)</f>
        <v>0</v>
      </c>
      <c r="BW10" s="26">
        <f ca="1">IF($C10="","",'Outturn ex VAT'!BW10*'Global Constants'!BP$59)</f>
        <v>0</v>
      </c>
      <c r="BX10" s="26">
        <f ca="1">IF($C10="","",'Outturn ex VAT'!BX10*'Global Constants'!BQ$59)</f>
        <v>0</v>
      </c>
      <c r="BY10" s="26">
        <f ca="1">IF($C10="","",'Outturn ex VAT'!BY10*'Global Constants'!BR$59)</f>
        <v>0</v>
      </c>
      <c r="BZ10" s="26">
        <f ca="1">IF($C10="","",'Outturn ex VAT'!BZ10*'Global Constants'!BS$59)</f>
        <v>0</v>
      </c>
      <c r="CA10" s="26">
        <f ca="1">IF($C10="","",'Outturn ex VAT'!CA10*'Global Constants'!BT$59)</f>
        <v>0</v>
      </c>
      <c r="CB10" s="26">
        <f ca="1">IF($C10="","",'Outturn ex VAT'!CB10*'Global Constants'!BU$59)</f>
        <v>0</v>
      </c>
      <c r="CC10" s="26">
        <f ca="1">IF($C10="","",'Outturn ex VAT'!CC10*'Global Constants'!BV$59)</f>
        <v>0</v>
      </c>
      <c r="CD10" s="26">
        <f ca="1">IF($C10="","",'Outturn ex VAT'!CD10*'Global Constants'!BW$59)</f>
        <v>0</v>
      </c>
      <c r="CE10" s="26">
        <f ca="1">IF($C10="","",'Outturn ex VAT'!CE10*'Global Constants'!BX$59)</f>
        <v>0</v>
      </c>
      <c r="CF10" s="26">
        <f ca="1">IF($C10="","",'Outturn ex VAT'!CF10*'Global Constants'!BY$59)</f>
        <v>0</v>
      </c>
      <c r="CG10" s="26">
        <f ca="1">IF($C10="","",'Outturn ex VAT'!CG10*'Global Constants'!BZ$59)</f>
        <v>0</v>
      </c>
      <c r="CH10" s="26">
        <f ca="1">IF($C10="","",'Outturn ex VAT'!CH10*'Global Constants'!CA$59)</f>
        <v>0</v>
      </c>
      <c r="CI10" s="26">
        <f ca="1">IF($C10="","",'Outturn ex VAT'!CI10*'Global Constants'!CB$59)</f>
        <v>0</v>
      </c>
      <c r="CJ10" s="26">
        <f ca="1">IF($C10="","",'Outturn ex VAT'!CJ10*'Global Constants'!CC$59)</f>
        <v>0</v>
      </c>
      <c r="CK10" s="26">
        <f ca="1">IF($C10="","",'Outturn ex VAT'!CK10*'Global Constants'!CD$59)</f>
        <v>0</v>
      </c>
      <c r="CL10" s="26">
        <f ca="1">IF($C10="","",'Outturn ex VAT'!CL10*'Global Constants'!CE$59)</f>
        <v>0</v>
      </c>
      <c r="CM10" s="26">
        <f ca="1">IF($C10="","",'Outturn ex VAT'!CM10*'Global Constants'!CF$59)</f>
        <v>0</v>
      </c>
      <c r="CN10" s="26">
        <f ca="1">IF($C10="","",'Outturn ex VAT'!CN10*'Global Constants'!CG$59)</f>
        <v>0</v>
      </c>
      <c r="CO10" s="26">
        <f ca="1">IF($C10="","",'Outturn ex VAT'!CO10*'Global Constants'!CH$59)</f>
        <v>0</v>
      </c>
      <c r="CP10" s="26">
        <f ca="1">IF($C10="","",'Outturn ex VAT'!CP10*'Global Constants'!CI$59)</f>
        <v>0</v>
      </c>
      <c r="CQ10" s="26">
        <f ca="1">IF($C10="","",'Outturn ex VAT'!CQ10*'Global Constants'!CJ$59)</f>
        <v>0</v>
      </c>
      <c r="CR10" s="26">
        <f ca="1">IF($C10="","",'Outturn ex VAT'!CR10*'Global Constants'!CK$59)</f>
        <v>0</v>
      </c>
      <c r="CS10" s="26">
        <f ca="1">IF($C10="","",'Outturn ex VAT'!CS10*'Global Constants'!CL$59)</f>
        <v>0</v>
      </c>
      <c r="CT10" s="26">
        <f ca="1">IF($C10="","",'Outturn ex VAT'!CT10*'Global Constants'!CM$59)</f>
        <v>0</v>
      </c>
      <c r="CU10" s="26">
        <f ca="1">IF($C10="","",'Outturn ex VAT'!CU10*'Global Constants'!CN$59)</f>
        <v>0</v>
      </c>
      <c r="CV10" s="26">
        <f ca="1">IF($C10="","",'Outturn ex VAT'!CV10*'Global Constants'!CO$59)</f>
        <v>0</v>
      </c>
      <c r="CW10" s="26">
        <f ca="1">IF($C10="","",'Outturn ex VAT'!CW10*'Global Constants'!CP$59)</f>
        <v>0</v>
      </c>
      <c r="CX10" s="26">
        <f ca="1">IF($C10="","",'Outturn ex VAT'!CX10*'Global Constants'!CQ$59)</f>
        <v>0</v>
      </c>
      <c r="CZ10" s="26">
        <f t="shared" ca="1" si="0"/>
        <v>0</v>
      </c>
      <c r="DA10" s="26">
        <f t="shared" ref="DA10:DA38" ca="1" si="1">SUM(M10:CX10)</f>
        <v>724.93007214111981</v>
      </c>
    </row>
    <row r="11" spans="1:105" x14ac:dyDescent="0.3">
      <c r="C11" s="4" t="str">
        <f>IF('Cost &amp; Risk Inputs'!C12="","",'Cost &amp; Risk Inputs'!C12)</f>
        <v>Test 3</v>
      </c>
      <c r="D11" s="4" t="str">
        <f>IF(C11="","",'Cost &amp; Risk Inputs'!H12)</f>
        <v>Design</v>
      </c>
      <c r="E11" s="4" t="str">
        <f>IF(C11="","",'Cost &amp; Risk Inputs'!I12)</f>
        <v>Personnel</v>
      </c>
      <c r="M11" s="26">
        <f ca="1">IF($C11="","",'Outturn ex VAT'!M11*'Global Constants'!F$59)</f>
        <v>0</v>
      </c>
      <c r="N11" s="26">
        <f ca="1">IF($C11="","",'Outturn ex VAT'!N11*'Global Constants'!G$59)</f>
        <v>0</v>
      </c>
      <c r="O11" s="26">
        <f ca="1">IF($C11="","",'Outturn ex VAT'!O11*'Global Constants'!H$59)</f>
        <v>0</v>
      </c>
      <c r="P11" s="26">
        <f ca="1">IF($C11="","",'Outturn ex VAT'!P11*'Global Constants'!I$59)</f>
        <v>0</v>
      </c>
      <c r="Q11" s="26">
        <f ca="1">IF($C11="","",'Outturn ex VAT'!Q11*'Global Constants'!J$59)</f>
        <v>0</v>
      </c>
      <c r="R11" s="26">
        <f ca="1">IF($C11="","",'Outturn ex VAT'!R11*'Global Constants'!K$59)</f>
        <v>0</v>
      </c>
      <c r="S11" s="26">
        <f ca="1">IF($C11="","",'Outturn ex VAT'!S11*'Global Constants'!L$59)</f>
        <v>0</v>
      </c>
      <c r="T11" s="26">
        <f ca="1">IF($C11="","",'Outturn ex VAT'!T11*'Global Constants'!M$59)</f>
        <v>0</v>
      </c>
      <c r="U11" s="26">
        <f ca="1">IF($C11="","",'Outturn ex VAT'!U11*'Global Constants'!N$59)</f>
        <v>0</v>
      </c>
      <c r="V11" s="26">
        <f ca="1">IF($C11="","",'Outturn ex VAT'!V11*'Global Constants'!O$59)</f>
        <v>0</v>
      </c>
      <c r="W11" s="26">
        <f ca="1">IF($C11="","",'Outturn ex VAT'!W11*'Global Constants'!P$59)</f>
        <v>0</v>
      </c>
      <c r="X11" s="26">
        <f ca="1">IF($C11="","",'Outturn ex VAT'!X11*'Global Constants'!Q$59)</f>
        <v>0</v>
      </c>
      <c r="Y11" s="26">
        <f ca="1">IF($C11="","",'Outturn ex VAT'!Y11*'Global Constants'!R$59)</f>
        <v>0</v>
      </c>
      <c r="Z11" s="26">
        <f ca="1">IF($C11="","",'Outturn ex VAT'!Z11*'Global Constants'!S$59)</f>
        <v>0</v>
      </c>
      <c r="AA11" s="26">
        <f ca="1">IF($C11="","",'Outturn ex VAT'!AA11*'Global Constants'!T$59)</f>
        <v>0</v>
      </c>
      <c r="AB11" s="26">
        <f ca="1">IF($C11="","",'Outturn ex VAT'!AB11*'Global Constants'!U$59)</f>
        <v>0</v>
      </c>
      <c r="AC11" s="26">
        <f ca="1">IF($C11="","",'Outturn ex VAT'!AC11*'Global Constants'!V$59)</f>
        <v>0</v>
      </c>
      <c r="AD11" s="26">
        <f ca="1">IF($C11="","",'Outturn ex VAT'!AD11*'Global Constants'!W$59)</f>
        <v>0</v>
      </c>
      <c r="AE11" s="26">
        <f ca="1">IF($C11="","",'Outturn ex VAT'!AE11*'Global Constants'!X$59)</f>
        <v>0</v>
      </c>
      <c r="AF11" s="26">
        <f ca="1">IF($C11="","",'Outturn ex VAT'!AF11*'Global Constants'!Y$59)</f>
        <v>684.66816093720752</v>
      </c>
      <c r="AG11" s="26">
        <f ca="1">IF($C11="","",'Outturn ex VAT'!AG11*'Global Constants'!Z$59)</f>
        <v>0</v>
      </c>
      <c r="AH11" s="26">
        <f ca="1">IF($C11="","",'Outturn ex VAT'!AH11*'Global Constants'!AA$59)</f>
        <v>0</v>
      </c>
      <c r="AI11" s="26">
        <f ca="1">IF($C11="","",'Outturn ex VAT'!AI11*'Global Constants'!AB$59)</f>
        <v>0</v>
      </c>
      <c r="AJ11" s="26">
        <f ca="1">IF($C11="","",'Outturn ex VAT'!AJ11*'Global Constants'!AC$59)</f>
        <v>0</v>
      </c>
      <c r="AK11" s="26">
        <f ca="1">IF($C11="","",'Outturn ex VAT'!AK11*'Global Constants'!AD$59)</f>
        <v>0</v>
      </c>
      <c r="AL11" s="26">
        <f ca="1">IF($C11="","",'Outturn ex VAT'!AL11*'Global Constants'!AE$59)</f>
        <v>0</v>
      </c>
      <c r="AM11" s="26">
        <f ca="1">IF($C11="","",'Outturn ex VAT'!AM11*'Global Constants'!AF$59)</f>
        <v>0</v>
      </c>
      <c r="AN11" s="26">
        <f ca="1">IF($C11="","",'Outturn ex VAT'!AN11*'Global Constants'!AG$59)</f>
        <v>0</v>
      </c>
      <c r="AO11" s="26">
        <f ca="1">IF($C11="","",'Outturn ex VAT'!AO11*'Global Constants'!AH$59)</f>
        <v>0</v>
      </c>
      <c r="AP11" s="26">
        <f ca="1">IF($C11="","",'Outturn ex VAT'!AP11*'Global Constants'!AI$59)</f>
        <v>0</v>
      </c>
      <c r="AQ11" s="26">
        <f ca="1">IF($C11="","",'Outturn ex VAT'!AQ11*'Global Constants'!AJ$59)</f>
        <v>0</v>
      </c>
      <c r="AR11" s="26">
        <f ca="1">IF($C11="","",'Outturn ex VAT'!AR11*'Global Constants'!AK$59)</f>
        <v>0</v>
      </c>
      <c r="AS11" s="26">
        <f ca="1">IF($C11="","",'Outturn ex VAT'!AS11*'Global Constants'!AL$59)</f>
        <v>0</v>
      </c>
      <c r="AT11" s="26">
        <f ca="1">IF($C11="","",'Outturn ex VAT'!AT11*'Global Constants'!AM$59)</f>
        <v>0</v>
      </c>
      <c r="AU11" s="26">
        <f ca="1">IF($C11="","",'Outturn ex VAT'!AU11*'Global Constants'!AN$59)</f>
        <v>0</v>
      </c>
      <c r="AV11" s="26">
        <f ca="1">IF($C11="","",'Outturn ex VAT'!AV11*'Global Constants'!AO$59)</f>
        <v>0</v>
      </c>
      <c r="AW11" s="26">
        <f ca="1">IF($C11="","",'Outturn ex VAT'!AW11*'Global Constants'!AP$59)</f>
        <v>0</v>
      </c>
      <c r="AX11" s="26">
        <f ca="1">IF($C11="","",'Outturn ex VAT'!AX11*'Global Constants'!AQ$59)</f>
        <v>0</v>
      </c>
      <c r="AY11" s="26">
        <f ca="1">IF($C11="","",'Outturn ex VAT'!AY11*'Global Constants'!AR$59)</f>
        <v>0</v>
      </c>
      <c r="AZ11" s="26">
        <f ca="1">IF($C11="","",'Outturn ex VAT'!AZ11*'Global Constants'!AS$59)</f>
        <v>0</v>
      </c>
      <c r="BA11" s="26">
        <f ca="1">IF($C11="","",'Outturn ex VAT'!BA11*'Global Constants'!AT$59)</f>
        <v>0</v>
      </c>
      <c r="BB11" s="26">
        <f ca="1">IF($C11="","",'Outturn ex VAT'!BB11*'Global Constants'!AU$59)</f>
        <v>0</v>
      </c>
      <c r="BC11" s="26">
        <f ca="1">IF($C11="","",'Outturn ex VAT'!BC11*'Global Constants'!AV$59)</f>
        <v>0</v>
      </c>
      <c r="BD11" s="26">
        <f ca="1">IF($C11="","",'Outturn ex VAT'!BD11*'Global Constants'!AW$59)</f>
        <v>0</v>
      </c>
      <c r="BE11" s="26">
        <f ca="1">IF($C11="","",'Outturn ex VAT'!BE11*'Global Constants'!AX$59)</f>
        <v>0</v>
      </c>
      <c r="BF11" s="26">
        <f ca="1">IF($C11="","",'Outturn ex VAT'!BF11*'Global Constants'!AY$59)</f>
        <v>0</v>
      </c>
      <c r="BG11" s="26">
        <f ca="1">IF($C11="","",'Outturn ex VAT'!BG11*'Global Constants'!AZ$59)</f>
        <v>0</v>
      </c>
      <c r="BH11" s="26">
        <f ca="1">IF($C11="","",'Outturn ex VAT'!BH11*'Global Constants'!BA$59)</f>
        <v>0</v>
      </c>
      <c r="BI11" s="26">
        <f ca="1">IF($C11="","",'Outturn ex VAT'!BI11*'Global Constants'!BB$59)</f>
        <v>0</v>
      </c>
      <c r="BJ11" s="26">
        <f ca="1">IF($C11="","",'Outturn ex VAT'!BJ11*'Global Constants'!BC$59)</f>
        <v>0</v>
      </c>
      <c r="BK11" s="26">
        <f ca="1">IF($C11="","",'Outturn ex VAT'!BK11*'Global Constants'!BD$59)</f>
        <v>0</v>
      </c>
      <c r="BL11" s="26">
        <f ca="1">IF($C11="","",'Outturn ex VAT'!BL11*'Global Constants'!BE$59)</f>
        <v>0</v>
      </c>
      <c r="BM11" s="26">
        <f ca="1">IF($C11="","",'Outturn ex VAT'!BM11*'Global Constants'!BF$59)</f>
        <v>0</v>
      </c>
      <c r="BN11" s="26">
        <f ca="1">IF($C11="","",'Outturn ex VAT'!BN11*'Global Constants'!BG$59)</f>
        <v>0</v>
      </c>
      <c r="BO11" s="26">
        <f ca="1">IF($C11="","",'Outturn ex VAT'!BO11*'Global Constants'!BH$59)</f>
        <v>0</v>
      </c>
      <c r="BP11" s="26">
        <f ca="1">IF($C11="","",'Outturn ex VAT'!BP11*'Global Constants'!BI$59)</f>
        <v>0</v>
      </c>
      <c r="BQ11" s="26">
        <f ca="1">IF($C11="","",'Outturn ex VAT'!BQ11*'Global Constants'!BJ$59)</f>
        <v>0</v>
      </c>
      <c r="BR11" s="26">
        <f ca="1">IF($C11="","",'Outturn ex VAT'!BR11*'Global Constants'!BK$59)</f>
        <v>0</v>
      </c>
      <c r="BS11" s="26">
        <f ca="1">IF($C11="","",'Outturn ex VAT'!BS11*'Global Constants'!BL$59)</f>
        <v>0</v>
      </c>
      <c r="BT11" s="26">
        <f ca="1">IF($C11="","",'Outturn ex VAT'!BT11*'Global Constants'!BM$59)</f>
        <v>0</v>
      </c>
      <c r="BU11" s="26">
        <f ca="1">IF($C11="","",'Outturn ex VAT'!BU11*'Global Constants'!BN$59)</f>
        <v>0</v>
      </c>
      <c r="BV11" s="26">
        <f ca="1">IF($C11="","",'Outturn ex VAT'!BV11*'Global Constants'!BO$59)</f>
        <v>0</v>
      </c>
      <c r="BW11" s="26">
        <f ca="1">IF($C11="","",'Outturn ex VAT'!BW11*'Global Constants'!BP$59)</f>
        <v>0</v>
      </c>
      <c r="BX11" s="26">
        <f ca="1">IF($C11="","",'Outturn ex VAT'!BX11*'Global Constants'!BQ$59)</f>
        <v>0</v>
      </c>
      <c r="BY11" s="26">
        <f ca="1">IF($C11="","",'Outturn ex VAT'!BY11*'Global Constants'!BR$59)</f>
        <v>0</v>
      </c>
      <c r="BZ11" s="26">
        <f ca="1">IF($C11="","",'Outturn ex VAT'!BZ11*'Global Constants'!BS$59)</f>
        <v>0</v>
      </c>
      <c r="CA11" s="26">
        <f ca="1">IF($C11="","",'Outturn ex VAT'!CA11*'Global Constants'!BT$59)</f>
        <v>0</v>
      </c>
      <c r="CB11" s="26">
        <f ca="1">IF($C11="","",'Outturn ex VAT'!CB11*'Global Constants'!BU$59)</f>
        <v>0</v>
      </c>
      <c r="CC11" s="26">
        <f ca="1">IF($C11="","",'Outturn ex VAT'!CC11*'Global Constants'!BV$59)</f>
        <v>0</v>
      </c>
      <c r="CD11" s="26">
        <f ca="1">IF($C11="","",'Outturn ex VAT'!CD11*'Global Constants'!BW$59)</f>
        <v>0</v>
      </c>
      <c r="CE11" s="26">
        <f ca="1">IF($C11="","",'Outturn ex VAT'!CE11*'Global Constants'!BX$59)</f>
        <v>0</v>
      </c>
      <c r="CF11" s="26">
        <f ca="1">IF($C11="","",'Outturn ex VAT'!CF11*'Global Constants'!BY$59)</f>
        <v>0</v>
      </c>
      <c r="CG11" s="26">
        <f ca="1">IF($C11="","",'Outturn ex VAT'!CG11*'Global Constants'!BZ$59)</f>
        <v>0</v>
      </c>
      <c r="CH11" s="26">
        <f ca="1">IF($C11="","",'Outturn ex VAT'!CH11*'Global Constants'!CA$59)</f>
        <v>0</v>
      </c>
      <c r="CI11" s="26">
        <f ca="1">IF($C11="","",'Outturn ex VAT'!CI11*'Global Constants'!CB$59)</f>
        <v>0</v>
      </c>
      <c r="CJ11" s="26">
        <f ca="1">IF($C11="","",'Outturn ex VAT'!CJ11*'Global Constants'!CC$59)</f>
        <v>0</v>
      </c>
      <c r="CK11" s="26">
        <f ca="1">IF($C11="","",'Outturn ex VAT'!CK11*'Global Constants'!CD$59)</f>
        <v>0</v>
      </c>
      <c r="CL11" s="26">
        <f ca="1">IF($C11="","",'Outturn ex VAT'!CL11*'Global Constants'!CE$59)</f>
        <v>0</v>
      </c>
      <c r="CM11" s="26">
        <f ca="1">IF($C11="","",'Outturn ex VAT'!CM11*'Global Constants'!CF$59)</f>
        <v>0</v>
      </c>
      <c r="CN11" s="26">
        <f ca="1">IF($C11="","",'Outturn ex VAT'!CN11*'Global Constants'!CG$59)</f>
        <v>0</v>
      </c>
      <c r="CO11" s="26">
        <f ca="1">IF($C11="","",'Outturn ex VAT'!CO11*'Global Constants'!CH$59)</f>
        <v>0</v>
      </c>
      <c r="CP11" s="26">
        <f ca="1">IF($C11="","",'Outturn ex VAT'!CP11*'Global Constants'!CI$59)</f>
        <v>0</v>
      </c>
      <c r="CQ11" s="26">
        <f ca="1">IF($C11="","",'Outturn ex VAT'!CQ11*'Global Constants'!CJ$59)</f>
        <v>0</v>
      </c>
      <c r="CR11" s="26">
        <f ca="1">IF($C11="","",'Outturn ex VAT'!CR11*'Global Constants'!CK$59)</f>
        <v>0</v>
      </c>
      <c r="CS11" s="26">
        <f ca="1">IF($C11="","",'Outturn ex VAT'!CS11*'Global Constants'!CL$59)</f>
        <v>0</v>
      </c>
      <c r="CT11" s="26">
        <f ca="1">IF($C11="","",'Outturn ex VAT'!CT11*'Global Constants'!CM$59)</f>
        <v>0</v>
      </c>
      <c r="CU11" s="26">
        <f ca="1">IF($C11="","",'Outturn ex VAT'!CU11*'Global Constants'!CN$59)</f>
        <v>0</v>
      </c>
      <c r="CV11" s="26">
        <f ca="1">IF($C11="","",'Outturn ex VAT'!CV11*'Global Constants'!CO$59)</f>
        <v>0</v>
      </c>
      <c r="CW11" s="26">
        <f ca="1">IF($C11="","",'Outturn ex VAT'!CW11*'Global Constants'!CP$59)</f>
        <v>0</v>
      </c>
      <c r="CX11" s="26">
        <f ca="1">IF($C11="","",'Outturn ex VAT'!CX11*'Global Constants'!CQ$59)</f>
        <v>0</v>
      </c>
      <c r="CZ11" s="26">
        <f t="shared" ca="1" si="0"/>
        <v>0</v>
      </c>
      <c r="DA11" s="26">
        <f t="shared" ca="1" si="1"/>
        <v>684.66816093720752</v>
      </c>
    </row>
    <row r="12" spans="1:105" x14ac:dyDescent="0.3">
      <c r="C12" s="4" t="str">
        <f>IF('Cost &amp; Risk Inputs'!C13="","",'Cost &amp; Risk Inputs'!C13)</f>
        <v>Test 4</v>
      </c>
      <c r="D12" s="4" t="str">
        <f>IF(C12="","",'Cost &amp; Risk Inputs'!H13)</f>
        <v>Manufacture</v>
      </c>
      <c r="E12" s="4" t="str">
        <f>IF(C12="","",'Cost &amp; Risk Inputs'!I13)</f>
        <v>Information</v>
      </c>
      <c r="M12" s="26">
        <f ca="1">IF($C12="","",'Outturn ex VAT'!M12*'Global Constants'!F$59)</f>
        <v>0</v>
      </c>
      <c r="N12" s="26">
        <f ca="1">IF($C12="","",'Outturn ex VAT'!N12*'Global Constants'!G$59)</f>
        <v>0</v>
      </c>
      <c r="O12" s="26">
        <f ca="1">IF($C12="","",'Outturn ex VAT'!O12*'Global Constants'!H$59)</f>
        <v>0</v>
      </c>
      <c r="P12" s="26">
        <f ca="1">IF($C12="","",'Outturn ex VAT'!P12*'Global Constants'!I$59)</f>
        <v>0</v>
      </c>
      <c r="Q12" s="26">
        <f ca="1">IF($C12="","",'Outturn ex VAT'!Q12*'Global Constants'!J$59)</f>
        <v>0</v>
      </c>
      <c r="R12" s="26">
        <f ca="1">IF($C12="","",'Outturn ex VAT'!R12*'Global Constants'!K$59)</f>
        <v>0</v>
      </c>
      <c r="S12" s="26">
        <f ca="1">IF($C12="","",'Outturn ex VAT'!S12*'Global Constants'!L$59)</f>
        <v>0</v>
      </c>
      <c r="T12" s="26">
        <f ca="1">IF($C12="","",'Outturn ex VAT'!T12*'Global Constants'!M$59)</f>
        <v>0</v>
      </c>
      <c r="U12" s="26">
        <f ca="1">IF($C12="","",'Outturn ex VAT'!U12*'Global Constants'!N$59)</f>
        <v>0</v>
      </c>
      <c r="V12" s="26">
        <f ca="1">IF($C12="","",'Outturn ex VAT'!V12*'Global Constants'!O$59)</f>
        <v>0</v>
      </c>
      <c r="W12" s="26">
        <f ca="1">IF($C12="","",'Outturn ex VAT'!W12*'Global Constants'!P$59)</f>
        <v>0</v>
      </c>
      <c r="X12" s="26">
        <f ca="1">IF($C12="","",'Outturn ex VAT'!X12*'Global Constants'!Q$59)</f>
        <v>0</v>
      </c>
      <c r="Y12" s="26">
        <f ca="1">IF($C12="","",'Outturn ex VAT'!Y12*'Global Constants'!R$59)</f>
        <v>0</v>
      </c>
      <c r="Z12" s="26">
        <f ca="1">IF($C12="","",'Outturn ex VAT'!Z12*'Global Constants'!S$59)</f>
        <v>0</v>
      </c>
      <c r="AA12" s="26">
        <f ca="1">IF($C12="","",'Outturn ex VAT'!AA12*'Global Constants'!T$59)</f>
        <v>0</v>
      </c>
      <c r="AB12" s="26">
        <f ca="1">IF($C12="","",'Outturn ex VAT'!AB12*'Global Constants'!U$59)</f>
        <v>0</v>
      </c>
      <c r="AC12" s="26">
        <f ca="1">IF($C12="","",'Outturn ex VAT'!AC12*'Global Constants'!V$59)</f>
        <v>0</v>
      </c>
      <c r="AD12" s="26">
        <f ca="1">IF($C12="","",'Outturn ex VAT'!AD12*'Global Constants'!W$59)</f>
        <v>0</v>
      </c>
      <c r="AE12" s="26">
        <f ca="1">IF($C12="","",'Outturn ex VAT'!AE12*'Global Constants'!X$59)</f>
        <v>0</v>
      </c>
      <c r="AF12" s="26">
        <f ca="1">IF($C12="","",'Outturn ex VAT'!AF12*'Global Constants'!Y$59)</f>
        <v>0</v>
      </c>
      <c r="AG12" s="26">
        <f ca="1">IF($C12="","",'Outturn ex VAT'!AG12*'Global Constants'!Z$59)</f>
        <v>646.64235712639027</v>
      </c>
      <c r="AH12" s="26">
        <f ca="1">IF($C12="","",'Outturn ex VAT'!AH12*'Global Constants'!AA$59)</f>
        <v>0</v>
      </c>
      <c r="AI12" s="26">
        <f ca="1">IF($C12="","",'Outturn ex VAT'!AI12*'Global Constants'!AB$59)</f>
        <v>0</v>
      </c>
      <c r="AJ12" s="26">
        <f ca="1">IF($C12="","",'Outturn ex VAT'!AJ12*'Global Constants'!AC$59)</f>
        <v>0</v>
      </c>
      <c r="AK12" s="26">
        <f ca="1">IF($C12="","",'Outturn ex VAT'!AK12*'Global Constants'!AD$59)</f>
        <v>0</v>
      </c>
      <c r="AL12" s="26">
        <f ca="1">IF($C12="","",'Outturn ex VAT'!AL12*'Global Constants'!AE$59)</f>
        <v>0</v>
      </c>
      <c r="AM12" s="26">
        <f ca="1">IF($C12="","",'Outturn ex VAT'!AM12*'Global Constants'!AF$59)</f>
        <v>0</v>
      </c>
      <c r="AN12" s="26">
        <f ca="1">IF($C12="","",'Outturn ex VAT'!AN12*'Global Constants'!AG$59)</f>
        <v>0</v>
      </c>
      <c r="AO12" s="26">
        <f ca="1">IF($C12="","",'Outturn ex VAT'!AO12*'Global Constants'!AH$59)</f>
        <v>0</v>
      </c>
      <c r="AP12" s="26">
        <f ca="1">IF($C12="","",'Outturn ex VAT'!AP12*'Global Constants'!AI$59)</f>
        <v>0</v>
      </c>
      <c r="AQ12" s="26">
        <f ca="1">IF($C12="","",'Outturn ex VAT'!AQ12*'Global Constants'!AJ$59)</f>
        <v>0</v>
      </c>
      <c r="AR12" s="26">
        <f ca="1">IF($C12="","",'Outturn ex VAT'!AR12*'Global Constants'!AK$59)</f>
        <v>0</v>
      </c>
      <c r="AS12" s="26">
        <f ca="1">IF($C12="","",'Outturn ex VAT'!AS12*'Global Constants'!AL$59)</f>
        <v>0</v>
      </c>
      <c r="AT12" s="26">
        <f ca="1">IF($C12="","",'Outturn ex VAT'!AT12*'Global Constants'!AM$59)</f>
        <v>0</v>
      </c>
      <c r="AU12" s="26">
        <f ca="1">IF($C12="","",'Outturn ex VAT'!AU12*'Global Constants'!AN$59)</f>
        <v>0</v>
      </c>
      <c r="AV12" s="26">
        <f ca="1">IF($C12="","",'Outturn ex VAT'!AV12*'Global Constants'!AO$59)</f>
        <v>0</v>
      </c>
      <c r="AW12" s="26">
        <f ca="1">IF($C12="","",'Outturn ex VAT'!AW12*'Global Constants'!AP$59)</f>
        <v>0</v>
      </c>
      <c r="AX12" s="26">
        <f ca="1">IF($C12="","",'Outturn ex VAT'!AX12*'Global Constants'!AQ$59)</f>
        <v>0</v>
      </c>
      <c r="AY12" s="26">
        <f ca="1">IF($C12="","",'Outturn ex VAT'!AY12*'Global Constants'!AR$59)</f>
        <v>0</v>
      </c>
      <c r="AZ12" s="26">
        <f ca="1">IF($C12="","",'Outturn ex VAT'!AZ12*'Global Constants'!AS$59)</f>
        <v>0</v>
      </c>
      <c r="BA12" s="26">
        <f ca="1">IF($C12="","",'Outturn ex VAT'!BA12*'Global Constants'!AT$59)</f>
        <v>0</v>
      </c>
      <c r="BB12" s="26">
        <f ca="1">IF($C12="","",'Outturn ex VAT'!BB12*'Global Constants'!AU$59)</f>
        <v>0</v>
      </c>
      <c r="BC12" s="26">
        <f ca="1">IF($C12="","",'Outturn ex VAT'!BC12*'Global Constants'!AV$59)</f>
        <v>0</v>
      </c>
      <c r="BD12" s="26">
        <f ca="1">IF($C12="","",'Outturn ex VAT'!BD12*'Global Constants'!AW$59)</f>
        <v>0</v>
      </c>
      <c r="BE12" s="26">
        <f ca="1">IF($C12="","",'Outturn ex VAT'!BE12*'Global Constants'!AX$59)</f>
        <v>0</v>
      </c>
      <c r="BF12" s="26">
        <f ca="1">IF($C12="","",'Outturn ex VAT'!BF12*'Global Constants'!AY$59)</f>
        <v>0</v>
      </c>
      <c r="BG12" s="26">
        <f ca="1">IF($C12="","",'Outturn ex VAT'!BG12*'Global Constants'!AZ$59)</f>
        <v>0</v>
      </c>
      <c r="BH12" s="26">
        <f ca="1">IF($C12="","",'Outturn ex VAT'!BH12*'Global Constants'!BA$59)</f>
        <v>0</v>
      </c>
      <c r="BI12" s="26">
        <f ca="1">IF($C12="","",'Outturn ex VAT'!BI12*'Global Constants'!BB$59)</f>
        <v>0</v>
      </c>
      <c r="BJ12" s="26">
        <f ca="1">IF($C12="","",'Outturn ex VAT'!BJ12*'Global Constants'!BC$59)</f>
        <v>0</v>
      </c>
      <c r="BK12" s="26">
        <f ca="1">IF($C12="","",'Outturn ex VAT'!BK12*'Global Constants'!BD$59)</f>
        <v>0</v>
      </c>
      <c r="BL12" s="26">
        <f ca="1">IF($C12="","",'Outturn ex VAT'!BL12*'Global Constants'!BE$59)</f>
        <v>0</v>
      </c>
      <c r="BM12" s="26">
        <f ca="1">IF($C12="","",'Outturn ex VAT'!BM12*'Global Constants'!BF$59)</f>
        <v>0</v>
      </c>
      <c r="BN12" s="26">
        <f ca="1">IF($C12="","",'Outturn ex VAT'!BN12*'Global Constants'!BG$59)</f>
        <v>0</v>
      </c>
      <c r="BO12" s="26">
        <f ca="1">IF($C12="","",'Outturn ex VAT'!BO12*'Global Constants'!BH$59)</f>
        <v>0</v>
      </c>
      <c r="BP12" s="26">
        <f ca="1">IF($C12="","",'Outturn ex VAT'!BP12*'Global Constants'!BI$59)</f>
        <v>0</v>
      </c>
      <c r="BQ12" s="26">
        <f ca="1">IF($C12="","",'Outturn ex VAT'!BQ12*'Global Constants'!BJ$59)</f>
        <v>0</v>
      </c>
      <c r="BR12" s="26">
        <f ca="1">IF($C12="","",'Outturn ex VAT'!BR12*'Global Constants'!BK$59)</f>
        <v>0</v>
      </c>
      <c r="BS12" s="26">
        <f ca="1">IF($C12="","",'Outturn ex VAT'!BS12*'Global Constants'!BL$59)</f>
        <v>0</v>
      </c>
      <c r="BT12" s="26">
        <f ca="1">IF($C12="","",'Outturn ex VAT'!BT12*'Global Constants'!BM$59)</f>
        <v>0</v>
      </c>
      <c r="BU12" s="26">
        <f ca="1">IF($C12="","",'Outturn ex VAT'!BU12*'Global Constants'!BN$59)</f>
        <v>0</v>
      </c>
      <c r="BV12" s="26">
        <f ca="1">IF($C12="","",'Outturn ex VAT'!BV12*'Global Constants'!BO$59)</f>
        <v>0</v>
      </c>
      <c r="BW12" s="26">
        <f ca="1">IF($C12="","",'Outturn ex VAT'!BW12*'Global Constants'!BP$59)</f>
        <v>0</v>
      </c>
      <c r="BX12" s="26">
        <f ca="1">IF($C12="","",'Outturn ex VAT'!BX12*'Global Constants'!BQ$59)</f>
        <v>0</v>
      </c>
      <c r="BY12" s="26">
        <f ca="1">IF($C12="","",'Outturn ex VAT'!BY12*'Global Constants'!BR$59)</f>
        <v>0</v>
      </c>
      <c r="BZ12" s="26">
        <f ca="1">IF($C12="","",'Outturn ex VAT'!BZ12*'Global Constants'!BS$59)</f>
        <v>0</v>
      </c>
      <c r="CA12" s="26">
        <f ca="1">IF($C12="","",'Outturn ex VAT'!CA12*'Global Constants'!BT$59)</f>
        <v>0</v>
      </c>
      <c r="CB12" s="26">
        <f ca="1">IF($C12="","",'Outturn ex VAT'!CB12*'Global Constants'!BU$59)</f>
        <v>0</v>
      </c>
      <c r="CC12" s="26">
        <f ca="1">IF($C12="","",'Outturn ex VAT'!CC12*'Global Constants'!BV$59)</f>
        <v>0</v>
      </c>
      <c r="CD12" s="26">
        <f ca="1">IF($C12="","",'Outturn ex VAT'!CD12*'Global Constants'!BW$59)</f>
        <v>0</v>
      </c>
      <c r="CE12" s="26">
        <f ca="1">IF($C12="","",'Outturn ex VAT'!CE12*'Global Constants'!BX$59)</f>
        <v>0</v>
      </c>
      <c r="CF12" s="26">
        <f ca="1">IF($C12="","",'Outturn ex VAT'!CF12*'Global Constants'!BY$59)</f>
        <v>0</v>
      </c>
      <c r="CG12" s="26">
        <f ca="1">IF($C12="","",'Outturn ex VAT'!CG12*'Global Constants'!BZ$59)</f>
        <v>0</v>
      </c>
      <c r="CH12" s="26">
        <f ca="1">IF($C12="","",'Outturn ex VAT'!CH12*'Global Constants'!CA$59)</f>
        <v>0</v>
      </c>
      <c r="CI12" s="26">
        <f ca="1">IF($C12="","",'Outturn ex VAT'!CI12*'Global Constants'!CB$59)</f>
        <v>0</v>
      </c>
      <c r="CJ12" s="26">
        <f ca="1">IF($C12="","",'Outturn ex VAT'!CJ12*'Global Constants'!CC$59)</f>
        <v>0</v>
      </c>
      <c r="CK12" s="26">
        <f ca="1">IF($C12="","",'Outturn ex VAT'!CK12*'Global Constants'!CD$59)</f>
        <v>0</v>
      </c>
      <c r="CL12" s="26">
        <f ca="1">IF($C12="","",'Outturn ex VAT'!CL12*'Global Constants'!CE$59)</f>
        <v>0</v>
      </c>
      <c r="CM12" s="26">
        <f ca="1">IF($C12="","",'Outturn ex VAT'!CM12*'Global Constants'!CF$59)</f>
        <v>0</v>
      </c>
      <c r="CN12" s="26">
        <f ca="1">IF($C12="","",'Outturn ex VAT'!CN12*'Global Constants'!CG$59)</f>
        <v>0</v>
      </c>
      <c r="CO12" s="26">
        <f ca="1">IF($C12="","",'Outturn ex VAT'!CO12*'Global Constants'!CH$59)</f>
        <v>0</v>
      </c>
      <c r="CP12" s="26">
        <f ca="1">IF($C12="","",'Outturn ex VAT'!CP12*'Global Constants'!CI$59)</f>
        <v>0</v>
      </c>
      <c r="CQ12" s="26">
        <f ca="1">IF($C12="","",'Outturn ex VAT'!CQ12*'Global Constants'!CJ$59)</f>
        <v>0</v>
      </c>
      <c r="CR12" s="26">
        <f ca="1">IF($C12="","",'Outturn ex VAT'!CR12*'Global Constants'!CK$59)</f>
        <v>0</v>
      </c>
      <c r="CS12" s="26">
        <f ca="1">IF($C12="","",'Outturn ex VAT'!CS12*'Global Constants'!CL$59)</f>
        <v>0</v>
      </c>
      <c r="CT12" s="26">
        <f ca="1">IF($C12="","",'Outturn ex VAT'!CT12*'Global Constants'!CM$59)</f>
        <v>0</v>
      </c>
      <c r="CU12" s="26">
        <f ca="1">IF($C12="","",'Outturn ex VAT'!CU12*'Global Constants'!CN$59)</f>
        <v>0</v>
      </c>
      <c r="CV12" s="26">
        <f ca="1">IF($C12="","",'Outturn ex VAT'!CV12*'Global Constants'!CO$59)</f>
        <v>0</v>
      </c>
      <c r="CW12" s="26">
        <f ca="1">IF($C12="","",'Outturn ex VAT'!CW12*'Global Constants'!CP$59)</f>
        <v>0</v>
      </c>
      <c r="CX12" s="26">
        <f ca="1">IF($C12="","",'Outturn ex VAT'!CX12*'Global Constants'!CQ$59)</f>
        <v>0</v>
      </c>
      <c r="CZ12" s="26">
        <f t="shared" ca="1" si="0"/>
        <v>0</v>
      </c>
      <c r="DA12" s="26">
        <f t="shared" ca="1" si="1"/>
        <v>646.64235712639027</v>
      </c>
    </row>
    <row r="13" spans="1:105" x14ac:dyDescent="0.3">
      <c r="C13" s="4" t="str">
        <f>IF('Cost &amp; Risk Inputs'!C14="","",'Cost &amp; Risk Inputs'!C14)</f>
        <v>Test 5</v>
      </c>
      <c r="D13" s="4" t="str">
        <f>IF(C13="","",'Cost &amp; Risk Inputs'!H14)</f>
        <v>In-Service</v>
      </c>
      <c r="E13" s="4" t="str">
        <f>IF(C13="","",'Cost &amp; Risk Inputs'!I14)</f>
        <v>Concepts and Doctrine</v>
      </c>
      <c r="M13" s="26">
        <f ca="1">IF($C13="","",'Outturn ex VAT'!M13*'Global Constants'!F$59)</f>
        <v>0</v>
      </c>
      <c r="N13" s="26">
        <f ca="1">IF($C13="","",'Outturn ex VAT'!N13*'Global Constants'!G$59)</f>
        <v>0</v>
      </c>
      <c r="O13" s="26">
        <f ca="1">IF($C13="","",'Outturn ex VAT'!O13*'Global Constants'!H$59)</f>
        <v>0</v>
      </c>
      <c r="P13" s="26">
        <f ca="1">IF($C13="","",'Outturn ex VAT'!P13*'Global Constants'!I$59)</f>
        <v>0</v>
      </c>
      <c r="Q13" s="26">
        <f ca="1">IF($C13="","",'Outturn ex VAT'!Q13*'Global Constants'!J$59)</f>
        <v>0</v>
      </c>
      <c r="R13" s="26">
        <f ca="1">IF($C13="","",'Outturn ex VAT'!R13*'Global Constants'!K$59)</f>
        <v>0</v>
      </c>
      <c r="S13" s="26">
        <f ca="1">IF($C13="","",'Outturn ex VAT'!S13*'Global Constants'!L$59)</f>
        <v>0</v>
      </c>
      <c r="T13" s="26">
        <f ca="1">IF($C13="","",'Outturn ex VAT'!T13*'Global Constants'!M$59)</f>
        <v>0</v>
      </c>
      <c r="U13" s="26">
        <f ca="1">IF($C13="","",'Outturn ex VAT'!U13*'Global Constants'!N$59)</f>
        <v>0</v>
      </c>
      <c r="V13" s="26">
        <f ca="1">IF($C13="","",'Outturn ex VAT'!V13*'Global Constants'!O$59)</f>
        <v>0</v>
      </c>
      <c r="W13" s="26">
        <f ca="1">IF($C13="","",'Outturn ex VAT'!W13*'Global Constants'!P$59)</f>
        <v>0</v>
      </c>
      <c r="X13" s="26">
        <f ca="1">IF($C13="","",'Outturn ex VAT'!X13*'Global Constants'!Q$59)</f>
        <v>0</v>
      </c>
      <c r="Y13" s="26">
        <f ca="1">IF($C13="","",'Outturn ex VAT'!Y13*'Global Constants'!R$59)</f>
        <v>0</v>
      </c>
      <c r="Z13" s="26">
        <f ca="1">IF($C13="","",'Outturn ex VAT'!Z13*'Global Constants'!S$59)</f>
        <v>0</v>
      </c>
      <c r="AA13" s="26">
        <f ca="1">IF($C13="","",'Outturn ex VAT'!AA13*'Global Constants'!T$59)</f>
        <v>0</v>
      </c>
      <c r="AB13" s="26">
        <f ca="1">IF($C13="","",'Outturn ex VAT'!AB13*'Global Constants'!U$59)</f>
        <v>0</v>
      </c>
      <c r="AC13" s="26">
        <f ca="1">IF($C13="","",'Outturn ex VAT'!AC13*'Global Constants'!V$59)</f>
        <v>0</v>
      </c>
      <c r="AD13" s="26">
        <f ca="1">IF($C13="","",'Outturn ex VAT'!AD13*'Global Constants'!W$59)</f>
        <v>0</v>
      </c>
      <c r="AE13" s="26">
        <f ca="1">IF($C13="","",'Outturn ex VAT'!AE13*'Global Constants'!X$59)</f>
        <v>0</v>
      </c>
      <c r="AF13" s="26">
        <f ca="1">IF($C13="","",'Outturn ex VAT'!AF13*'Global Constants'!Y$59)</f>
        <v>0</v>
      </c>
      <c r="AG13" s="26">
        <f ca="1">IF($C13="","",'Outturn ex VAT'!AG13*'Global Constants'!Z$59)</f>
        <v>0</v>
      </c>
      <c r="AH13" s="26">
        <f ca="1">IF($C13="","",'Outturn ex VAT'!AH13*'Global Constants'!AA$59)</f>
        <v>454.86450207138961</v>
      </c>
      <c r="AI13" s="26">
        <f ca="1">IF($C13="","",'Outturn ex VAT'!AI13*'Global Constants'!AB$59)</f>
        <v>0</v>
      </c>
      <c r="AJ13" s="26">
        <f ca="1">IF($C13="","",'Outturn ex VAT'!AJ13*'Global Constants'!AC$59)</f>
        <v>0</v>
      </c>
      <c r="AK13" s="26">
        <f ca="1">IF($C13="","",'Outturn ex VAT'!AK13*'Global Constants'!AD$59)</f>
        <v>0</v>
      </c>
      <c r="AL13" s="26">
        <f ca="1">IF($C13="","",'Outturn ex VAT'!AL13*'Global Constants'!AE$59)</f>
        <v>0</v>
      </c>
      <c r="AM13" s="26">
        <f ca="1">IF($C13="","",'Outturn ex VAT'!AM13*'Global Constants'!AF$59)</f>
        <v>0</v>
      </c>
      <c r="AN13" s="26">
        <f ca="1">IF($C13="","",'Outturn ex VAT'!AN13*'Global Constants'!AG$59)</f>
        <v>0</v>
      </c>
      <c r="AO13" s="26">
        <f ca="1">IF($C13="","",'Outturn ex VAT'!AO13*'Global Constants'!AH$59)</f>
        <v>0</v>
      </c>
      <c r="AP13" s="26">
        <f ca="1">IF($C13="","",'Outturn ex VAT'!AP13*'Global Constants'!AI$59)</f>
        <v>0</v>
      </c>
      <c r="AQ13" s="26">
        <f ca="1">IF($C13="","",'Outturn ex VAT'!AQ13*'Global Constants'!AJ$59)</f>
        <v>0</v>
      </c>
      <c r="AR13" s="26">
        <f ca="1">IF($C13="","",'Outturn ex VAT'!AR13*'Global Constants'!AK$59)</f>
        <v>0</v>
      </c>
      <c r="AS13" s="26">
        <f ca="1">IF($C13="","",'Outturn ex VAT'!AS13*'Global Constants'!AL$59)</f>
        <v>0</v>
      </c>
      <c r="AT13" s="26">
        <f ca="1">IF($C13="","",'Outturn ex VAT'!AT13*'Global Constants'!AM$59)</f>
        <v>0</v>
      </c>
      <c r="AU13" s="26">
        <f ca="1">IF($C13="","",'Outturn ex VAT'!AU13*'Global Constants'!AN$59)</f>
        <v>0</v>
      </c>
      <c r="AV13" s="26">
        <f ca="1">IF($C13="","",'Outturn ex VAT'!AV13*'Global Constants'!AO$59)</f>
        <v>0</v>
      </c>
      <c r="AW13" s="26">
        <f ca="1">IF($C13="","",'Outturn ex VAT'!AW13*'Global Constants'!AP$59)</f>
        <v>0</v>
      </c>
      <c r="AX13" s="26">
        <f ca="1">IF($C13="","",'Outturn ex VAT'!AX13*'Global Constants'!AQ$59)</f>
        <v>0</v>
      </c>
      <c r="AY13" s="26">
        <f ca="1">IF($C13="","",'Outturn ex VAT'!AY13*'Global Constants'!AR$59)</f>
        <v>0</v>
      </c>
      <c r="AZ13" s="26">
        <f ca="1">IF($C13="","",'Outturn ex VAT'!AZ13*'Global Constants'!AS$59)</f>
        <v>0</v>
      </c>
      <c r="BA13" s="26">
        <f ca="1">IF($C13="","",'Outturn ex VAT'!BA13*'Global Constants'!AT$59)</f>
        <v>0</v>
      </c>
      <c r="BB13" s="26">
        <f ca="1">IF($C13="","",'Outturn ex VAT'!BB13*'Global Constants'!AU$59)</f>
        <v>0</v>
      </c>
      <c r="BC13" s="26">
        <f ca="1">IF($C13="","",'Outturn ex VAT'!BC13*'Global Constants'!AV$59)</f>
        <v>0</v>
      </c>
      <c r="BD13" s="26">
        <f ca="1">IF($C13="","",'Outturn ex VAT'!BD13*'Global Constants'!AW$59)</f>
        <v>0</v>
      </c>
      <c r="BE13" s="26">
        <f ca="1">IF($C13="","",'Outturn ex VAT'!BE13*'Global Constants'!AX$59)</f>
        <v>0</v>
      </c>
      <c r="BF13" s="26">
        <f ca="1">IF($C13="","",'Outturn ex VAT'!BF13*'Global Constants'!AY$59)</f>
        <v>0</v>
      </c>
      <c r="BG13" s="26">
        <f ca="1">IF($C13="","",'Outturn ex VAT'!BG13*'Global Constants'!AZ$59)</f>
        <v>0</v>
      </c>
      <c r="BH13" s="26">
        <f ca="1">IF($C13="","",'Outturn ex VAT'!BH13*'Global Constants'!BA$59)</f>
        <v>0</v>
      </c>
      <c r="BI13" s="26">
        <f ca="1">IF($C13="","",'Outturn ex VAT'!BI13*'Global Constants'!BB$59)</f>
        <v>0</v>
      </c>
      <c r="BJ13" s="26">
        <f ca="1">IF($C13="","",'Outturn ex VAT'!BJ13*'Global Constants'!BC$59)</f>
        <v>0</v>
      </c>
      <c r="BK13" s="26">
        <f ca="1">IF($C13="","",'Outturn ex VAT'!BK13*'Global Constants'!BD$59)</f>
        <v>0</v>
      </c>
      <c r="BL13" s="26">
        <f ca="1">IF($C13="","",'Outturn ex VAT'!BL13*'Global Constants'!BE$59)</f>
        <v>0</v>
      </c>
      <c r="BM13" s="26">
        <f ca="1">IF($C13="","",'Outturn ex VAT'!BM13*'Global Constants'!BF$59)</f>
        <v>0</v>
      </c>
      <c r="BN13" s="26">
        <f ca="1">IF($C13="","",'Outturn ex VAT'!BN13*'Global Constants'!BG$59)</f>
        <v>0</v>
      </c>
      <c r="BO13" s="26">
        <f ca="1">IF($C13="","",'Outturn ex VAT'!BO13*'Global Constants'!BH$59)</f>
        <v>0</v>
      </c>
      <c r="BP13" s="26">
        <f ca="1">IF($C13="","",'Outturn ex VAT'!BP13*'Global Constants'!BI$59)</f>
        <v>0</v>
      </c>
      <c r="BQ13" s="26">
        <f ca="1">IF($C13="","",'Outturn ex VAT'!BQ13*'Global Constants'!BJ$59)</f>
        <v>0</v>
      </c>
      <c r="BR13" s="26">
        <f ca="1">IF($C13="","",'Outturn ex VAT'!BR13*'Global Constants'!BK$59)</f>
        <v>0</v>
      </c>
      <c r="BS13" s="26">
        <f ca="1">IF($C13="","",'Outturn ex VAT'!BS13*'Global Constants'!BL$59)</f>
        <v>0</v>
      </c>
      <c r="BT13" s="26">
        <f ca="1">IF($C13="","",'Outturn ex VAT'!BT13*'Global Constants'!BM$59)</f>
        <v>0</v>
      </c>
      <c r="BU13" s="26">
        <f ca="1">IF($C13="","",'Outturn ex VAT'!BU13*'Global Constants'!BN$59)</f>
        <v>0</v>
      </c>
      <c r="BV13" s="26">
        <f ca="1">IF($C13="","",'Outturn ex VAT'!BV13*'Global Constants'!BO$59)</f>
        <v>0</v>
      </c>
      <c r="BW13" s="26">
        <f ca="1">IF($C13="","",'Outturn ex VAT'!BW13*'Global Constants'!BP$59)</f>
        <v>0</v>
      </c>
      <c r="BX13" s="26">
        <f ca="1">IF($C13="","",'Outturn ex VAT'!BX13*'Global Constants'!BQ$59)</f>
        <v>0</v>
      </c>
      <c r="BY13" s="26">
        <f ca="1">IF($C13="","",'Outturn ex VAT'!BY13*'Global Constants'!BR$59)</f>
        <v>0</v>
      </c>
      <c r="BZ13" s="26">
        <f ca="1">IF($C13="","",'Outturn ex VAT'!BZ13*'Global Constants'!BS$59)</f>
        <v>0</v>
      </c>
      <c r="CA13" s="26">
        <f ca="1">IF($C13="","",'Outturn ex VAT'!CA13*'Global Constants'!BT$59)</f>
        <v>0</v>
      </c>
      <c r="CB13" s="26">
        <f ca="1">IF($C13="","",'Outturn ex VAT'!CB13*'Global Constants'!BU$59)</f>
        <v>0</v>
      </c>
      <c r="CC13" s="26">
        <f ca="1">IF($C13="","",'Outturn ex VAT'!CC13*'Global Constants'!BV$59)</f>
        <v>0</v>
      </c>
      <c r="CD13" s="26">
        <f ca="1">IF($C13="","",'Outturn ex VAT'!CD13*'Global Constants'!BW$59)</f>
        <v>0</v>
      </c>
      <c r="CE13" s="26">
        <f ca="1">IF($C13="","",'Outturn ex VAT'!CE13*'Global Constants'!BX$59)</f>
        <v>0</v>
      </c>
      <c r="CF13" s="26">
        <f ca="1">IF($C13="","",'Outturn ex VAT'!CF13*'Global Constants'!BY$59)</f>
        <v>0</v>
      </c>
      <c r="CG13" s="26">
        <f ca="1">IF($C13="","",'Outturn ex VAT'!CG13*'Global Constants'!BZ$59)</f>
        <v>0</v>
      </c>
      <c r="CH13" s="26">
        <f ca="1">IF($C13="","",'Outturn ex VAT'!CH13*'Global Constants'!CA$59)</f>
        <v>0</v>
      </c>
      <c r="CI13" s="26">
        <f ca="1">IF($C13="","",'Outturn ex VAT'!CI13*'Global Constants'!CB$59)</f>
        <v>0</v>
      </c>
      <c r="CJ13" s="26">
        <f ca="1">IF($C13="","",'Outturn ex VAT'!CJ13*'Global Constants'!CC$59)</f>
        <v>0</v>
      </c>
      <c r="CK13" s="26">
        <f ca="1">IF($C13="","",'Outturn ex VAT'!CK13*'Global Constants'!CD$59)</f>
        <v>0</v>
      </c>
      <c r="CL13" s="26">
        <f ca="1">IF($C13="","",'Outturn ex VAT'!CL13*'Global Constants'!CE$59)</f>
        <v>0</v>
      </c>
      <c r="CM13" s="26">
        <f ca="1">IF($C13="","",'Outturn ex VAT'!CM13*'Global Constants'!CF$59)</f>
        <v>0</v>
      </c>
      <c r="CN13" s="26">
        <f ca="1">IF($C13="","",'Outturn ex VAT'!CN13*'Global Constants'!CG$59)</f>
        <v>0</v>
      </c>
      <c r="CO13" s="26">
        <f ca="1">IF($C13="","",'Outturn ex VAT'!CO13*'Global Constants'!CH$59)</f>
        <v>0</v>
      </c>
      <c r="CP13" s="26">
        <f ca="1">IF($C13="","",'Outturn ex VAT'!CP13*'Global Constants'!CI$59)</f>
        <v>0</v>
      </c>
      <c r="CQ13" s="26">
        <f ca="1">IF($C13="","",'Outturn ex VAT'!CQ13*'Global Constants'!CJ$59)</f>
        <v>0</v>
      </c>
      <c r="CR13" s="26">
        <f ca="1">IF($C13="","",'Outturn ex VAT'!CR13*'Global Constants'!CK$59)</f>
        <v>0</v>
      </c>
      <c r="CS13" s="26">
        <f ca="1">IF($C13="","",'Outturn ex VAT'!CS13*'Global Constants'!CL$59)</f>
        <v>0</v>
      </c>
      <c r="CT13" s="26">
        <f ca="1">IF($C13="","",'Outturn ex VAT'!CT13*'Global Constants'!CM$59)</f>
        <v>0</v>
      </c>
      <c r="CU13" s="26">
        <f ca="1">IF($C13="","",'Outturn ex VAT'!CU13*'Global Constants'!CN$59)</f>
        <v>0</v>
      </c>
      <c r="CV13" s="26">
        <f ca="1">IF($C13="","",'Outturn ex VAT'!CV13*'Global Constants'!CO$59)</f>
        <v>0</v>
      </c>
      <c r="CW13" s="26">
        <f ca="1">IF($C13="","",'Outturn ex VAT'!CW13*'Global Constants'!CP$59)</f>
        <v>0</v>
      </c>
      <c r="CX13" s="26">
        <f ca="1">IF($C13="","",'Outturn ex VAT'!CX13*'Global Constants'!CQ$59)</f>
        <v>0</v>
      </c>
      <c r="CZ13" s="26">
        <f t="shared" ca="1" si="0"/>
        <v>0</v>
      </c>
      <c r="DA13" s="26">
        <f t="shared" ca="1" si="1"/>
        <v>454.86450207138961</v>
      </c>
    </row>
    <row r="14" spans="1:105" x14ac:dyDescent="0.3">
      <c r="C14" s="4" t="str">
        <f>IF('Cost &amp; Risk Inputs'!C15="","",'Cost &amp; Risk Inputs'!C15)</f>
        <v>Test 5</v>
      </c>
      <c r="D14" s="4" t="str">
        <f>IF(C14="","",'Cost &amp; Risk Inputs'!H15)</f>
        <v>Assessment</v>
      </c>
      <c r="E14" s="4" t="str">
        <f>IF(C14="","",'Cost &amp; Risk Inputs'!I15)</f>
        <v>Organisation</v>
      </c>
      <c r="M14" s="26">
        <f ca="1">IF($C14="","",'Outturn ex VAT'!M14*'Global Constants'!F$59)</f>
        <v>0</v>
      </c>
      <c r="N14" s="26">
        <f ca="1">IF($C14="","",'Outturn ex VAT'!N14*'Global Constants'!G$59)</f>
        <v>0</v>
      </c>
      <c r="O14" s="26">
        <f ca="1">IF($C14="","",'Outturn ex VAT'!O14*'Global Constants'!H$59)</f>
        <v>0</v>
      </c>
      <c r="P14" s="26">
        <f ca="1">IF($C14="","",'Outturn ex VAT'!P14*'Global Constants'!I$59)</f>
        <v>0</v>
      </c>
      <c r="Q14" s="26">
        <f ca="1">IF($C14="","",'Outturn ex VAT'!Q14*'Global Constants'!J$59)</f>
        <v>0</v>
      </c>
      <c r="R14" s="26">
        <f ca="1">IF($C14="","",'Outturn ex VAT'!R14*'Global Constants'!K$59)</f>
        <v>0</v>
      </c>
      <c r="S14" s="26">
        <f ca="1">IF($C14="","",'Outturn ex VAT'!S14*'Global Constants'!L$59)</f>
        <v>0</v>
      </c>
      <c r="T14" s="26">
        <f ca="1">IF($C14="","",'Outturn ex VAT'!T14*'Global Constants'!M$59)</f>
        <v>0</v>
      </c>
      <c r="U14" s="26">
        <f ca="1">IF($C14="","",'Outturn ex VAT'!U14*'Global Constants'!N$59)</f>
        <v>0</v>
      </c>
      <c r="V14" s="26">
        <f ca="1">IF($C14="","",'Outturn ex VAT'!V14*'Global Constants'!O$59)</f>
        <v>0</v>
      </c>
      <c r="W14" s="26">
        <f ca="1">IF($C14="","",'Outturn ex VAT'!W14*'Global Constants'!P$59)</f>
        <v>0</v>
      </c>
      <c r="X14" s="26">
        <f ca="1">IF($C14="","",'Outturn ex VAT'!X14*'Global Constants'!Q$59)</f>
        <v>0</v>
      </c>
      <c r="Y14" s="26">
        <f ca="1">IF($C14="","",'Outturn ex VAT'!Y14*'Global Constants'!R$59)</f>
        <v>0</v>
      </c>
      <c r="Z14" s="26">
        <f ca="1">IF($C14="","",'Outturn ex VAT'!Z14*'Global Constants'!S$59)</f>
        <v>0</v>
      </c>
      <c r="AA14" s="26">
        <f ca="1">IF($C14="","",'Outturn ex VAT'!AA14*'Global Constants'!T$59)</f>
        <v>0</v>
      </c>
      <c r="AB14" s="26">
        <f ca="1">IF($C14="","",'Outturn ex VAT'!AB14*'Global Constants'!U$59)</f>
        <v>0</v>
      </c>
      <c r="AC14" s="26">
        <f ca="1">IF($C14="","",'Outturn ex VAT'!AC14*'Global Constants'!V$59)</f>
        <v>0</v>
      </c>
      <c r="AD14" s="26">
        <f ca="1">IF($C14="","",'Outturn ex VAT'!AD14*'Global Constants'!W$59)</f>
        <v>855.83770315552044</v>
      </c>
      <c r="AE14" s="26">
        <f ca="1">IF($C14="","",'Outturn ex VAT'!AE14*'Global Constants'!X$59)</f>
        <v>808.30530943424003</v>
      </c>
      <c r="AF14" s="26">
        <f ca="1">IF($C14="","",'Outturn ex VAT'!AF14*'Global Constants'!Y$59)</f>
        <v>763.41281863444181</v>
      </c>
      <c r="AG14" s="26">
        <f ca="1">IF($C14="","",'Outturn ex VAT'!AG14*'Global Constants'!Z$59)</f>
        <v>721.01361311520259</v>
      </c>
      <c r="AH14" s="26">
        <f ca="1">IF($C14="","",'Outturn ex VAT'!AH14*'Global Constants'!AA$59)</f>
        <v>680.96921823678838</v>
      </c>
      <c r="AI14" s="26">
        <f ca="1">IF($C14="","",'Outturn ex VAT'!AI14*'Global Constants'!AB$59)</f>
        <v>0</v>
      </c>
      <c r="AJ14" s="26">
        <f ca="1">IF($C14="","",'Outturn ex VAT'!AJ14*'Global Constants'!AC$59)</f>
        <v>0</v>
      </c>
      <c r="AK14" s="26">
        <f ca="1">IF($C14="","",'Outturn ex VAT'!AK14*'Global Constants'!AD$59)</f>
        <v>0</v>
      </c>
      <c r="AL14" s="26">
        <f ca="1">IF($C14="","",'Outturn ex VAT'!AL14*'Global Constants'!AE$59)</f>
        <v>0</v>
      </c>
      <c r="AM14" s="26">
        <f ca="1">IF($C14="","",'Outturn ex VAT'!AM14*'Global Constants'!AF$59)</f>
        <v>0</v>
      </c>
      <c r="AN14" s="26">
        <f ca="1">IF($C14="","",'Outturn ex VAT'!AN14*'Global Constants'!AG$59)</f>
        <v>0</v>
      </c>
      <c r="AO14" s="26">
        <f ca="1">IF($C14="","",'Outturn ex VAT'!AO14*'Global Constants'!AH$59)</f>
        <v>0</v>
      </c>
      <c r="AP14" s="26">
        <f ca="1">IF($C14="","",'Outturn ex VAT'!AP14*'Global Constants'!AI$59)</f>
        <v>0</v>
      </c>
      <c r="AQ14" s="26">
        <f ca="1">IF($C14="","",'Outturn ex VAT'!AQ14*'Global Constants'!AJ$59)</f>
        <v>0</v>
      </c>
      <c r="AR14" s="26">
        <f ca="1">IF($C14="","",'Outturn ex VAT'!AR14*'Global Constants'!AK$59)</f>
        <v>0</v>
      </c>
      <c r="AS14" s="26">
        <f ca="1">IF($C14="","",'Outturn ex VAT'!AS14*'Global Constants'!AL$59)</f>
        <v>0</v>
      </c>
      <c r="AT14" s="26">
        <f ca="1">IF($C14="","",'Outturn ex VAT'!AT14*'Global Constants'!AM$59)</f>
        <v>0</v>
      </c>
      <c r="AU14" s="26">
        <f ca="1">IF($C14="","",'Outturn ex VAT'!AU14*'Global Constants'!AN$59)</f>
        <v>0</v>
      </c>
      <c r="AV14" s="26">
        <f ca="1">IF($C14="","",'Outturn ex VAT'!AV14*'Global Constants'!AO$59)</f>
        <v>0</v>
      </c>
      <c r="AW14" s="26">
        <f ca="1">IF($C14="","",'Outturn ex VAT'!AW14*'Global Constants'!AP$59)</f>
        <v>0</v>
      </c>
      <c r="AX14" s="26">
        <f ca="1">IF($C14="","",'Outturn ex VAT'!AX14*'Global Constants'!AQ$59)</f>
        <v>0</v>
      </c>
      <c r="AY14" s="26">
        <f ca="1">IF($C14="","",'Outturn ex VAT'!AY14*'Global Constants'!AR$59)</f>
        <v>0</v>
      </c>
      <c r="AZ14" s="26">
        <f ca="1">IF($C14="","",'Outturn ex VAT'!AZ14*'Global Constants'!AS$59)</f>
        <v>0</v>
      </c>
      <c r="BA14" s="26">
        <f ca="1">IF($C14="","",'Outturn ex VAT'!BA14*'Global Constants'!AT$59)</f>
        <v>0</v>
      </c>
      <c r="BB14" s="26">
        <f ca="1">IF($C14="","",'Outturn ex VAT'!BB14*'Global Constants'!AU$59)</f>
        <v>0</v>
      </c>
      <c r="BC14" s="26">
        <f ca="1">IF($C14="","",'Outturn ex VAT'!BC14*'Global Constants'!AV$59)</f>
        <v>0</v>
      </c>
      <c r="BD14" s="26">
        <f ca="1">IF($C14="","",'Outturn ex VAT'!BD14*'Global Constants'!AW$59)</f>
        <v>0</v>
      </c>
      <c r="BE14" s="26">
        <f ca="1">IF($C14="","",'Outturn ex VAT'!BE14*'Global Constants'!AX$59)</f>
        <v>0</v>
      </c>
      <c r="BF14" s="26">
        <f ca="1">IF($C14="","",'Outturn ex VAT'!BF14*'Global Constants'!AY$59)</f>
        <v>0</v>
      </c>
      <c r="BG14" s="26">
        <f ca="1">IF($C14="","",'Outturn ex VAT'!BG14*'Global Constants'!AZ$59)</f>
        <v>0</v>
      </c>
      <c r="BH14" s="26">
        <f ca="1">IF($C14="","",'Outturn ex VAT'!BH14*'Global Constants'!BA$59)</f>
        <v>0</v>
      </c>
      <c r="BI14" s="26">
        <f ca="1">IF($C14="","",'Outturn ex VAT'!BI14*'Global Constants'!BB$59)</f>
        <v>0</v>
      </c>
      <c r="BJ14" s="26">
        <f ca="1">IF($C14="","",'Outturn ex VAT'!BJ14*'Global Constants'!BC$59)</f>
        <v>0</v>
      </c>
      <c r="BK14" s="26">
        <f ca="1">IF($C14="","",'Outturn ex VAT'!BK14*'Global Constants'!BD$59)</f>
        <v>0</v>
      </c>
      <c r="BL14" s="26">
        <f ca="1">IF($C14="","",'Outturn ex VAT'!BL14*'Global Constants'!BE$59)</f>
        <v>0</v>
      </c>
      <c r="BM14" s="26">
        <f ca="1">IF($C14="","",'Outturn ex VAT'!BM14*'Global Constants'!BF$59)</f>
        <v>0</v>
      </c>
      <c r="BN14" s="26">
        <f ca="1">IF($C14="","",'Outturn ex VAT'!BN14*'Global Constants'!BG$59)</f>
        <v>0</v>
      </c>
      <c r="BO14" s="26">
        <f ca="1">IF($C14="","",'Outturn ex VAT'!BO14*'Global Constants'!BH$59)</f>
        <v>0</v>
      </c>
      <c r="BP14" s="26">
        <f ca="1">IF($C14="","",'Outturn ex VAT'!BP14*'Global Constants'!BI$59)</f>
        <v>0</v>
      </c>
      <c r="BQ14" s="26">
        <f ca="1">IF($C14="","",'Outturn ex VAT'!BQ14*'Global Constants'!BJ$59)</f>
        <v>0</v>
      </c>
      <c r="BR14" s="26">
        <f ca="1">IF($C14="","",'Outturn ex VAT'!BR14*'Global Constants'!BK$59)</f>
        <v>0</v>
      </c>
      <c r="BS14" s="26">
        <f ca="1">IF($C14="","",'Outturn ex VAT'!BS14*'Global Constants'!BL$59)</f>
        <v>0</v>
      </c>
      <c r="BT14" s="26">
        <f ca="1">IF($C14="","",'Outturn ex VAT'!BT14*'Global Constants'!BM$59)</f>
        <v>0</v>
      </c>
      <c r="BU14" s="26">
        <f ca="1">IF($C14="","",'Outturn ex VAT'!BU14*'Global Constants'!BN$59)</f>
        <v>0</v>
      </c>
      <c r="BV14" s="26">
        <f ca="1">IF($C14="","",'Outturn ex VAT'!BV14*'Global Constants'!BO$59)</f>
        <v>0</v>
      </c>
      <c r="BW14" s="26">
        <f ca="1">IF($C14="","",'Outturn ex VAT'!BW14*'Global Constants'!BP$59)</f>
        <v>0</v>
      </c>
      <c r="BX14" s="26">
        <f ca="1">IF($C14="","",'Outturn ex VAT'!BX14*'Global Constants'!BQ$59)</f>
        <v>0</v>
      </c>
      <c r="BY14" s="26">
        <f ca="1">IF($C14="","",'Outturn ex VAT'!BY14*'Global Constants'!BR$59)</f>
        <v>0</v>
      </c>
      <c r="BZ14" s="26">
        <f ca="1">IF($C14="","",'Outturn ex VAT'!BZ14*'Global Constants'!BS$59)</f>
        <v>0</v>
      </c>
      <c r="CA14" s="26">
        <f ca="1">IF($C14="","",'Outturn ex VAT'!CA14*'Global Constants'!BT$59)</f>
        <v>0</v>
      </c>
      <c r="CB14" s="26">
        <f ca="1">IF($C14="","",'Outturn ex VAT'!CB14*'Global Constants'!BU$59)</f>
        <v>0</v>
      </c>
      <c r="CC14" s="26">
        <f ca="1">IF($C14="","",'Outturn ex VAT'!CC14*'Global Constants'!BV$59)</f>
        <v>0</v>
      </c>
      <c r="CD14" s="26">
        <f ca="1">IF($C14="","",'Outturn ex VAT'!CD14*'Global Constants'!BW$59)</f>
        <v>0</v>
      </c>
      <c r="CE14" s="26">
        <f ca="1">IF($C14="","",'Outturn ex VAT'!CE14*'Global Constants'!BX$59)</f>
        <v>0</v>
      </c>
      <c r="CF14" s="26">
        <f ca="1">IF($C14="","",'Outturn ex VAT'!CF14*'Global Constants'!BY$59)</f>
        <v>0</v>
      </c>
      <c r="CG14" s="26">
        <f ca="1">IF($C14="","",'Outturn ex VAT'!CG14*'Global Constants'!BZ$59)</f>
        <v>0</v>
      </c>
      <c r="CH14" s="26">
        <f ca="1">IF($C14="","",'Outturn ex VAT'!CH14*'Global Constants'!CA$59)</f>
        <v>0</v>
      </c>
      <c r="CI14" s="26">
        <f ca="1">IF($C14="","",'Outturn ex VAT'!CI14*'Global Constants'!CB$59)</f>
        <v>0</v>
      </c>
      <c r="CJ14" s="26">
        <f ca="1">IF($C14="","",'Outturn ex VAT'!CJ14*'Global Constants'!CC$59)</f>
        <v>0</v>
      </c>
      <c r="CK14" s="26">
        <f ca="1">IF($C14="","",'Outturn ex VAT'!CK14*'Global Constants'!CD$59)</f>
        <v>0</v>
      </c>
      <c r="CL14" s="26">
        <f ca="1">IF($C14="","",'Outturn ex VAT'!CL14*'Global Constants'!CE$59)</f>
        <v>0</v>
      </c>
      <c r="CM14" s="26">
        <f ca="1">IF($C14="","",'Outturn ex VAT'!CM14*'Global Constants'!CF$59)</f>
        <v>0</v>
      </c>
      <c r="CN14" s="26">
        <f ca="1">IF($C14="","",'Outturn ex VAT'!CN14*'Global Constants'!CG$59)</f>
        <v>0</v>
      </c>
      <c r="CO14" s="26">
        <f ca="1">IF($C14="","",'Outturn ex VAT'!CO14*'Global Constants'!CH$59)</f>
        <v>0</v>
      </c>
      <c r="CP14" s="26">
        <f ca="1">IF($C14="","",'Outturn ex VAT'!CP14*'Global Constants'!CI$59)</f>
        <v>0</v>
      </c>
      <c r="CQ14" s="26">
        <f ca="1">IF($C14="","",'Outturn ex VAT'!CQ14*'Global Constants'!CJ$59)</f>
        <v>0</v>
      </c>
      <c r="CR14" s="26">
        <f ca="1">IF($C14="","",'Outturn ex VAT'!CR14*'Global Constants'!CK$59)</f>
        <v>0</v>
      </c>
      <c r="CS14" s="26">
        <f ca="1">IF($C14="","",'Outturn ex VAT'!CS14*'Global Constants'!CL$59)</f>
        <v>0</v>
      </c>
      <c r="CT14" s="26">
        <f ca="1">IF($C14="","",'Outturn ex VAT'!CT14*'Global Constants'!CM$59)</f>
        <v>0</v>
      </c>
      <c r="CU14" s="26">
        <f ca="1">IF($C14="","",'Outturn ex VAT'!CU14*'Global Constants'!CN$59)</f>
        <v>0</v>
      </c>
      <c r="CV14" s="26">
        <f ca="1">IF($C14="","",'Outturn ex VAT'!CV14*'Global Constants'!CO$59)</f>
        <v>0</v>
      </c>
      <c r="CW14" s="26">
        <f ca="1">IF($C14="","",'Outturn ex VAT'!CW14*'Global Constants'!CP$59)</f>
        <v>0</v>
      </c>
      <c r="CX14" s="26">
        <f ca="1">IF($C14="","",'Outturn ex VAT'!CX14*'Global Constants'!CQ$59)</f>
        <v>0</v>
      </c>
      <c r="CZ14" s="26">
        <f t="shared" ca="1" si="0"/>
        <v>0</v>
      </c>
      <c r="DA14" s="26">
        <f t="shared" ca="1" si="1"/>
        <v>3829.5386625761935</v>
      </c>
    </row>
    <row r="15" spans="1:105" x14ac:dyDescent="0.3">
      <c r="C15" s="4" t="str">
        <f>IF('Cost &amp; Risk Inputs'!C16="","",'Cost &amp; Risk Inputs'!C16)</f>
        <v>Test 6</v>
      </c>
      <c r="D15" s="4" t="str">
        <f>IF(C15="","",'Cost &amp; Risk Inputs'!H16)</f>
        <v>Concept</v>
      </c>
      <c r="E15" s="4" t="str">
        <f>IF(C15="","",'Cost &amp; Risk Inputs'!I16)</f>
        <v>Infrastructure</v>
      </c>
      <c r="M15" s="26">
        <f ca="1">IF($C15="","",'Outturn ex VAT'!M15*'Global Constants'!F$59)</f>
        <v>0</v>
      </c>
      <c r="N15" s="26">
        <f ca="1">IF($C15="","",'Outturn ex VAT'!N15*'Global Constants'!G$59)</f>
        <v>0</v>
      </c>
      <c r="O15" s="26">
        <f ca="1">IF($C15="","",'Outturn ex VAT'!O15*'Global Constants'!H$59)</f>
        <v>0</v>
      </c>
      <c r="P15" s="26">
        <f ca="1">IF($C15="","",'Outturn ex VAT'!P15*'Global Constants'!I$59)</f>
        <v>0</v>
      </c>
      <c r="Q15" s="26">
        <f ca="1">IF($C15="","",'Outturn ex VAT'!Q15*'Global Constants'!J$59)</f>
        <v>0</v>
      </c>
      <c r="R15" s="26">
        <f ca="1">IF($C15="","",'Outturn ex VAT'!R15*'Global Constants'!K$59)</f>
        <v>0</v>
      </c>
      <c r="S15" s="26">
        <f ca="1">IF($C15="","",'Outturn ex VAT'!S15*'Global Constants'!L$59)</f>
        <v>0</v>
      </c>
      <c r="T15" s="26">
        <f ca="1">IF($C15="","",'Outturn ex VAT'!T15*'Global Constants'!M$59)</f>
        <v>0</v>
      </c>
      <c r="U15" s="26">
        <f ca="1">IF($C15="","",'Outturn ex VAT'!U15*'Global Constants'!N$59)</f>
        <v>0</v>
      </c>
      <c r="V15" s="26">
        <f ca="1">IF($C15="","",'Outturn ex VAT'!V15*'Global Constants'!O$59)</f>
        <v>0</v>
      </c>
      <c r="W15" s="26">
        <f ca="1">IF($C15="","",'Outturn ex VAT'!W15*'Global Constants'!P$59)</f>
        <v>0</v>
      </c>
      <c r="X15" s="26">
        <f ca="1">IF($C15="","",'Outturn ex VAT'!X15*'Global Constants'!Q$59)</f>
        <v>0</v>
      </c>
      <c r="Y15" s="26">
        <f ca="1">IF($C15="","",'Outturn ex VAT'!Y15*'Global Constants'!R$59)</f>
        <v>0</v>
      </c>
      <c r="Z15" s="26">
        <f ca="1">IF($C15="","",'Outturn ex VAT'!Z15*'Global Constants'!S$59)</f>
        <v>0</v>
      </c>
      <c r="AA15" s="26">
        <f ca="1">IF($C15="","",'Outturn ex VAT'!AA15*'Global Constants'!T$59)</f>
        <v>0</v>
      </c>
      <c r="AB15" s="26">
        <f ca="1">IF($C15="","",'Outturn ex VAT'!AB15*'Global Constants'!U$59)</f>
        <v>0</v>
      </c>
      <c r="AC15" s="26">
        <f ca="1">IF($C15="","",'Outturn ex VAT'!AC15*'Global Constants'!V$59)</f>
        <v>0</v>
      </c>
      <c r="AD15" s="26">
        <f ca="1">IF($C15="","",'Outturn ex VAT'!AD15*'Global Constants'!W$59)</f>
        <v>771.10961421665763</v>
      </c>
      <c r="AE15" s="26">
        <f ca="1">IF($C15="","",'Outturn ex VAT'!AE15*'Global Constants'!X$59)</f>
        <v>728.28293615600387</v>
      </c>
      <c r="AF15" s="26">
        <f ca="1">IF($C15="","",'Outturn ex VAT'!AF15*'Global Constants'!Y$59)</f>
        <v>687.83481014540359</v>
      </c>
      <c r="AG15" s="26">
        <f ca="1">IF($C15="","",'Outturn ex VAT'!AG15*'Global Constants'!Z$59)</f>
        <v>649.63313371716583</v>
      </c>
      <c r="AH15" s="26">
        <f ca="1">IF($C15="","",'Outturn ex VAT'!AH15*'Global Constants'!AA$59)</f>
        <v>613.55314124618417</v>
      </c>
      <c r="AI15" s="26">
        <f ca="1">IF($C15="","",'Outturn ex VAT'!AI15*'Global Constants'!AB$59)</f>
        <v>0</v>
      </c>
      <c r="AJ15" s="26">
        <f ca="1">IF($C15="","",'Outturn ex VAT'!AJ15*'Global Constants'!AC$59)</f>
        <v>0</v>
      </c>
      <c r="AK15" s="26">
        <f ca="1">IF($C15="","",'Outturn ex VAT'!AK15*'Global Constants'!AD$59)</f>
        <v>0</v>
      </c>
      <c r="AL15" s="26">
        <f ca="1">IF($C15="","",'Outturn ex VAT'!AL15*'Global Constants'!AE$59)</f>
        <v>0</v>
      </c>
      <c r="AM15" s="26">
        <f ca="1">IF($C15="","",'Outturn ex VAT'!AM15*'Global Constants'!AF$59)</f>
        <v>0</v>
      </c>
      <c r="AN15" s="26">
        <f ca="1">IF($C15="","",'Outturn ex VAT'!AN15*'Global Constants'!AG$59)</f>
        <v>0</v>
      </c>
      <c r="AO15" s="26">
        <f ca="1">IF($C15="","",'Outturn ex VAT'!AO15*'Global Constants'!AH$59)</f>
        <v>0</v>
      </c>
      <c r="AP15" s="26">
        <f ca="1">IF($C15="","",'Outturn ex VAT'!AP15*'Global Constants'!AI$59)</f>
        <v>0</v>
      </c>
      <c r="AQ15" s="26">
        <f ca="1">IF($C15="","",'Outturn ex VAT'!AQ15*'Global Constants'!AJ$59)</f>
        <v>0</v>
      </c>
      <c r="AR15" s="26">
        <f ca="1">IF($C15="","",'Outturn ex VAT'!AR15*'Global Constants'!AK$59)</f>
        <v>0</v>
      </c>
      <c r="AS15" s="26">
        <f ca="1">IF($C15="","",'Outturn ex VAT'!AS15*'Global Constants'!AL$59)</f>
        <v>0</v>
      </c>
      <c r="AT15" s="26">
        <f ca="1">IF($C15="","",'Outturn ex VAT'!AT15*'Global Constants'!AM$59)</f>
        <v>0</v>
      </c>
      <c r="AU15" s="26">
        <f ca="1">IF($C15="","",'Outturn ex VAT'!AU15*'Global Constants'!AN$59)</f>
        <v>0</v>
      </c>
      <c r="AV15" s="26">
        <f ca="1">IF($C15="","",'Outturn ex VAT'!AV15*'Global Constants'!AO$59)</f>
        <v>0</v>
      </c>
      <c r="AW15" s="26">
        <f ca="1">IF($C15="","",'Outturn ex VAT'!AW15*'Global Constants'!AP$59)</f>
        <v>0</v>
      </c>
      <c r="AX15" s="26">
        <f ca="1">IF($C15="","",'Outturn ex VAT'!AX15*'Global Constants'!AQ$59)</f>
        <v>0</v>
      </c>
      <c r="AY15" s="26">
        <f ca="1">IF($C15="","",'Outturn ex VAT'!AY15*'Global Constants'!AR$59)</f>
        <v>0</v>
      </c>
      <c r="AZ15" s="26">
        <f ca="1">IF($C15="","",'Outturn ex VAT'!AZ15*'Global Constants'!AS$59)</f>
        <v>0</v>
      </c>
      <c r="BA15" s="26">
        <f ca="1">IF($C15="","",'Outturn ex VAT'!BA15*'Global Constants'!AT$59)</f>
        <v>0</v>
      </c>
      <c r="BB15" s="26">
        <f ca="1">IF($C15="","",'Outturn ex VAT'!BB15*'Global Constants'!AU$59)</f>
        <v>0</v>
      </c>
      <c r="BC15" s="26">
        <f ca="1">IF($C15="","",'Outturn ex VAT'!BC15*'Global Constants'!AV$59)</f>
        <v>0</v>
      </c>
      <c r="BD15" s="26">
        <f ca="1">IF($C15="","",'Outturn ex VAT'!BD15*'Global Constants'!AW$59)</f>
        <v>0</v>
      </c>
      <c r="BE15" s="26">
        <f ca="1">IF($C15="","",'Outturn ex VAT'!BE15*'Global Constants'!AX$59)</f>
        <v>0</v>
      </c>
      <c r="BF15" s="26">
        <f ca="1">IF($C15="","",'Outturn ex VAT'!BF15*'Global Constants'!AY$59)</f>
        <v>0</v>
      </c>
      <c r="BG15" s="26">
        <f ca="1">IF($C15="","",'Outturn ex VAT'!BG15*'Global Constants'!AZ$59)</f>
        <v>0</v>
      </c>
      <c r="BH15" s="26">
        <f ca="1">IF($C15="","",'Outturn ex VAT'!BH15*'Global Constants'!BA$59)</f>
        <v>0</v>
      </c>
      <c r="BI15" s="26">
        <f ca="1">IF($C15="","",'Outturn ex VAT'!BI15*'Global Constants'!BB$59)</f>
        <v>0</v>
      </c>
      <c r="BJ15" s="26">
        <f ca="1">IF($C15="","",'Outturn ex VAT'!BJ15*'Global Constants'!BC$59)</f>
        <v>0</v>
      </c>
      <c r="BK15" s="26">
        <f ca="1">IF($C15="","",'Outturn ex VAT'!BK15*'Global Constants'!BD$59)</f>
        <v>0</v>
      </c>
      <c r="BL15" s="26">
        <f ca="1">IF($C15="","",'Outturn ex VAT'!BL15*'Global Constants'!BE$59)</f>
        <v>0</v>
      </c>
      <c r="BM15" s="26">
        <f ca="1">IF($C15="","",'Outturn ex VAT'!BM15*'Global Constants'!BF$59)</f>
        <v>0</v>
      </c>
      <c r="BN15" s="26">
        <f ca="1">IF($C15="","",'Outturn ex VAT'!BN15*'Global Constants'!BG$59)</f>
        <v>0</v>
      </c>
      <c r="BO15" s="26">
        <f ca="1">IF($C15="","",'Outturn ex VAT'!BO15*'Global Constants'!BH$59)</f>
        <v>0</v>
      </c>
      <c r="BP15" s="26">
        <f ca="1">IF($C15="","",'Outturn ex VAT'!BP15*'Global Constants'!BI$59)</f>
        <v>0</v>
      </c>
      <c r="BQ15" s="26">
        <f ca="1">IF($C15="","",'Outturn ex VAT'!BQ15*'Global Constants'!BJ$59)</f>
        <v>0</v>
      </c>
      <c r="BR15" s="26">
        <f ca="1">IF($C15="","",'Outturn ex VAT'!BR15*'Global Constants'!BK$59)</f>
        <v>0</v>
      </c>
      <c r="BS15" s="26">
        <f ca="1">IF($C15="","",'Outturn ex VAT'!BS15*'Global Constants'!BL$59)</f>
        <v>0</v>
      </c>
      <c r="BT15" s="26">
        <f ca="1">IF($C15="","",'Outturn ex VAT'!BT15*'Global Constants'!BM$59)</f>
        <v>0</v>
      </c>
      <c r="BU15" s="26">
        <f ca="1">IF($C15="","",'Outturn ex VAT'!BU15*'Global Constants'!BN$59)</f>
        <v>0</v>
      </c>
      <c r="BV15" s="26">
        <f ca="1">IF($C15="","",'Outturn ex VAT'!BV15*'Global Constants'!BO$59)</f>
        <v>0</v>
      </c>
      <c r="BW15" s="26">
        <f ca="1">IF($C15="","",'Outturn ex VAT'!BW15*'Global Constants'!BP$59)</f>
        <v>0</v>
      </c>
      <c r="BX15" s="26">
        <f ca="1">IF($C15="","",'Outturn ex VAT'!BX15*'Global Constants'!BQ$59)</f>
        <v>0</v>
      </c>
      <c r="BY15" s="26">
        <f ca="1">IF($C15="","",'Outturn ex VAT'!BY15*'Global Constants'!BR$59)</f>
        <v>0</v>
      </c>
      <c r="BZ15" s="26">
        <f ca="1">IF($C15="","",'Outturn ex VAT'!BZ15*'Global Constants'!BS$59)</f>
        <v>0</v>
      </c>
      <c r="CA15" s="26">
        <f ca="1">IF($C15="","",'Outturn ex VAT'!CA15*'Global Constants'!BT$59)</f>
        <v>0</v>
      </c>
      <c r="CB15" s="26">
        <f ca="1">IF($C15="","",'Outturn ex VAT'!CB15*'Global Constants'!BU$59)</f>
        <v>0</v>
      </c>
      <c r="CC15" s="26">
        <f ca="1">IF($C15="","",'Outturn ex VAT'!CC15*'Global Constants'!BV$59)</f>
        <v>0</v>
      </c>
      <c r="CD15" s="26">
        <f ca="1">IF($C15="","",'Outturn ex VAT'!CD15*'Global Constants'!BW$59)</f>
        <v>0</v>
      </c>
      <c r="CE15" s="26">
        <f ca="1">IF($C15="","",'Outturn ex VAT'!CE15*'Global Constants'!BX$59)</f>
        <v>0</v>
      </c>
      <c r="CF15" s="26">
        <f ca="1">IF($C15="","",'Outturn ex VAT'!CF15*'Global Constants'!BY$59)</f>
        <v>0</v>
      </c>
      <c r="CG15" s="26">
        <f ca="1">IF($C15="","",'Outturn ex VAT'!CG15*'Global Constants'!BZ$59)</f>
        <v>0</v>
      </c>
      <c r="CH15" s="26">
        <f ca="1">IF($C15="","",'Outturn ex VAT'!CH15*'Global Constants'!CA$59)</f>
        <v>0</v>
      </c>
      <c r="CI15" s="26">
        <f ca="1">IF($C15="","",'Outturn ex VAT'!CI15*'Global Constants'!CB$59)</f>
        <v>0</v>
      </c>
      <c r="CJ15" s="26">
        <f ca="1">IF($C15="","",'Outturn ex VAT'!CJ15*'Global Constants'!CC$59)</f>
        <v>0</v>
      </c>
      <c r="CK15" s="26">
        <f ca="1">IF($C15="","",'Outturn ex VAT'!CK15*'Global Constants'!CD$59)</f>
        <v>0</v>
      </c>
      <c r="CL15" s="26">
        <f ca="1">IF($C15="","",'Outturn ex VAT'!CL15*'Global Constants'!CE$59)</f>
        <v>0</v>
      </c>
      <c r="CM15" s="26">
        <f ca="1">IF($C15="","",'Outturn ex VAT'!CM15*'Global Constants'!CF$59)</f>
        <v>0</v>
      </c>
      <c r="CN15" s="26">
        <f ca="1">IF($C15="","",'Outturn ex VAT'!CN15*'Global Constants'!CG$59)</f>
        <v>0</v>
      </c>
      <c r="CO15" s="26">
        <f ca="1">IF($C15="","",'Outturn ex VAT'!CO15*'Global Constants'!CH$59)</f>
        <v>0</v>
      </c>
      <c r="CP15" s="26">
        <f ca="1">IF($C15="","",'Outturn ex VAT'!CP15*'Global Constants'!CI$59)</f>
        <v>0</v>
      </c>
      <c r="CQ15" s="26">
        <f ca="1">IF($C15="","",'Outturn ex VAT'!CQ15*'Global Constants'!CJ$59)</f>
        <v>0</v>
      </c>
      <c r="CR15" s="26">
        <f ca="1">IF($C15="","",'Outturn ex VAT'!CR15*'Global Constants'!CK$59)</f>
        <v>0</v>
      </c>
      <c r="CS15" s="26">
        <f ca="1">IF($C15="","",'Outturn ex VAT'!CS15*'Global Constants'!CL$59)</f>
        <v>0</v>
      </c>
      <c r="CT15" s="26">
        <f ca="1">IF($C15="","",'Outturn ex VAT'!CT15*'Global Constants'!CM$59)</f>
        <v>0</v>
      </c>
      <c r="CU15" s="26">
        <f ca="1">IF($C15="","",'Outturn ex VAT'!CU15*'Global Constants'!CN$59)</f>
        <v>0</v>
      </c>
      <c r="CV15" s="26">
        <f ca="1">IF($C15="","",'Outturn ex VAT'!CV15*'Global Constants'!CO$59)</f>
        <v>0</v>
      </c>
      <c r="CW15" s="26">
        <f ca="1">IF($C15="","",'Outturn ex VAT'!CW15*'Global Constants'!CP$59)</f>
        <v>0</v>
      </c>
      <c r="CX15" s="26">
        <f ca="1">IF($C15="","",'Outturn ex VAT'!CX15*'Global Constants'!CQ$59)</f>
        <v>0</v>
      </c>
      <c r="CZ15" s="26">
        <f t="shared" ca="1" si="0"/>
        <v>0</v>
      </c>
      <c r="DA15" s="26">
        <f t="shared" ca="1" si="1"/>
        <v>3450.413635481415</v>
      </c>
    </row>
    <row r="16" spans="1:105" x14ac:dyDescent="0.3">
      <c r="C16" s="4" t="str">
        <f>IF('Cost &amp; Risk Inputs'!C17="","",'Cost &amp; Risk Inputs'!C17)</f>
        <v>Test 7</v>
      </c>
      <c r="D16" s="4" t="str">
        <f>IF(C16="","",'Cost &amp; Risk Inputs'!H17)</f>
        <v>Assessment</v>
      </c>
      <c r="E16" s="4" t="str">
        <f>IF(C16="","",'Cost &amp; Risk Inputs'!I17)</f>
        <v>Logistics</v>
      </c>
      <c r="M16" s="26">
        <f ca="1">IF($C16="","",'Outturn ex VAT'!M16*'Global Constants'!F$59)</f>
        <v>0</v>
      </c>
      <c r="N16" s="26">
        <f ca="1">IF($C16="","",'Outturn ex VAT'!N16*'Global Constants'!G$59)</f>
        <v>0</v>
      </c>
      <c r="O16" s="26">
        <f ca="1">IF($C16="","",'Outturn ex VAT'!O16*'Global Constants'!H$59)</f>
        <v>0</v>
      </c>
      <c r="P16" s="26">
        <f ca="1">IF($C16="","",'Outturn ex VAT'!P16*'Global Constants'!I$59)</f>
        <v>0</v>
      </c>
      <c r="Q16" s="26">
        <f ca="1">IF($C16="","",'Outturn ex VAT'!Q16*'Global Constants'!J$59)</f>
        <v>0</v>
      </c>
      <c r="R16" s="26">
        <f ca="1">IF($C16="","",'Outturn ex VAT'!R16*'Global Constants'!K$59)</f>
        <v>0</v>
      </c>
      <c r="S16" s="26">
        <f ca="1">IF($C16="","",'Outturn ex VAT'!S16*'Global Constants'!L$59)</f>
        <v>0</v>
      </c>
      <c r="T16" s="26">
        <f ca="1">IF($C16="","",'Outturn ex VAT'!T16*'Global Constants'!M$59)</f>
        <v>0</v>
      </c>
      <c r="U16" s="26">
        <f ca="1">IF($C16="","",'Outturn ex VAT'!U16*'Global Constants'!N$59)</f>
        <v>0</v>
      </c>
      <c r="V16" s="26">
        <f ca="1">IF($C16="","",'Outturn ex VAT'!V16*'Global Constants'!O$59)</f>
        <v>0</v>
      </c>
      <c r="W16" s="26">
        <f ca="1">IF($C16="","",'Outturn ex VAT'!W16*'Global Constants'!P$59)</f>
        <v>0</v>
      </c>
      <c r="X16" s="26">
        <f ca="1">IF($C16="","",'Outturn ex VAT'!X16*'Global Constants'!Q$59)</f>
        <v>0</v>
      </c>
      <c r="Y16" s="26">
        <f ca="1">IF($C16="","",'Outturn ex VAT'!Y16*'Global Constants'!R$59)</f>
        <v>0</v>
      </c>
      <c r="Z16" s="26">
        <f ca="1">IF($C16="","",'Outturn ex VAT'!Z16*'Global Constants'!S$59)</f>
        <v>0</v>
      </c>
      <c r="AA16" s="26">
        <f ca="1">IF($C16="","",'Outturn ex VAT'!AA16*'Global Constants'!T$59)</f>
        <v>0</v>
      </c>
      <c r="AB16" s="26">
        <f ca="1">IF($C16="","",'Outturn ex VAT'!AB16*'Global Constants'!U$59)</f>
        <v>0</v>
      </c>
      <c r="AC16" s="26">
        <f ca="1">IF($C16="","",'Outturn ex VAT'!AC16*'Global Constants'!V$59)</f>
        <v>0</v>
      </c>
      <c r="AD16" s="26">
        <f ca="1">IF($C16="","",'Outturn ex VAT'!AD16*'Global Constants'!W$59)</f>
        <v>3004.9288487577119</v>
      </c>
      <c r="AE16" s="26">
        <f ca="1">IF($C16="","",'Outturn ex VAT'!AE16*'Global Constants'!X$59)</f>
        <v>2838.0380228254608</v>
      </c>
      <c r="AF16" s="26">
        <f ca="1">IF($C16="","",'Outturn ex VAT'!AF16*'Global Constants'!Y$59)</f>
        <v>2680.4161510622462</v>
      </c>
      <c r="AG16" s="26">
        <f ca="1">IF($C16="","",'Outturn ex VAT'!AG16*'Global Constants'!Z$59)</f>
        <v>2531.5484447676831</v>
      </c>
      <c r="AH16" s="26">
        <f ca="1">IF($C16="","",'Outturn ex VAT'!AH16*'Global Constants'!AA$59)</f>
        <v>2390.9487061051695</v>
      </c>
      <c r="AI16" s="26">
        <f ca="1">IF($C16="","",'Outturn ex VAT'!AI16*'Global Constants'!AB$59)</f>
        <v>0</v>
      </c>
      <c r="AJ16" s="26">
        <f ca="1">IF($C16="","",'Outturn ex VAT'!AJ16*'Global Constants'!AC$59)</f>
        <v>0</v>
      </c>
      <c r="AK16" s="26">
        <f ca="1">IF($C16="","",'Outturn ex VAT'!AK16*'Global Constants'!AD$59)</f>
        <v>0</v>
      </c>
      <c r="AL16" s="26">
        <f ca="1">IF($C16="","",'Outturn ex VAT'!AL16*'Global Constants'!AE$59)</f>
        <v>0</v>
      </c>
      <c r="AM16" s="26">
        <f ca="1">IF($C16="","",'Outturn ex VAT'!AM16*'Global Constants'!AF$59)</f>
        <v>0</v>
      </c>
      <c r="AN16" s="26">
        <f ca="1">IF($C16="","",'Outturn ex VAT'!AN16*'Global Constants'!AG$59)</f>
        <v>0</v>
      </c>
      <c r="AO16" s="26">
        <f ca="1">IF($C16="","",'Outturn ex VAT'!AO16*'Global Constants'!AH$59)</f>
        <v>0</v>
      </c>
      <c r="AP16" s="26">
        <f ca="1">IF($C16="","",'Outturn ex VAT'!AP16*'Global Constants'!AI$59)</f>
        <v>0</v>
      </c>
      <c r="AQ16" s="26">
        <f ca="1">IF($C16="","",'Outturn ex VAT'!AQ16*'Global Constants'!AJ$59)</f>
        <v>0</v>
      </c>
      <c r="AR16" s="26">
        <f ca="1">IF($C16="","",'Outturn ex VAT'!AR16*'Global Constants'!AK$59)</f>
        <v>0</v>
      </c>
      <c r="AS16" s="26">
        <f ca="1">IF($C16="","",'Outturn ex VAT'!AS16*'Global Constants'!AL$59)</f>
        <v>0</v>
      </c>
      <c r="AT16" s="26">
        <f ca="1">IF($C16="","",'Outturn ex VAT'!AT16*'Global Constants'!AM$59)</f>
        <v>0</v>
      </c>
      <c r="AU16" s="26">
        <f ca="1">IF($C16="","",'Outturn ex VAT'!AU16*'Global Constants'!AN$59)</f>
        <v>0</v>
      </c>
      <c r="AV16" s="26">
        <f ca="1">IF($C16="","",'Outturn ex VAT'!AV16*'Global Constants'!AO$59)</f>
        <v>0</v>
      </c>
      <c r="AW16" s="26">
        <f ca="1">IF($C16="","",'Outturn ex VAT'!AW16*'Global Constants'!AP$59)</f>
        <v>0</v>
      </c>
      <c r="AX16" s="26">
        <f ca="1">IF($C16="","",'Outturn ex VAT'!AX16*'Global Constants'!AQ$59)</f>
        <v>0</v>
      </c>
      <c r="AY16" s="26">
        <f ca="1">IF($C16="","",'Outturn ex VAT'!AY16*'Global Constants'!AR$59)</f>
        <v>0</v>
      </c>
      <c r="AZ16" s="26">
        <f ca="1">IF($C16="","",'Outturn ex VAT'!AZ16*'Global Constants'!AS$59)</f>
        <v>0</v>
      </c>
      <c r="BA16" s="26">
        <f ca="1">IF($C16="","",'Outturn ex VAT'!BA16*'Global Constants'!AT$59)</f>
        <v>0</v>
      </c>
      <c r="BB16" s="26">
        <f ca="1">IF($C16="","",'Outturn ex VAT'!BB16*'Global Constants'!AU$59)</f>
        <v>0</v>
      </c>
      <c r="BC16" s="26">
        <f ca="1">IF($C16="","",'Outturn ex VAT'!BC16*'Global Constants'!AV$59)</f>
        <v>0</v>
      </c>
      <c r="BD16" s="26">
        <f ca="1">IF($C16="","",'Outturn ex VAT'!BD16*'Global Constants'!AW$59)</f>
        <v>0</v>
      </c>
      <c r="BE16" s="26">
        <f ca="1">IF($C16="","",'Outturn ex VAT'!BE16*'Global Constants'!AX$59)</f>
        <v>0</v>
      </c>
      <c r="BF16" s="26">
        <f ca="1">IF($C16="","",'Outturn ex VAT'!BF16*'Global Constants'!AY$59)</f>
        <v>0</v>
      </c>
      <c r="BG16" s="26">
        <f ca="1">IF($C16="","",'Outturn ex VAT'!BG16*'Global Constants'!AZ$59)</f>
        <v>0</v>
      </c>
      <c r="BH16" s="26">
        <f ca="1">IF($C16="","",'Outturn ex VAT'!BH16*'Global Constants'!BA$59)</f>
        <v>0</v>
      </c>
      <c r="BI16" s="26">
        <f ca="1">IF($C16="","",'Outturn ex VAT'!BI16*'Global Constants'!BB$59)</f>
        <v>0</v>
      </c>
      <c r="BJ16" s="26">
        <f ca="1">IF($C16="","",'Outturn ex VAT'!BJ16*'Global Constants'!BC$59)</f>
        <v>0</v>
      </c>
      <c r="BK16" s="26">
        <f ca="1">IF($C16="","",'Outturn ex VAT'!BK16*'Global Constants'!BD$59)</f>
        <v>0</v>
      </c>
      <c r="BL16" s="26">
        <f ca="1">IF($C16="","",'Outturn ex VAT'!BL16*'Global Constants'!BE$59)</f>
        <v>0</v>
      </c>
      <c r="BM16" s="26">
        <f ca="1">IF($C16="","",'Outturn ex VAT'!BM16*'Global Constants'!BF$59)</f>
        <v>0</v>
      </c>
      <c r="BN16" s="26">
        <f ca="1">IF($C16="","",'Outturn ex VAT'!BN16*'Global Constants'!BG$59)</f>
        <v>0</v>
      </c>
      <c r="BO16" s="26">
        <f ca="1">IF($C16="","",'Outturn ex VAT'!BO16*'Global Constants'!BH$59)</f>
        <v>0</v>
      </c>
      <c r="BP16" s="26">
        <f ca="1">IF($C16="","",'Outturn ex VAT'!BP16*'Global Constants'!BI$59)</f>
        <v>0</v>
      </c>
      <c r="BQ16" s="26">
        <f ca="1">IF($C16="","",'Outturn ex VAT'!BQ16*'Global Constants'!BJ$59)</f>
        <v>0</v>
      </c>
      <c r="BR16" s="26">
        <f ca="1">IF($C16="","",'Outturn ex VAT'!BR16*'Global Constants'!BK$59)</f>
        <v>0</v>
      </c>
      <c r="BS16" s="26">
        <f ca="1">IF($C16="","",'Outturn ex VAT'!BS16*'Global Constants'!BL$59)</f>
        <v>0</v>
      </c>
      <c r="BT16" s="26">
        <f ca="1">IF($C16="","",'Outturn ex VAT'!BT16*'Global Constants'!BM$59)</f>
        <v>0</v>
      </c>
      <c r="BU16" s="26">
        <f ca="1">IF($C16="","",'Outturn ex VAT'!BU16*'Global Constants'!BN$59)</f>
        <v>0</v>
      </c>
      <c r="BV16" s="26">
        <f ca="1">IF($C16="","",'Outturn ex VAT'!BV16*'Global Constants'!BO$59)</f>
        <v>0</v>
      </c>
      <c r="BW16" s="26">
        <f ca="1">IF($C16="","",'Outturn ex VAT'!BW16*'Global Constants'!BP$59)</f>
        <v>0</v>
      </c>
      <c r="BX16" s="26">
        <f ca="1">IF($C16="","",'Outturn ex VAT'!BX16*'Global Constants'!BQ$59)</f>
        <v>0</v>
      </c>
      <c r="BY16" s="26">
        <f ca="1">IF($C16="","",'Outturn ex VAT'!BY16*'Global Constants'!BR$59)</f>
        <v>0</v>
      </c>
      <c r="BZ16" s="26">
        <f ca="1">IF($C16="","",'Outturn ex VAT'!BZ16*'Global Constants'!BS$59)</f>
        <v>0</v>
      </c>
      <c r="CA16" s="26">
        <f ca="1">IF($C16="","",'Outturn ex VAT'!CA16*'Global Constants'!BT$59)</f>
        <v>0</v>
      </c>
      <c r="CB16" s="26">
        <f ca="1">IF($C16="","",'Outturn ex VAT'!CB16*'Global Constants'!BU$59)</f>
        <v>0</v>
      </c>
      <c r="CC16" s="26">
        <f ca="1">IF($C16="","",'Outturn ex VAT'!CC16*'Global Constants'!BV$59)</f>
        <v>0</v>
      </c>
      <c r="CD16" s="26">
        <f ca="1">IF($C16="","",'Outturn ex VAT'!CD16*'Global Constants'!BW$59)</f>
        <v>0</v>
      </c>
      <c r="CE16" s="26">
        <f ca="1">IF($C16="","",'Outturn ex VAT'!CE16*'Global Constants'!BX$59)</f>
        <v>0</v>
      </c>
      <c r="CF16" s="26">
        <f ca="1">IF($C16="","",'Outturn ex VAT'!CF16*'Global Constants'!BY$59)</f>
        <v>0</v>
      </c>
      <c r="CG16" s="26">
        <f ca="1">IF($C16="","",'Outturn ex VAT'!CG16*'Global Constants'!BZ$59)</f>
        <v>0</v>
      </c>
      <c r="CH16" s="26">
        <f ca="1">IF($C16="","",'Outturn ex VAT'!CH16*'Global Constants'!CA$59)</f>
        <v>0</v>
      </c>
      <c r="CI16" s="26">
        <f ca="1">IF($C16="","",'Outturn ex VAT'!CI16*'Global Constants'!CB$59)</f>
        <v>0</v>
      </c>
      <c r="CJ16" s="26">
        <f ca="1">IF($C16="","",'Outturn ex VAT'!CJ16*'Global Constants'!CC$59)</f>
        <v>0</v>
      </c>
      <c r="CK16" s="26">
        <f ca="1">IF($C16="","",'Outturn ex VAT'!CK16*'Global Constants'!CD$59)</f>
        <v>0</v>
      </c>
      <c r="CL16" s="26">
        <f ca="1">IF($C16="","",'Outturn ex VAT'!CL16*'Global Constants'!CE$59)</f>
        <v>0</v>
      </c>
      <c r="CM16" s="26">
        <f ca="1">IF($C16="","",'Outturn ex VAT'!CM16*'Global Constants'!CF$59)</f>
        <v>0</v>
      </c>
      <c r="CN16" s="26">
        <f ca="1">IF($C16="","",'Outturn ex VAT'!CN16*'Global Constants'!CG$59)</f>
        <v>0</v>
      </c>
      <c r="CO16" s="26">
        <f ca="1">IF($C16="","",'Outturn ex VAT'!CO16*'Global Constants'!CH$59)</f>
        <v>0</v>
      </c>
      <c r="CP16" s="26">
        <f ca="1">IF($C16="","",'Outturn ex VAT'!CP16*'Global Constants'!CI$59)</f>
        <v>0</v>
      </c>
      <c r="CQ16" s="26">
        <f ca="1">IF($C16="","",'Outturn ex VAT'!CQ16*'Global Constants'!CJ$59)</f>
        <v>0</v>
      </c>
      <c r="CR16" s="26">
        <f ca="1">IF($C16="","",'Outturn ex VAT'!CR16*'Global Constants'!CK$59)</f>
        <v>0</v>
      </c>
      <c r="CS16" s="26">
        <f ca="1">IF($C16="","",'Outturn ex VAT'!CS16*'Global Constants'!CL$59)</f>
        <v>0</v>
      </c>
      <c r="CT16" s="26">
        <f ca="1">IF($C16="","",'Outturn ex VAT'!CT16*'Global Constants'!CM$59)</f>
        <v>0</v>
      </c>
      <c r="CU16" s="26">
        <f ca="1">IF($C16="","",'Outturn ex VAT'!CU16*'Global Constants'!CN$59)</f>
        <v>0</v>
      </c>
      <c r="CV16" s="26">
        <f ca="1">IF($C16="","",'Outturn ex VAT'!CV16*'Global Constants'!CO$59)</f>
        <v>0</v>
      </c>
      <c r="CW16" s="26">
        <f ca="1">IF($C16="","",'Outturn ex VAT'!CW16*'Global Constants'!CP$59)</f>
        <v>0</v>
      </c>
      <c r="CX16" s="26">
        <f ca="1">IF($C16="","",'Outturn ex VAT'!CX16*'Global Constants'!CQ$59)</f>
        <v>0</v>
      </c>
      <c r="CZ16" s="26">
        <f t="shared" ca="1" si="0"/>
        <v>0</v>
      </c>
      <c r="DA16" s="26">
        <f t="shared" ca="1" si="1"/>
        <v>13445.880173518271</v>
      </c>
    </row>
    <row r="17" spans="3:105" x14ac:dyDescent="0.3">
      <c r="C17" s="4" t="str">
        <f>IF('Cost &amp; Risk Inputs'!C18="","",'Cost &amp; Risk Inputs'!C18)</f>
        <v>Test 8</v>
      </c>
      <c r="D17" s="4" t="str">
        <f>IF(C17="","",'Cost &amp; Risk Inputs'!H18)</f>
        <v>Design</v>
      </c>
      <c r="E17" s="4" t="str">
        <f>IF(C17="","",'Cost &amp; Risk Inputs'!I18)</f>
        <v>Training</v>
      </c>
      <c r="M17" s="26">
        <f ca="1">IF($C17="","",'Outturn ex VAT'!M17*'Global Constants'!F$59)</f>
        <v>0</v>
      </c>
      <c r="N17" s="26">
        <f ca="1">IF($C17="","",'Outturn ex VAT'!N17*'Global Constants'!G$59)</f>
        <v>0</v>
      </c>
      <c r="O17" s="26">
        <f ca="1">IF($C17="","",'Outturn ex VAT'!O17*'Global Constants'!H$59)</f>
        <v>0</v>
      </c>
      <c r="P17" s="26">
        <f ca="1">IF($C17="","",'Outturn ex VAT'!P17*'Global Constants'!I$59)</f>
        <v>0</v>
      </c>
      <c r="Q17" s="26">
        <f ca="1">IF($C17="","",'Outturn ex VAT'!Q17*'Global Constants'!J$59)</f>
        <v>0</v>
      </c>
      <c r="R17" s="26">
        <f ca="1">IF($C17="","",'Outturn ex VAT'!R17*'Global Constants'!K$59)</f>
        <v>0</v>
      </c>
      <c r="S17" s="26">
        <f ca="1">IF($C17="","",'Outturn ex VAT'!S17*'Global Constants'!L$59)</f>
        <v>0</v>
      </c>
      <c r="T17" s="26">
        <f ca="1">IF($C17="","",'Outturn ex VAT'!T17*'Global Constants'!M$59)</f>
        <v>0</v>
      </c>
      <c r="U17" s="26">
        <f ca="1">IF($C17="","",'Outturn ex VAT'!U17*'Global Constants'!N$59)</f>
        <v>0</v>
      </c>
      <c r="V17" s="26">
        <f ca="1">IF($C17="","",'Outturn ex VAT'!V17*'Global Constants'!O$59)</f>
        <v>0</v>
      </c>
      <c r="W17" s="26">
        <f ca="1">IF($C17="","",'Outturn ex VAT'!W17*'Global Constants'!P$59)</f>
        <v>0</v>
      </c>
      <c r="X17" s="26">
        <f ca="1">IF($C17="","",'Outturn ex VAT'!X17*'Global Constants'!Q$59)</f>
        <v>0</v>
      </c>
      <c r="Y17" s="26">
        <f ca="1">IF($C17="","",'Outturn ex VAT'!Y17*'Global Constants'!R$59)</f>
        <v>0</v>
      </c>
      <c r="Z17" s="26">
        <f ca="1">IF($C17="","",'Outturn ex VAT'!Z17*'Global Constants'!S$59)</f>
        <v>0</v>
      </c>
      <c r="AA17" s="26">
        <f ca="1">IF($C17="","",'Outturn ex VAT'!AA17*'Global Constants'!T$59)</f>
        <v>0</v>
      </c>
      <c r="AB17" s="26">
        <f ca="1">IF($C17="","",'Outturn ex VAT'!AB17*'Global Constants'!U$59)</f>
        <v>0</v>
      </c>
      <c r="AC17" s="26">
        <f ca="1">IF($C17="","",'Outturn ex VAT'!AC17*'Global Constants'!V$59)</f>
        <v>0</v>
      </c>
      <c r="AD17" s="26">
        <f ca="1">IF($C17="","",'Outturn ex VAT'!AD17*'Global Constants'!W$59)</f>
        <v>4663.9720074617471</v>
      </c>
      <c r="AE17" s="26">
        <f ca="1">IF($C17="","",'Outturn ex VAT'!AE17*'Global Constants'!X$59)</f>
        <v>4404.9395379335647</v>
      </c>
      <c r="AF17" s="26">
        <f ca="1">IF($C17="","",'Outturn ex VAT'!AF17*'Global Constants'!Y$59)</f>
        <v>4160.2934798509314</v>
      </c>
      <c r="AG17" s="26">
        <f ca="1">IF($C17="","",'Outturn ex VAT'!AG17*'Global Constants'!Z$59)</f>
        <v>3929.2348259131118</v>
      </c>
      <c r="AH17" s="26">
        <f ca="1">IF($C17="","",'Outturn ex VAT'!AH17*'Global Constants'!AA$59)</f>
        <v>3711.0089449078091</v>
      </c>
      <c r="AI17" s="26">
        <f ca="1">IF($C17="","",'Outturn ex VAT'!AI17*'Global Constants'!AB$59)</f>
        <v>0</v>
      </c>
      <c r="AJ17" s="26">
        <f ca="1">IF($C17="","",'Outturn ex VAT'!AJ17*'Global Constants'!AC$59)</f>
        <v>0</v>
      </c>
      <c r="AK17" s="26">
        <f ca="1">IF($C17="","",'Outturn ex VAT'!AK17*'Global Constants'!AD$59)</f>
        <v>0</v>
      </c>
      <c r="AL17" s="26">
        <f ca="1">IF($C17="","",'Outturn ex VAT'!AL17*'Global Constants'!AE$59)</f>
        <v>0</v>
      </c>
      <c r="AM17" s="26">
        <f ca="1">IF($C17="","",'Outturn ex VAT'!AM17*'Global Constants'!AF$59)</f>
        <v>0</v>
      </c>
      <c r="AN17" s="26">
        <f ca="1">IF($C17="","",'Outturn ex VAT'!AN17*'Global Constants'!AG$59)</f>
        <v>0</v>
      </c>
      <c r="AO17" s="26">
        <f ca="1">IF($C17="","",'Outturn ex VAT'!AO17*'Global Constants'!AH$59)</f>
        <v>0</v>
      </c>
      <c r="AP17" s="26">
        <f ca="1">IF($C17="","",'Outturn ex VAT'!AP17*'Global Constants'!AI$59)</f>
        <v>0</v>
      </c>
      <c r="AQ17" s="26">
        <f ca="1">IF($C17="","",'Outturn ex VAT'!AQ17*'Global Constants'!AJ$59)</f>
        <v>0</v>
      </c>
      <c r="AR17" s="26">
        <f ca="1">IF($C17="","",'Outturn ex VAT'!AR17*'Global Constants'!AK$59)</f>
        <v>0</v>
      </c>
      <c r="AS17" s="26">
        <f ca="1">IF($C17="","",'Outturn ex VAT'!AS17*'Global Constants'!AL$59)</f>
        <v>0</v>
      </c>
      <c r="AT17" s="26">
        <f ca="1">IF($C17="","",'Outturn ex VAT'!AT17*'Global Constants'!AM$59)</f>
        <v>0</v>
      </c>
      <c r="AU17" s="26">
        <f ca="1">IF($C17="","",'Outturn ex VAT'!AU17*'Global Constants'!AN$59)</f>
        <v>0</v>
      </c>
      <c r="AV17" s="26">
        <f ca="1">IF($C17="","",'Outturn ex VAT'!AV17*'Global Constants'!AO$59)</f>
        <v>0</v>
      </c>
      <c r="AW17" s="26">
        <f ca="1">IF($C17="","",'Outturn ex VAT'!AW17*'Global Constants'!AP$59)</f>
        <v>0</v>
      </c>
      <c r="AX17" s="26">
        <f ca="1">IF($C17="","",'Outturn ex VAT'!AX17*'Global Constants'!AQ$59)</f>
        <v>0</v>
      </c>
      <c r="AY17" s="26">
        <f ca="1">IF($C17="","",'Outturn ex VAT'!AY17*'Global Constants'!AR$59)</f>
        <v>0</v>
      </c>
      <c r="AZ17" s="26">
        <f ca="1">IF($C17="","",'Outturn ex VAT'!AZ17*'Global Constants'!AS$59)</f>
        <v>0</v>
      </c>
      <c r="BA17" s="26">
        <f ca="1">IF($C17="","",'Outturn ex VAT'!BA17*'Global Constants'!AT$59)</f>
        <v>0</v>
      </c>
      <c r="BB17" s="26">
        <f ca="1">IF($C17="","",'Outturn ex VAT'!BB17*'Global Constants'!AU$59)</f>
        <v>0</v>
      </c>
      <c r="BC17" s="26">
        <f ca="1">IF($C17="","",'Outturn ex VAT'!BC17*'Global Constants'!AV$59)</f>
        <v>0</v>
      </c>
      <c r="BD17" s="26">
        <f ca="1">IF($C17="","",'Outturn ex VAT'!BD17*'Global Constants'!AW$59)</f>
        <v>0</v>
      </c>
      <c r="BE17" s="26">
        <f ca="1">IF($C17="","",'Outturn ex VAT'!BE17*'Global Constants'!AX$59)</f>
        <v>0</v>
      </c>
      <c r="BF17" s="26">
        <f ca="1">IF($C17="","",'Outturn ex VAT'!BF17*'Global Constants'!AY$59)</f>
        <v>0</v>
      </c>
      <c r="BG17" s="26">
        <f ca="1">IF($C17="","",'Outturn ex VAT'!BG17*'Global Constants'!AZ$59)</f>
        <v>0</v>
      </c>
      <c r="BH17" s="26">
        <f ca="1">IF($C17="","",'Outturn ex VAT'!BH17*'Global Constants'!BA$59)</f>
        <v>0</v>
      </c>
      <c r="BI17" s="26">
        <f ca="1">IF($C17="","",'Outturn ex VAT'!BI17*'Global Constants'!BB$59)</f>
        <v>0</v>
      </c>
      <c r="BJ17" s="26">
        <f ca="1">IF($C17="","",'Outturn ex VAT'!BJ17*'Global Constants'!BC$59)</f>
        <v>0</v>
      </c>
      <c r="BK17" s="26">
        <f ca="1">IF($C17="","",'Outturn ex VAT'!BK17*'Global Constants'!BD$59)</f>
        <v>0</v>
      </c>
      <c r="BL17" s="26">
        <f ca="1">IF($C17="","",'Outturn ex VAT'!BL17*'Global Constants'!BE$59)</f>
        <v>0</v>
      </c>
      <c r="BM17" s="26">
        <f ca="1">IF($C17="","",'Outturn ex VAT'!BM17*'Global Constants'!BF$59)</f>
        <v>0</v>
      </c>
      <c r="BN17" s="26">
        <f ca="1">IF($C17="","",'Outturn ex VAT'!BN17*'Global Constants'!BG$59)</f>
        <v>0</v>
      </c>
      <c r="BO17" s="26">
        <f ca="1">IF($C17="","",'Outturn ex VAT'!BO17*'Global Constants'!BH$59)</f>
        <v>0</v>
      </c>
      <c r="BP17" s="26">
        <f ca="1">IF($C17="","",'Outturn ex VAT'!BP17*'Global Constants'!BI$59)</f>
        <v>0</v>
      </c>
      <c r="BQ17" s="26">
        <f ca="1">IF($C17="","",'Outturn ex VAT'!BQ17*'Global Constants'!BJ$59)</f>
        <v>0</v>
      </c>
      <c r="BR17" s="26">
        <f ca="1">IF($C17="","",'Outturn ex VAT'!BR17*'Global Constants'!BK$59)</f>
        <v>0</v>
      </c>
      <c r="BS17" s="26">
        <f ca="1">IF($C17="","",'Outturn ex VAT'!BS17*'Global Constants'!BL$59)</f>
        <v>0</v>
      </c>
      <c r="BT17" s="26">
        <f ca="1">IF($C17="","",'Outturn ex VAT'!BT17*'Global Constants'!BM$59)</f>
        <v>0</v>
      </c>
      <c r="BU17" s="26">
        <f ca="1">IF($C17="","",'Outturn ex VAT'!BU17*'Global Constants'!BN$59)</f>
        <v>0</v>
      </c>
      <c r="BV17" s="26">
        <f ca="1">IF($C17="","",'Outturn ex VAT'!BV17*'Global Constants'!BO$59)</f>
        <v>0</v>
      </c>
      <c r="BW17" s="26">
        <f ca="1">IF($C17="","",'Outturn ex VAT'!BW17*'Global Constants'!BP$59)</f>
        <v>0</v>
      </c>
      <c r="BX17" s="26">
        <f ca="1">IF($C17="","",'Outturn ex VAT'!BX17*'Global Constants'!BQ$59)</f>
        <v>0</v>
      </c>
      <c r="BY17" s="26">
        <f ca="1">IF($C17="","",'Outturn ex VAT'!BY17*'Global Constants'!BR$59)</f>
        <v>0</v>
      </c>
      <c r="BZ17" s="26">
        <f ca="1">IF($C17="","",'Outturn ex VAT'!BZ17*'Global Constants'!BS$59)</f>
        <v>0</v>
      </c>
      <c r="CA17" s="26">
        <f ca="1">IF($C17="","",'Outturn ex VAT'!CA17*'Global Constants'!BT$59)</f>
        <v>0</v>
      </c>
      <c r="CB17" s="26">
        <f ca="1">IF($C17="","",'Outturn ex VAT'!CB17*'Global Constants'!BU$59)</f>
        <v>0</v>
      </c>
      <c r="CC17" s="26">
        <f ca="1">IF($C17="","",'Outturn ex VAT'!CC17*'Global Constants'!BV$59)</f>
        <v>0</v>
      </c>
      <c r="CD17" s="26">
        <f ca="1">IF($C17="","",'Outturn ex VAT'!CD17*'Global Constants'!BW$59)</f>
        <v>0</v>
      </c>
      <c r="CE17" s="26">
        <f ca="1">IF($C17="","",'Outturn ex VAT'!CE17*'Global Constants'!BX$59)</f>
        <v>0</v>
      </c>
      <c r="CF17" s="26">
        <f ca="1">IF($C17="","",'Outturn ex VAT'!CF17*'Global Constants'!BY$59)</f>
        <v>0</v>
      </c>
      <c r="CG17" s="26">
        <f ca="1">IF($C17="","",'Outturn ex VAT'!CG17*'Global Constants'!BZ$59)</f>
        <v>0</v>
      </c>
      <c r="CH17" s="26">
        <f ca="1">IF($C17="","",'Outturn ex VAT'!CH17*'Global Constants'!CA$59)</f>
        <v>0</v>
      </c>
      <c r="CI17" s="26">
        <f ca="1">IF($C17="","",'Outturn ex VAT'!CI17*'Global Constants'!CB$59)</f>
        <v>0</v>
      </c>
      <c r="CJ17" s="26">
        <f ca="1">IF($C17="","",'Outturn ex VAT'!CJ17*'Global Constants'!CC$59)</f>
        <v>0</v>
      </c>
      <c r="CK17" s="26">
        <f ca="1">IF($C17="","",'Outturn ex VAT'!CK17*'Global Constants'!CD$59)</f>
        <v>0</v>
      </c>
      <c r="CL17" s="26">
        <f ca="1">IF($C17="","",'Outturn ex VAT'!CL17*'Global Constants'!CE$59)</f>
        <v>0</v>
      </c>
      <c r="CM17" s="26">
        <f ca="1">IF($C17="","",'Outturn ex VAT'!CM17*'Global Constants'!CF$59)</f>
        <v>0</v>
      </c>
      <c r="CN17" s="26">
        <f ca="1">IF($C17="","",'Outturn ex VAT'!CN17*'Global Constants'!CG$59)</f>
        <v>0</v>
      </c>
      <c r="CO17" s="26">
        <f ca="1">IF($C17="","",'Outturn ex VAT'!CO17*'Global Constants'!CH$59)</f>
        <v>0</v>
      </c>
      <c r="CP17" s="26">
        <f ca="1">IF($C17="","",'Outturn ex VAT'!CP17*'Global Constants'!CI$59)</f>
        <v>0</v>
      </c>
      <c r="CQ17" s="26">
        <f ca="1">IF($C17="","",'Outturn ex VAT'!CQ17*'Global Constants'!CJ$59)</f>
        <v>0</v>
      </c>
      <c r="CR17" s="26">
        <f ca="1">IF($C17="","",'Outturn ex VAT'!CR17*'Global Constants'!CK$59)</f>
        <v>0</v>
      </c>
      <c r="CS17" s="26">
        <f ca="1">IF($C17="","",'Outturn ex VAT'!CS17*'Global Constants'!CL$59)</f>
        <v>0</v>
      </c>
      <c r="CT17" s="26">
        <f ca="1">IF($C17="","",'Outturn ex VAT'!CT17*'Global Constants'!CM$59)</f>
        <v>0</v>
      </c>
      <c r="CU17" s="26">
        <f ca="1">IF($C17="","",'Outturn ex VAT'!CU17*'Global Constants'!CN$59)</f>
        <v>0</v>
      </c>
      <c r="CV17" s="26">
        <f ca="1">IF($C17="","",'Outturn ex VAT'!CV17*'Global Constants'!CO$59)</f>
        <v>0</v>
      </c>
      <c r="CW17" s="26">
        <f ca="1">IF($C17="","",'Outturn ex VAT'!CW17*'Global Constants'!CP$59)</f>
        <v>0</v>
      </c>
      <c r="CX17" s="26">
        <f ca="1">IF($C17="","",'Outturn ex VAT'!CX17*'Global Constants'!CQ$59)</f>
        <v>0</v>
      </c>
      <c r="CZ17" s="26">
        <f t="shared" ca="1" si="0"/>
        <v>0</v>
      </c>
      <c r="DA17" s="26">
        <f t="shared" ca="1" si="1"/>
        <v>20869.448796067161</v>
      </c>
    </row>
    <row r="18" spans="3:105" x14ac:dyDescent="0.3">
      <c r="C18" s="4" t="str">
        <f>IF('Cost &amp; Risk Inputs'!C19="","",'Cost &amp; Risk Inputs'!C19)</f>
        <v/>
      </c>
      <c r="D18" s="4" t="str">
        <f>IF(C18="","",'Cost &amp; Risk Inputs'!H19)</f>
        <v/>
      </c>
      <c r="E18" s="4" t="str">
        <f>IF(C18="","",'Cost &amp; Risk Inputs'!I19)</f>
        <v/>
      </c>
      <c r="M18" s="26" t="str">
        <f>IF($C18="","",'Outturn ex VAT'!M18*'Global Constants'!F$59)</f>
        <v/>
      </c>
      <c r="N18" s="26" t="str">
        <f>IF($C18="","",'Outturn ex VAT'!N18*'Global Constants'!G$59)</f>
        <v/>
      </c>
      <c r="O18" s="26" t="str">
        <f>IF($C18="","",'Outturn ex VAT'!O18*'Global Constants'!H$59)</f>
        <v/>
      </c>
      <c r="P18" s="26" t="str">
        <f>IF($C18="","",'Outturn ex VAT'!P18*'Global Constants'!I$59)</f>
        <v/>
      </c>
      <c r="Q18" s="26" t="str">
        <f>IF($C18="","",'Outturn ex VAT'!Q18*'Global Constants'!J$59)</f>
        <v/>
      </c>
      <c r="R18" s="26" t="str">
        <f>IF($C18="","",'Outturn ex VAT'!R18*'Global Constants'!K$59)</f>
        <v/>
      </c>
      <c r="S18" s="26" t="str">
        <f>IF($C18="","",'Outturn ex VAT'!S18*'Global Constants'!L$59)</f>
        <v/>
      </c>
      <c r="T18" s="26" t="str">
        <f>IF($C18="","",'Outturn ex VAT'!T18*'Global Constants'!M$59)</f>
        <v/>
      </c>
      <c r="U18" s="26" t="str">
        <f>IF($C18="","",'Outturn ex VAT'!U18*'Global Constants'!N$59)</f>
        <v/>
      </c>
      <c r="V18" s="26" t="str">
        <f>IF($C18="","",'Outturn ex VAT'!V18*'Global Constants'!O$59)</f>
        <v/>
      </c>
      <c r="W18" s="26" t="str">
        <f>IF($C18="","",'Outturn ex VAT'!W18*'Global Constants'!P$59)</f>
        <v/>
      </c>
      <c r="X18" s="26" t="str">
        <f>IF($C18="","",'Outturn ex VAT'!X18*'Global Constants'!Q$59)</f>
        <v/>
      </c>
      <c r="Y18" s="26" t="str">
        <f>IF($C18="","",'Outturn ex VAT'!Y18*'Global Constants'!R$59)</f>
        <v/>
      </c>
      <c r="Z18" s="26" t="str">
        <f>IF($C18="","",'Outturn ex VAT'!Z18*'Global Constants'!S$59)</f>
        <v/>
      </c>
      <c r="AA18" s="26" t="str">
        <f>IF($C18="","",'Outturn ex VAT'!AA18*'Global Constants'!T$59)</f>
        <v/>
      </c>
      <c r="AB18" s="26" t="str">
        <f>IF($C18="","",'Outturn ex VAT'!AB18*'Global Constants'!U$59)</f>
        <v/>
      </c>
      <c r="AC18" s="26" t="str">
        <f>IF($C18="","",'Outturn ex VAT'!AC18*'Global Constants'!V$59)</f>
        <v/>
      </c>
      <c r="AD18" s="26" t="str">
        <f>IF($C18="","",'Outturn ex VAT'!AD18*'Global Constants'!W$59)</f>
        <v/>
      </c>
      <c r="AE18" s="26" t="str">
        <f>IF($C18="","",'Outturn ex VAT'!AE18*'Global Constants'!X$59)</f>
        <v/>
      </c>
      <c r="AF18" s="26" t="str">
        <f>IF($C18="","",'Outturn ex VAT'!AF18*'Global Constants'!Y$59)</f>
        <v/>
      </c>
      <c r="AG18" s="26" t="str">
        <f>IF($C18="","",'Outturn ex VAT'!AG18*'Global Constants'!Z$59)</f>
        <v/>
      </c>
      <c r="AH18" s="26" t="str">
        <f>IF($C18="","",'Outturn ex VAT'!AH18*'Global Constants'!AA$59)</f>
        <v/>
      </c>
      <c r="AI18" s="26" t="str">
        <f>IF($C18="","",'Outturn ex VAT'!AI18*'Global Constants'!AB$59)</f>
        <v/>
      </c>
      <c r="AJ18" s="26" t="str">
        <f>IF($C18="","",'Outturn ex VAT'!AJ18*'Global Constants'!AC$59)</f>
        <v/>
      </c>
      <c r="AK18" s="26" t="str">
        <f>IF($C18="","",'Outturn ex VAT'!AK18*'Global Constants'!AD$59)</f>
        <v/>
      </c>
      <c r="AL18" s="26" t="str">
        <f>IF($C18="","",'Outturn ex VAT'!AL18*'Global Constants'!AE$59)</f>
        <v/>
      </c>
      <c r="AM18" s="26" t="str">
        <f>IF($C18="","",'Outturn ex VAT'!AM18*'Global Constants'!AF$59)</f>
        <v/>
      </c>
      <c r="AN18" s="26" t="str">
        <f>IF($C18="","",'Outturn ex VAT'!AN18*'Global Constants'!AG$59)</f>
        <v/>
      </c>
      <c r="AO18" s="26" t="str">
        <f>IF($C18="","",'Outturn ex VAT'!AO18*'Global Constants'!AH$59)</f>
        <v/>
      </c>
      <c r="AP18" s="26" t="str">
        <f>IF($C18="","",'Outturn ex VAT'!AP18*'Global Constants'!AI$59)</f>
        <v/>
      </c>
      <c r="AQ18" s="26" t="str">
        <f>IF($C18="","",'Outturn ex VAT'!AQ18*'Global Constants'!AJ$59)</f>
        <v/>
      </c>
      <c r="AR18" s="26" t="str">
        <f>IF($C18="","",'Outturn ex VAT'!AR18*'Global Constants'!AK$59)</f>
        <v/>
      </c>
      <c r="AS18" s="26" t="str">
        <f>IF($C18="","",'Outturn ex VAT'!AS18*'Global Constants'!AL$59)</f>
        <v/>
      </c>
      <c r="AT18" s="26" t="str">
        <f>IF($C18="","",'Outturn ex VAT'!AT18*'Global Constants'!AM$59)</f>
        <v/>
      </c>
      <c r="AU18" s="26" t="str">
        <f>IF($C18="","",'Outturn ex VAT'!AU18*'Global Constants'!AN$59)</f>
        <v/>
      </c>
      <c r="AV18" s="26" t="str">
        <f>IF($C18="","",'Outturn ex VAT'!AV18*'Global Constants'!AO$59)</f>
        <v/>
      </c>
      <c r="AW18" s="26" t="str">
        <f>IF($C18="","",'Outturn ex VAT'!AW18*'Global Constants'!AP$59)</f>
        <v/>
      </c>
      <c r="AX18" s="26" t="str">
        <f>IF($C18="","",'Outturn ex VAT'!AX18*'Global Constants'!AQ$59)</f>
        <v/>
      </c>
      <c r="AY18" s="26" t="str">
        <f>IF($C18="","",'Outturn ex VAT'!AY18*'Global Constants'!AR$59)</f>
        <v/>
      </c>
      <c r="AZ18" s="26" t="str">
        <f>IF($C18="","",'Outturn ex VAT'!AZ18*'Global Constants'!AS$59)</f>
        <v/>
      </c>
      <c r="BA18" s="26" t="str">
        <f>IF($C18="","",'Outturn ex VAT'!BA18*'Global Constants'!AT$59)</f>
        <v/>
      </c>
      <c r="BB18" s="26" t="str">
        <f>IF($C18="","",'Outturn ex VAT'!BB18*'Global Constants'!AU$59)</f>
        <v/>
      </c>
      <c r="BC18" s="26" t="str">
        <f>IF($C18="","",'Outturn ex VAT'!BC18*'Global Constants'!AV$59)</f>
        <v/>
      </c>
      <c r="BD18" s="26" t="str">
        <f>IF($C18="","",'Outturn ex VAT'!BD18*'Global Constants'!AW$59)</f>
        <v/>
      </c>
      <c r="BE18" s="26" t="str">
        <f>IF($C18="","",'Outturn ex VAT'!BE18*'Global Constants'!AX$59)</f>
        <v/>
      </c>
      <c r="BF18" s="26" t="str">
        <f>IF($C18="","",'Outturn ex VAT'!BF18*'Global Constants'!AY$59)</f>
        <v/>
      </c>
      <c r="BG18" s="26" t="str">
        <f>IF($C18="","",'Outturn ex VAT'!BG18*'Global Constants'!AZ$59)</f>
        <v/>
      </c>
      <c r="BH18" s="26" t="str">
        <f>IF($C18="","",'Outturn ex VAT'!BH18*'Global Constants'!BA$59)</f>
        <v/>
      </c>
      <c r="BI18" s="26" t="str">
        <f>IF($C18="","",'Outturn ex VAT'!BI18*'Global Constants'!BB$59)</f>
        <v/>
      </c>
      <c r="BJ18" s="26" t="str">
        <f>IF($C18="","",'Outturn ex VAT'!BJ18*'Global Constants'!BC$59)</f>
        <v/>
      </c>
      <c r="BK18" s="26" t="str">
        <f>IF($C18="","",'Outturn ex VAT'!BK18*'Global Constants'!BD$59)</f>
        <v/>
      </c>
      <c r="BL18" s="26" t="str">
        <f>IF($C18="","",'Outturn ex VAT'!BL18*'Global Constants'!BE$59)</f>
        <v/>
      </c>
      <c r="BM18" s="26" t="str">
        <f>IF($C18="","",'Outturn ex VAT'!BM18*'Global Constants'!BF$59)</f>
        <v/>
      </c>
      <c r="BN18" s="26" t="str">
        <f>IF($C18="","",'Outturn ex VAT'!BN18*'Global Constants'!BG$59)</f>
        <v/>
      </c>
      <c r="BO18" s="26" t="str">
        <f>IF($C18="","",'Outturn ex VAT'!BO18*'Global Constants'!BH$59)</f>
        <v/>
      </c>
      <c r="BP18" s="26" t="str">
        <f>IF($C18="","",'Outturn ex VAT'!BP18*'Global Constants'!BI$59)</f>
        <v/>
      </c>
      <c r="BQ18" s="26" t="str">
        <f>IF($C18="","",'Outturn ex VAT'!BQ18*'Global Constants'!BJ$59)</f>
        <v/>
      </c>
      <c r="BR18" s="26" t="str">
        <f>IF($C18="","",'Outturn ex VAT'!BR18*'Global Constants'!BK$59)</f>
        <v/>
      </c>
      <c r="BS18" s="26" t="str">
        <f>IF($C18="","",'Outturn ex VAT'!BS18*'Global Constants'!BL$59)</f>
        <v/>
      </c>
      <c r="BT18" s="26" t="str">
        <f>IF($C18="","",'Outturn ex VAT'!BT18*'Global Constants'!BM$59)</f>
        <v/>
      </c>
      <c r="BU18" s="26" t="str">
        <f>IF($C18="","",'Outturn ex VAT'!BU18*'Global Constants'!BN$59)</f>
        <v/>
      </c>
      <c r="BV18" s="26" t="str">
        <f>IF($C18="","",'Outturn ex VAT'!BV18*'Global Constants'!BO$59)</f>
        <v/>
      </c>
      <c r="BW18" s="26" t="str">
        <f>IF($C18="","",'Outturn ex VAT'!BW18*'Global Constants'!BP$59)</f>
        <v/>
      </c>
      <c r="BX18" s="26" t="str">
        <f>IF($C18="","",'Outturn ex VAT'!BX18*'Global Constants'!BQ$59)</f>
        <v/>
      </c>
      <c r="BY18" s="26" t="str">
        <f>IF($C18="","",'Outturn ex VAT'!BY18*'Global Constants'!BR$59)</f>
        <v/>
      </c>
      <c r="BZ18" s="26" t="str">
        <f>IF($C18="","",'Outturn ex VAT'!BZ18*'Global Constants'!BS$59)</f>
        <v/>
      </c>
      <c r="CA18" s="26" t="str">
        <f>IF($C18="","",'Outturn ex VAT'!CA18*'Global Constants'!BT$59)</f>
        <v/>
      </c>
      <c r="CB18" s="26" t="str">
        <f>IF($C18="","",'Outturn ex VAT'!CB18*'Global Constants'!BU$59)</f>
        <v/>
      </c>
      <c r="CC18" s="26" t="str">
        <f>IF($C18="","",'Outturn ex VAT'!CC18*'Global Constants'!BV$59)</f>
        <v/>
      </c>
      <c r="CD18" s="26" t="str">
        <f>IF($C18="","",'Outturn ex VAT'!CD18*'Global Constants'!BW$59)</f>
        <v/>
      </c>
      <c r="CE18" s="26" t="str">
        <f>IF($C18="","",'Outturn ex VAT'!CE18*'Global Constants'!BX$59)</f>
        <v/>
      </c>
      <c r="CF18" s="26" t="str">
        <f>IF($C18="","",'Outturn ex VAT'!CF18*'Global Constants'!BY$59)</f>
        <v/>
      </c>
      <c r="CG18" s="26" t="str">
        <f>IF($C18="","",'Outturn ex VAT'!CG18*'Global Constants'!BZ$59)</f>
        <v/>
      </c>
      <c r="CH18" s="26" t="str">
        <f>IF($C18="","",'Outturn ex VAT'!CH18*'Global Constants'!CA$59)</f>
        <v/>
      </c>
      <c r="CI18" s="26" t="str">
        <f>IF($C18="","",'Outturn ex VAT'!CI18*'Global Constants'!CB$59)</f>
        <v/>
      </c>
      <c r="CJ18" s="26" t="str">
        <f>IF($C18="","",'Outturn ex VAT'!CJ18*'Global Constants'!CC$59)</f>
        <v/>
      </c>
      <c r="CK18" s="26" t="str">
        <f>IF($C18="","",'Outturn ex VAT'!CK18*'Global Constants'!CD$59)</f>
        <v/>
      </c>
      <c r="CL18" s="26" t="str">
        <f>IF($C18="","",'Outturn ex VAT'!CL18*'Global Constants'!CE$59)</f>
        <v/>
      </c>
      <c r="CM18" s="26" t="str">
        <f>IF($C18="","",'Outturn ex VAT'!CM18*'Global Constants'!CF$59)</f>
        <v/>
      </c>
      <c r="CN18" s="26" t="str">
        <f>IF($C18="","",'Outturn ex VAT'!CN18*'Global Constants'!CG$59)</f>
        <v/>
      </c>
      <c r="CO18" s="26" t="str">
        <f>IF($C18="","",'Outturn ex VAT'!CO18*'Global Constants'!CH$59)</f>
        <v/>
      </c>
      <c r="CP18" s="26" t="str">
        <f>IF($C18="","",'Outturn ex VAT'!CP18*'Global Constants'!CI$59)</f>
        <v/>
      </c>
      <c r="CQ18" s="26" t="str">
        <f>IF($C18="","",'Outturn ex VAT'!CQ18*'Global Constants'!CJ$59)</f>
        <v/>
      </c>
      <c r="CR18" s="26" t="str">
        <f>IF($C18="","",'Outturn ex VAT'!CR18*'Global Constants'!CK$59)</f>
        <v/>
      </c>
      <c r="CS18" s="26" t="str">
        <f>IF($C18="","",'Outturn ex VAT'!CS18*'Global Constants'!CL$59)</f>
        <v/>
      </c>
      <c r="CT18" s="26" t="str">
        <f>IF($C18="","",'Outturn ex VAT'!CT18*'Global Constants'!CM$59)</f>
        <v/>
      </c>
      <c r="CU18" s="26" t="str">
        <f>IF($C18="","",'Outturn ex VAT'!CU18*'Global Constants'!CN$59)</f>
        <v/>
      </c>
      <c r="CV18" s="26" t="str">
        <f>IF($C18="","",'Outturn ex VAT'!CV18*'Global Constants'!CO$59)</f>
        <v/>
      </c>
      <c r="CW18" s="26" t="str">
        <f>IF($C18="","",'Outturn ex VAT'!CW18*'Global Constants'!CP$59)</f>
        <v/>
      </c>
      <c r="CX18" s="26" t="str">
        <f>IF($C18="","",'Outturn ex VAT'!CX18*'Global Constants'!CQ$59)</f>
        <v/>
      </c>
      <c r="CZ18" s="26">
        <f t="shared" ca="1" si="0"/>
        <v>0</v>
      </c>
      <c r="DA18" s="26">
        <f t="shared" si="1"/>
        <v>0</v>
      </c>
    </row>
    <row r="19" spans="3:105" x14ac:dyDescent="0.3">
      <c r="C19" s="4" t="str">
        <f>IF('Cost &amp; Risk Inputs'!C20="","",'Cost &amp; Risk Inputs'!C20)</f>
        <v/>
      </c>
      <c r="D19" s="4" t="str">
        <f>IF(C19="","",'Cost &amp; Risk Inputs'!H20)</f>
        <v/>
      </c>
      <c r="E19" s="4" t="str">
        <f>IF(C19="","",'Cost &amp; Risk Inputs'!I20)</f>
        <v/>
      </c>
      <c r="M19" s="26" t="str">
        <f>IF($C19="","",'Outturn ex VAT'!M19*'Global Constants'!F$59)</f>
        <v/>
      </c>
      <c r="N19" s="26" t="str">
        <f>IF($C19="","",'Outturn ex VAT'!N19*'Global Constants'!G$59)</f>
        <v/>
      </c>
      <c r="O19" s="26" t="str">
        <f>IF($C19="","",'Outturn ex VAT'!O19*'Global Constants'!H$59)</f>
        <v/>
      </c>
      <c r="P19" s="26" t="str">
        <f>IF($C19="","",'Outturn ex VAT'!P19*'Global Constants'!I$59)</f>
        <v/>
      </c>
      <c r="Q19" s="26" t="str">
        <f>IF($C19="","",'Outturn ex VAT'!Q19*'Global Constants'!J$59)</f>
        <v/>
      </c>
      <c r="R19" s="26" t="str">
        <f>IF($C19="","",'Outturn ex VAT'!R19*'Global Constants'!K$59)</f>
        <v/>
      </c>
      <c r="S19" s="26" t="str">
        <f>IF($C19="","",'Outturn ex VAT'!S19*'Global Constants'!L$59)</f>
        <v/>
      </c>
      <c r="T19" s="26" t="str">
        <f>IF($C19="","",'Outturn ex VAT'!T19*'Global Constants'!M$59)</f>
        <v/>
      </c>
      <c r="U19" s="26" t="str">
        <f>IF($C19="","",'Outturn ex VAT'!U19*'Global Constants'!N$59)</f>
        <v/>
      </c>
      <c r="V19" s="26" t="str">
        <f>IF($C19="","",'Outturn ex VAT'!V19*'Global Constants'!O$59)</f>
        <v/>
      </c>
      <c r="W19" s="26" t="str">
        <f>IF($C19="","",'Outturn ex VAT'!W19*'Global Constants'!P$59)</f>
        <v/>
      </c>
      <c r="X19" s="26" t="str">
        <f>IF($C19="","",'Outturn ex VAT'!X19*'Global Constants'!Q$59)</f>
        <v/>
      </c>
      <c r="Y19" s="26" t="str">
        <f>IF($C19="","",'Outturn ex VAT'!Y19*'Global Constants'!R$59)</f>
        <v/>
      </c>
      <c r="Z19" s="26" t="str">
        <f>IF($C19="","",'Outturn ex VAT'!Z19*'Global Constants'!S$59)</f>
        <v/>
      </c>
      <c r="AA19" s="26" t="str">
        <f>IF($C19="","",'Outturn ex VAT'!AA19*'Global Constants'!T$59)</f>
        <v/>
      </c>
      <c r="AB19" s="26" t="str">
        <f>IF($C19="","",'Outturn ex VAT'!AB19*'Global Constants'!U$59)</f>
        <v/>
      </c>
      <c r="AC19" s="26" t="str">
        <f>IF($C19="","",'Outturn ex VAT'!AC19*'Global Constants'!V$59)</f>
        <v/>
      </c>
      <c r="AD19" s="26" t="str">
        <f>IF($C19="","",'Outturn ex VAT'!AD19*'Global Constants'!W$59)</f>
        <v/>
      </c>
      <c r="AE19" s="26" t="str">
        <f>IF($C19="","",'Outturn ex VAT'!AE19*'Global Constants'!X$59)</f>
        <v/>
      </c>
      <c r="AF19" s="26" t="str">
        <f>IF($C19="","",'Outturn ex VAT'!AF19*'Global Constants'!Y$59)</f>
        <v/>
      </c>
      <c r="AG19" s="26" t="str">
        <f>IF($C19="","",'Outturn ex VAT'!AG19*'Global Constants'!Z$59)</f>
        <v/>
      </c>
      <c r="AH19" s="26" t="str">
        <f>IF($C19="","",'Outturn ex VAT'!AH19*'Global Constants'!AA$59)</f>
        <v/>
      </c>
      <c r="AI19" s="26" t="str">
        <f>IF($C19="","",'Outturn ex VAT'!AI19*'Global Constants'!AB$59)</f>
        <v/>
      </c>
      <c r="AJ19" s="26" t="str">
        <f>IF($C19="","",'Outturn ex VAT'!AJ19*'Global Constants'!AC$59)</f>
        <v/>
      </c>
      <c r="AK19" s="26" t="str">
        <f>IF($C19="","",'Outturn ex VAT'!AK19*'Global Constants'!AD$59)</f>
        <v/>
      </c>
      <c r="AL19" s="26" t="str">
        <f>IF($C19="","",'Outturn ex VAT'!AL19*'Global Constants'!AE$59)</f>
        <v/>
      </c>
      <c r="AM19" s="26" t="str">
        <f>IF($C19="","",'Outturn ex VAT'!AM19*'Global Constants'!AF$59)</f>
        <v/>
      </c>
      <c r="AN19" s="26" t="str">
        <f>IF($C19="","",'Outturn ex VAT'!AN19*'Global Constants'!AG$59)</f>
        <v/>
      </c>
      <c r="AO19" s="26" t="str">
        <f>IF($C19="","",'Outturn ex VAT'!AO19*'Global Constants'!AH$59)</f>
        <v/>
      </c>
      <c r="AP19" s="26" t="str">
        <f>IF($C19="","",'Outturn ex VAT'!AP19*'Global Constants'!AI$59)</f>
        <v/>
      </c>
      <c r="AQ19" s="26" t="str">
        <f>IF($C19="","",'Outturn ex VAT'!AQ19*'Global Constants'!AJ$59)</f>
        <v/>
      </c>
      <c r="AR19" s="26" t="str">
        <f>IF($C19="","",'Outturn ex VAT'!AR19*'Global Constants'!AK$59)</f>
        <v/>
      </c>
      <c r="AS19" s="26" t="str">
        <f>IF($C19="","",'Outturn ex VAT'!AS19*'Global Constants'!AL$59)</f>
        <v/>
      </c>
      <c r="AT19" s="26" t="str">
        <f>IF($C19="","",'Outturn ex VAT'!AT19*'Global Constants'!AM$59)</f>
        <v/>
      </c>
      <c r="AU19" s="26" t="str">
        <f>IF($C19="","",'Outturn ex VAT'!AU19*'Global Constants'!AN$59)</f>
        <v/>
      </c>
      <c r="AV19" s="26" t="str">
        <f>IF($C19="","",'Outturn ex VAT'!AV19*'Global Constants'!AO$59)</f>
        <v/>
      </c>
      <c r="AW19" s="26" t="str">
        <f>IF($C19="","",'Outturn ex VAT'!AW19*'Global Constants'!AP$59)</f>
        <v/>
      </c>
      <c r="AX19" s="26" t="str">
        <f>IF($C19="","",'Outturn ex VAT'!AX19*'Global Constants'!AQ$59)</f>
        <v/>
      </c>
      <c r="AY19" s="26" t="str">
        <f>IF($C19="","",'Outturn ex VAT'!AY19*'Global Constants'!AR$59)</f>
        <v/>
      </c>
      <c r="AZ19" s="26" t="str">
        <f>IF($C19="","",'Outturn ex VAT'!AZ19*'Global Constants'!AS$59)</f>
        <v/>
      </c>
      <c r="BA19" s="26" t="str">
        <f>IF($C19="","",'Outturn ex VAT'!BA19*'Global Constants'!AT$59)</f>
        <v/>
      </c>
      <c r="BB19" s="26" t="str">
        <f>IF($C19="","",'Outturn ex VAT'!BB19*'Global Constants'!AU$59)</f>
        <v/>
      </c>
      <c r="BC19" s="26" t="str">
        <f>IF($C19="","",'Outturn ex VAT'!BC19*'Global Constants'!AV$59)</f>
        <v/>
      </c>
      <c r="BD19" s="26" t="str">
        <f>IF($C19="","",'Outturn ex VAT'!BD19*'Global Constants'!AW$59)</f>
        <v/>
      </c>
      <c r="BE19" s="26" t="str">
        <f>IF($C19="","",'Outturn ex VAT'!BE19*'Global Constants'!AX$59)</f>
        <v/>
      </c>
      <c r="BF19" s="26" t="str">
        <f>IF($C19="","",'Outturn ex VAT'!BF19*'Global Constants'!AY$59)</f>
        <v/>
      </c>
      <c r="BG19" s="26" t="str">
        <f>IF($C19="","",'Outturn ex VAT'!BG19*'Global Constants'!AZ$59)</f>
        <v/>
      </c>
      <c r="BH19" s="26" t="str">
        <f>IF($C19="","",'Outturn ex VAT'!BH19*'Global Constants'!BA$59)</f>
        <v/>
      </c>
      <c r="BI19" s="26" t="str">
        <f>IF($C19="","",'Outturn ex VAT'!BI19*'Global Constants'!BB$59)</f>
        <v/>
      </c>
      <c r="BJ19" s="26" t="str">
        <f>IF($C19="","",'Outturn ex VAT'!BJ19*'Global Constants'!BC$59)</f>
        <v/>
      </c>
      <c r="BK19" s="26" t="str">
        <f>IF($C19="","",'Outturn ex VAT'!BK19*'Global Constants'!BD$59)</f>
        <v/>
      </c>
      <c r="BL19" s="26" t="str">
        <f>IF($C19="","",'Outturn ex VAT'!BL19*'Global Constants'!BE$59)</f>
        <v/>
      </c>
      <c r="BM19" s="26" t="str">
        <f>IF($C19="","",'Outturn ex VAT'!BM19*'Global Constants'!BF$59)</f>
        <v/>
      </c>
      <c r="BN19" s="26" t="str">
        <f>IF($C19="","",'Outturn ex VAT'!BN19*'Global Constants'!BG$59)</f>
        <v/>
      </c>
      <c r="BO19" s="26" t="str">
        <f>IF($C19="","",'Outturn ex VAT'!BO19*'Global Constants'!BH$59)</f>
        <v/>
      </c>
      <c r="BP19" s="26" t="str">
        <f>IF($C19="","",'Outturn ex VAT'!BP19*'Global Constants'!BI$59)</f>
        <v/>
      </c>
      <c r="BQ19" s="26" t="str">
        <f>IF($C19="","",'Outturn ex VAT'!BQ19*'Global Constants'!BJ$59)</f>
        <v/>
      </c>
      <c r="BR19" s="26" t="str">
        <f>IF($C19="","",'Outturn ex VAT'!BR19*'Global Constants'!BK$59)</f>
        <v/>
      </c>
      <c r="BS19" s="26" t="str">
        <f>IF($C19="","",'Outturn ex VAT'!BS19*'Global Constants'!BL$59)</f>
        <v/>
      </c>
      <c r="BT19" s="26" t="str">
        <f>IF($C19="","",'Outturn ex VAT'!BT19*'Global Constants'!BM$59)</f>
        <v/>
      </c>
      <c r="BU19" s="26" t="str">
        <f>IF($C19="","",'Outturn ex VAT'!BU19*'Global Constants'!BN$59)</f>
        <v/>
      </c>
      <c r="BV19" s="26" t="str">
        <f>IF($C19="","",'Outturn ex VAT'!BV19*'Global Constants'!BO$59)</f>
        <v/>
      </c>
      <c r="BW19" s="26" t="str">
        <f>IF($C19="","",'Outturn ex VAT'!BW19*'Global Constants'!BP$59)</f>
        <v/>
      </c>
      <c r="BX19" s="26" t="str">
        <f>IF($C19="","",'Outturn ex VAT'!BX19*'Global Constants'!BQ$59)</f>
        <v/>
      </c>
      <c r="BY19" s="26" t="str">
        <f>IF($C19="","",'Outturn ex VAT'!BY19*'Global Constants'!BR$59)</f>
        <v/>
      </c>
      <c r="BZ19" s="26" t="str">
        <f>IF($C19="","",'Outturn ex VAT'!BZ19*'Global Constants'!BS$59)</f>
        <v/>
      </c>
      <c r="CA19" s="26" t="str">
        <f>IF($C19="","",'Outturn ex VAT'!CA19*'Global Constants'!BT$59)</f>
        <v/>
      </c>
      <c r="CB19" s="26" t="str">
        <f>IF($C19="","",'Outturn ex VAT'!CB19*'Global Constants'!BU$59)</f>
        <v/>
      </c>
      <c r="CC19" s="26" t="str">
        <f>IF($C19="","",'Outturn ex VAT'!CC19*'Global Constants'!BV$59)</f>
        <v/>
      </c>
      <c r="CD19" s="26" t="str">
        <f>IF($C19="","",'Outturn ex VAT'!CD19*'Global Constants'!BW$59)</f>
        <v/>
      </c>
      <c r="CE19" s="26" t="str">
        <f>IF($C19="","",'Outturn ex VAT'!CE19*'Global Constants'!BX$59)</f>
        <v/>
      </c>
      <c r="CF19" s="26" t="str">
        <f>IF($C19="","",'Outturn ex VAT'!CF19*'Global Constants'!BY$59)</f>
        <v/>
      </c>
      <c r="CG19" s="26" t="str">
        <f>IF($C19="","",'Outturn ex VAT'!CG19*'Global Constants'!BZ$59)</f>
        <v/>
      </c>
      <c r="CH19" s="26" t="str">
        <f>IF($C19="","",'Outturn ex VAT'!CH19*'Global Constants'!CA$59)</f>
        <v/>
      </c>
      <c r="CI19" s="26" t="str">
        <f>IF($C19="","",'Outturn ex VAT'!CI19*'Global Constants'!CB$59)</f>
        <v/>
      </c>
      <c r="CJ19" s="26" t="str">
        <f>IF($C19="","",'Outturn ex VAT'!CJ19*'Global Constants'!CC$59)</f>
        <v/>
      </c>
      <c r="CK19" s="26" t="str">
        <f>IF($C19="","",'Outturn ex VAT'!CK19*'Global Constants'!CD$59)</f>
        <v/>
      </c>
      <c r="CL19" s="26" t="str">
        <f>IF($C19="","",'Outturn ex VAT'!CL19*'Global Constants'!CE$59)</f>
        <v/>
      </c>
      <c r="CM19" s="26" t="str">
        <f>IF($C19="","",'Outturn ex VAT'!CM19*'Global Constants'!CF$59)</f>
        <v/>
      </c>
      <c r="CN19" s="26" t="str">
        <f>IF($C19="","",'Outturn ex VAT'!CN19*'Global Constants'!CG$59)</f>
        <v/>
      </c>
      <c r="CO19" s="26" t="str">
        <f>IF($C19="","",'Outturn ex VAT'!CO19*'Global Constants'!CH$59)</f>
        <v/>
      </c>
      <c r="CP19" s="26" t="str">
        <f>IF($C19="","",'Outturn ex VAT'!CP19*'Global Constants'!CI$59)</f>
        <v/>
      </c>
      <c r="CQ19" s="26" t="str">
        <f>IF($C19="","",'Outturn ex VAT'!CQ19*'Global Constants'!CJ$59)</f>
        <v/>
      </c>
      <c r="CR19" s="26" t="str">
        <f>IF($C19="","",'Outturn ex VAT'!CR19*'Global Constants'!CK$59)</f>
        <v/>
      </c>
      <c r="CS19" s="26" t="str">
        <f>IF($C19="","",'Outturn ex VAT'!CS19*'Global Constants'!CL$59)</f>
        <v/>
      </c>
      <c r="CT19" s="26" t="str">
        <f>IF($C19="","",'Outturn ex VAT'!CT19*'Global Constants'!CM$59)</f>
        <v/>
      </c>
      <c r="CU19" s="26" t="str">
        <f>IF($C19="","",'Outturn ex VAT'!CU19*'Global Constants'!CN$59)</f>
        <v/>
      </c>
      <c r="CV19" s="26" t="str">
        <f>IF($C19="","",'Outturn ex VAT'!CV19*'Global Constants'!CO$59)</f>
        <v/>
      </c>
      <c r="CW19" s="26" t="str">
        <f>IF($C19="","",'Outturn ex VAT'!CW19*'Global Constants'!CP$59)</f>
        <v/>
      </c>
      <c r="CX19" s="26" t="str">
        <f>IF($C19="","",'Outturn ex VAT'!CX19*'Global Constants'!CQ$59)</f>
        <v/>
      </c>
      <c r="CZ19" s="26">
        <f t="shared" ca="1" si="0"/>
        <v>0</v>
      </c>
      <c r="DA19" s="26">
        <f t="shared" si="1"/>
        <v>0</v>
      </c>
    </row>
    <row r="20" spans="3:105" x14ac:dyDescent="0.3">
      <c r="C20" s="4" t="str">
        <f>IF('Cost &amp; Risk Inputs'!C21="","",'Cost &amp; Risk Inputs'!C21)</f>
        <v/>
      </c>
      <c r="D20" s="4" t="str">
        <f>IF(C20="","",'Cost &amp; Risk Inputs'!H21)</f>
        <v/>
      </c>
      <c r="E20" s="4" t="str">
        <f>IF(C20="","",'Cost &amp; Risk Inputs'!I21)</f>
        <v/>
      </c>
      <c r="M20" s="26" t="str">
        <f>IF($C20="","",'Outturn ex VAT'!M20*'Global Constants'!F$59)</f>
        <v/>
      </c>
      <c r="N20" s="26" t="str">
        <f>IF($C20="","",'Outturn ex VAT'!N20*'Global Constants'!G$59)</f>
        <v/>
      </c>
      <c r="O20" s="26" t="str">
        <f>IF($C20="","",'Outturn ex VAT'!O20*'Global Constants'!H$59)</f>
        <v/>
      </c>
      <c r="P20" s="26" t="str">
        <f>IF($C20="","",'Outturn ex VAT'!P20*'Global Constants'!I$59)</f>
        <v/>
      </c>
      <c r="Q20" s="26" t="str">
        <f>IF($C20="","",'Outturn ex VAT'!Q20*'Global Constants'!J$59)</f>
        <v/>
      </c>
      <c r="R20" s="26" t="str">
        <f>IF($C20="","",'Outturn ex VAT'!R20*'Global Constants'!K$59)</f>
        <v/>
      </c>
      <c r="S20" s="26" t="str">
        <f>IF($C20="","",'Outturn ex VAT'!S20*'Global Constants'!L$59)</f>
        <v/>
      </c>
      <c r="T20" s="26" t="str">
        <f>IF($C20="","",'Outturn ex VAT'!T20*'Global Constants'!M$59)</f>
        <v/>
      </c>
      <c r="U20" s="26" t="str">
        <f>IF($C20="","",'Outturn ex VAT'!U20*'Global Constants'!N$59)</f>
        <v/>
      </c>
      <c r="V20" s="26" t="str">
        <f>IF($C20="","",'Outturn ex VAT'!V20*'Global Constants'!O$59)</f>
        <v/>
      </c>
      <c r="W20" s="26" t="str">
        <f>IF($C20="","",'Outturn ex VAT'!W20*'Global Constants'!P$59)</f>
        <v/>
      </c>
      <c r="X20" s="26" t="str">
        <f>IF($C20="","",'Outturn ex VAT'!X20*'Global Constants'!Q$59)</f>
        <v/>
      </c>
      <c r="Y20" s="26" t="str">
        <f>IF($C20="","",'Outturn ex VAT'!Y20*'Global Constants'!R$59)</f>
        <v/>
      </c>
      <c r="Z20" s="26" t="str">
        <f>IF($C20="","",'Outturn ex VAT'!Z20*'Global Constants'!S$59)</f>
        <v/>
      </c>
      <c r="AA20" s="26" t="str">
        <f>IF($C20="","",'Outturn ex VAT'!AA20*'Global Constants'!T$59)</f>
        <v/>
      </c>
      <c r="AB20" s="26" t="str">
        <f>IF($C20="","",'Outturn ex VAT'!AB20*'Global Constants'!U$59)</f>
        <v/>
      </c>
      <c r="AC20" s="26" t="str">
        <f>IF($C20="","",'Outturn ex VAT'!AC20*'Global Constants'!V$59)</f>
        <v/>
      </c>
      <c r="AD20" s="26" t="str">
        <f>IF($C20="","",'Outturn ex VAT'!AD20*'Global Constants'!W$59)</f>
        <v/>
      </c>
      <c r="AE20" s="26" t="str">
        <f>IF($C20="","",'Outturn ex VAT'!AE20*'Global Constants'!X$59)</f>
        <v/>
      </c>
      <c r="AF20" s="26" t="str">
        <f>IF($C20="","",'Outturn ex VAT'!AF20*'Global Constants'!Y$59)</f>
        <v/>
      </c>
      <c r="AG20" s="26" t="str">
        <f>IF($C20="","",'Outturn ex VAT'!AG20*'Global Constants'!Z$59)</f>
        <v/>
      </c>
      <c r="AH20" s="26" t="str">
        <f>IF($C20="","",'Outturn ex VAT'!AH20*'Global Constants'!AA$59)</f>
        <v/>
      </c>
      <c r="AI20" s="26" t="str">
        <f>IF($C20="","",'Outturn ex VAT'!AI20*'Global Constants'!AB$59)</f>
        <v/>
      </c>
      <c r="AJ20" s="26" t="str">
        <f>IF($C20="","",'Outturn ex VAT'!AJ20*'Global Constants'!AC$59)</f>
        <v/>
      </c>
      <c r="AK20" s="26" t="str">
        <f>IF($C20="","",'Outturn ex VAT'!AK20*'Global Constants'!AD$59)</f>
        <v/>
      </c>
      <c r="AL20" s="26" t="str">
        <f>IF($C20="","",'Outturn ex VAT'!AL20*'Global Constants'!AE$59)</f>
        <v/>
      </c>
      <c r="AM20" s="26" t="str">
        <f>IF($C20="","",'Outturn ex VAT'!AM20*'Global Constants'!AF$59)</f>
        <v/>
      </c>
      <c r="AN20" s="26" t="str">
        <f>IF($C20="","",'Outturn ex VAT'!AN20*'Global Constants'!AG$59)</f>
        <v/>
      </c>
      <c r="AO20" s="26" t="str">
        <f>IF($C20="","",'Outturn ex VAT'!AO20*'Global Constants'!AH$59)</f>
        <v/>
      </c>
      <c r="AP20" s="26" t="str">
        <f>IF($C20="","",'Outturn ex VAT'!AP20*'Global Constants'!AI$59)</f>
        <v/>
      </c>
      <c r="AQ20" s="26" t="str">
        <f>IF($C20="","",'Outturn ex VAT'!AQ20*'Global Constants'!AJ$59)</f>
        <v/>
      </c>
      <c r="AR20" s="26" t="str">
        <f>IF($C20="","",'Outturn ex VAT'!AR20*'Global Constants'!AK$59)</f>
        <v/>
      </c>
      <c r="AS20" s="26" t="str">
        <f>IF($C20="","",'Outturn ex VAT'!AS20*'Global Constants'!AL$59)</f>
        <v/>
      </c>
      <c r="AT20" s="26" t="str">
        <f>IF($C20="","",'Outturn ex VAT'!AT20*'Global Constants'!AM$59)</f>
        <v/>
      </c>
      <c r="AU20" s="26" t="str">
        <f>IF($C20="","",'Outturn ex VAT'!AU20*'Global Constants'!AN$59)</f>
        <v/>
      </c>
      <c r="AV20" s="26" t="str">
        <f>IF($C20="","",'Outturn ex VAT'!AV20*'Global Constants'!AO$59)</f>
        <v/>
      </c>
      <c r="AW20" s="26" t="str">
        <f>IF($C20="","",'Outturn ex VAT'!AW20*'Global Constants'!AP$59)</f>
        <v/>
      </c>
      <c r="AX20" s="26" t="str">
        <f>IF($C20="","",'Outturn ex VAT'!AX20*'Global Constants'!AQ$59)</f>
        <v/>
      </c>
      <c r="AY20" s="26" t="str">
        <f>IF($C20="","",'Outturn ex VAT'!AY20*'Global Constants'!AR$59)</f>
        <v/>
      </c>
      <c r="AZ20" s="26" t="str">
        <f>IF($C20="","",'Outturn ex VAT'!AZ20*'Global Constants'!AS$59)</f>
        <v/>
      </c>
      <c r="BA20" s="26" t="str">
        <f>IF($C20="","",'Outturn ex VAT'!BA20*'Global Constants'!AT$59)</f>
        <v/>
      </c>
      <c r="BB20" s="26" t="str">
        <f>IF($C20="","",'Outturn ex VAT'!BB20*'Global Constants'!AU$59)</f>
        <v/>
      </c>
      <c r="BC20" s="26" t="str">
        <f>IF($C20="","",'Outturn ex VAT'!BC20*'Global Constants'!AV$59)</f>
        <v/>
      </c>
      <c r="BD20" s="26" t="str">
        <f>IF($C20="","",'Outturn ex VAT'!BD20*'Global Constants'!AW$59)</f>
        <v/>
      </c>
      <c r="BE20" s="26" t="str">
        <f>IF($C20="","",'Outturn ex VAT'!BE20*'Global Constants'!AX$59)</f>
        <v/>
      </c>
      <c r="BF20" s="26" t="str">
        <f>IF($C20="","",'Outturn ex VAT'!BF20*'Global Constants'!AY$59)</f>
        <v/>
      </c>
      <c r="BG20" s="26" t="str">
        <f>IF($C20="","",'Outturn ex VAT'!BG20*'Global Constants'!AZ$59)</f>
        <v/>
      </c>
      <c r="BH20" s="26" t="str">
        <f>IF($C20="","",'Outturn ex VAT'!BH20*'Global Constants'!BA$59)</f>
        <v/>
      </c>
      <c r="BI20" s="26" t="str">
        <f>IF($C20="","",'Outturn ex VAT'!BI20*'Global Constants'!BB$59)</f>
        <v/>
      </c>
      <c r="BJ20" s="26" t="str">
        <f>IF($C20="","",'Outturn ex VAT'!BJ20*'Global Constants'!BC$59)</f>
        <v/>
      </c>
      <c r="BK20" s="26" t="str">
        <f>IF($C20="","",'Outturn ex VAT'!BK20*'Global Constants'!BD$59)</f>
        <v/>
      </c>
      <c r="BL20" s="26" t="str">
        <f>IF($C20="","",'Outturn ex VAT'!BL20*'Global Constants'!BE$59)</f>
        <v/>
      </c>
      <c r="BM20" s="26" t="str">
        <f>IF($C20="","",'Outturn ex VAT'!BM20*'Global Constants'!BF$59)</f>
        <v/>
      </c>
      <c r="BN20" s="26" t="str">
        <f>IF($C20="","",'Outturn ex VAT'!BN20*'Global Constants'!BG$59)</f>
        <v/>
      </c>
      <c r="BO20" s="26" t="str">
        <f>IF($C20="","",'Outturn ex VAT'!BO20*'Global Constants'!BH$59)</f>
        <v/>
      </c>
      <c r="BP20" s="26" t="str">
        <f>IF($C20="","",'Outturn ex VAT'!BP20*'Global Constants'!BI$59)</f>
        <v/>
      </c>
      <c r="BQ20" s="26" t="str">
        <f>IF($C20="","",'Outturn ex VAT'!BQ20*'Global Constants'!BJ$59)</f>
        <v/>
      </c>
      <c r="BR20" s="26" t="str">
        <f>IF($C20="","",'Outturn ex VAT'!BR20*'Global Constants'!BK$59)</f>
        <v/>
      </c>
      <c r="BS20" s="26" t="str">
        <f>IF($C20="","",'Outturn ex VAT'!BS20*'Global Constants'!BL$59)</f>
        <v/>
      </c>
      <c r="BT20" s="26" t="str">
        <f>IF($C20="","",'Outturn ex VAT'!BT20*'Global Constants'!BM$59)</f>
        <v/>
      </c>
      <c r="BU20" s="26" t="str">
        <f>IF($C20="","",'Outturn ex VAT'!BU20*'Global Constants'!BN$59)</f>
        <v/>
      </c>
      <c r="BV20" s="26" t="str">
        <f>IF($C20="","",'Outturn ex VAT'!BV20*'Global Constants'!BO$59)</f>
        <v/>
      </c>
      <c r="BW20" s="26" t="str">
        <f>IF($C20="","",'Outturn ex VAT'!BW20*'Global Constants'!BP$59)</f>
        <v/>
      </c>
      <c r="BX20" s="26" t="str">
        <f>IF($C20="","",'Outturn ex VAT'!BX20*'Global Constants'!BQ$59)</f>
        <v/>
      </c>
      <c r="BY20" s="26" t="str">
        <f>IF($C20="","",'Outturn ex VAT'!BY20*'Global Constants'!BR$59)</f>
        <v/>
      </c>
      <c r="BZ20" s="26" t="str">
        <f>IF($C20="","",'Outturn ex VAT'!BZ20*'Global Constants'!BS$59)</f>
        <v/>
      </c>
      <c r="CA20" s="26" t="str">
        <f>IF($C20="","",'Outturn ex VAT'!CA20*'Global Constants'!BT$59)</f>
        <v/>
      </c>
      <c r="CB20" s="26" t="str">
        <f>IF($C20="","",'Outturn ex VAT'!CB20*'Global Constants'!BU$59)</f>
        <v/>
      </c>
      <c r="CC20" s="26" t="str">
        <f>IF($C20="","",'Outturn ex VAT'!CC20*'Global Constants'!BV$59)</f>
        <v/>
      </c>
      <c r="CD20" s="26" t="str">
        <f>IF($C20="","",'Outturn ex VAT'!CD20*'Global Constants'!BW$59)</f>
        <v/>
      </c>
      <c r="CE20" s="26" t="str">
        <f>IF($C20="","",'Outturn ex VAT'!CE20*'Global Constants'!BX$59)</f>
        <v/>
      </c>
      <c r="CF20" s="26" t="str">
        <f>IF($C20="","",'Outturn ex VAT'!CF20*'Global Constants'!BY$59)</f>
        <v/>
      </c>
      <c r="CG20" s="26" t="str">
        <f>IF($C20="","",'Outturn ex VAT'!CG20*'Global Constants'!BZ$59)</f>
        <v/>
      </c>
      <c r="CH20" s="26" t="str">
        <f>IF($C20="","",'Outturn ex VAT'!CH20*'Global Constants'!CA$59)</f>
        <v/>
      </c>
      <c r="CI20" s="26" t="str">
        <f>IF($C20="","",'Outturn ex VAT'!CI20*'Global Constants'!CB$59)</f>
        <v/>
      </c>
      <c r="CJ20" s="26" t="str">
        <f>IF($C20="","",'Outturn ex VAT'!CJ20*'Global Constants'!CC$59)</f>
        <v/>
      </c>
      <c r="CK20" s="26" t="str">
        <f>IF($C20="","",'Outturn ex VAT'!CK20*'Global Constants'!CD$59)</f>
        <v/>
      </c>
      <c r="CL20" s="26" t="str">
        <f>IF($C20="","",'Outturn ex VAT'!CL20*'Global Constants'!CE$59)</f>
        <v/>
      </c>
      <c r="CM20" s="26" t="str">
        <f>IF($C20="","",'Outturn ex VAT'!CM20*'Global Constants'!CF$59)</f>
        <v/>
      </c>
      <c r="CN20" s="26" t="str">
        <f>IF($C20="","",'Outturn ex VAT'!CN20*'Global Constants'!CG$59)</f>
        <v/>
      </c>
      <c r="CO20" s="26" t="str">
        <f>IF($C20="","",'Outturn ex VAT'!CO20*'Global Constants'!CH$59)</f>
        <v/>
      </c>
      <c r="CP20" s="26" t="str">
        <f>IF($C20="","",'Outturn ex VAT'!CP20*'Global Constants'!CI$59)</f>
        <v/>
      </c>
      <c r="CQ20" s="26" t="str">
        <f>IF($C20="","",'Outturn ex VAT'!CQ20*'Global Constants'!CJ$59)</f>
        <v/>
      </c>
      <c r="CR20" s="26" t="str">
        <f>IF($C20="","",'Outturn ex VAT'!CR20*'Global Constants'!CK$59)</f>
        <v/>
      </c>
      <c r="CS20" s="26" t="str">
        <f>IF($C20="","",'Outturn ex VAT'!CS20*'Global Constants'!CL$59)</f>
        <v/>
      </c>
      <c r="CT20" s="26" t="str">
        <f>IF($C20="","",'Outturn ex VAT'!CT20*'Global Constants'!CM$59)</f>
        <v/>
      </c>
      <c r="CU20" s="26" t="str">
        <f>IF($C20="","",'Outturn ex VAT'!CU20*'Global Constants'!CN$59)</f>
        <v/>
      </c>
      <c r="CV20" s="26" t="str">
        <f>IF($C20="","",'Outturn ex VAT'!CV20*'Global Constants'!CO$59)</f>
        <v/>
      </c>
      <c r="CW20" s="26" t="str">
        <f>IF($C20="","",'Outturn ex VAT'!CW20*'Global Constants'!CP$59)</f>
        <v/>
      </c>
      <c r="CX20" s="26" t="str">
        <f>IF($C20="","",'Outturn ex VAT'!CX20*'Global Constants'!CQ$59)</f>
        <v/>
      </c>
      <c r="CZ20" s="26">
        <f t="shared" ca="1" si="0"/>
        <v>0</v>
      </c>
      <c r="DA20" s="26">
        <f t="shared" si="1"/>
        <v>0</v>
      </c>
    </row>
    <row r="21" spans="3:105" x14ac:dyDescent="0.3">
      <c r="C21" s="4" t="str">
        <f>IF('Cost &amp; Risk Inputs'!C22="","",'Cost &amp; Risk Inputs'!C22)</f>
        <v/>
      </c>
      <c r="D21" s="4" t="str">
        <f>IF(C21="","",'Cost &amp; Risk Inputs'!H22)</f>
        <v/>
      </c>
      <c r="E21" s="4" t="str">
        <f>IF(C21="","",'Cost &amp; Risk Inputs'!I22)</f>
        <v/>
      </c>
      <c r="M21" s="26" t="str">
        <f>IF($C21="","",'Outturn ex VAT'!M21*'Global Constants'!F$59)</f>
        <v/>
      </c>
      <c r="N21" s="26" t="str">
        <f>IF($C21="","",'Outturn ex VAT'!N21*'Global Constants'!G$59)</f>
        <v/>
      </c>
      <c r="O21" s="26" t="str">
        <f>IF($C21="","",'Outturn ex VAT'!O21*'Global Constants'!H$59)</f>
        <v/>
      </c>
      <c r="P21" s="26" t="str">
        <f>IF($C21="","",'Outturn ex VAT'!P21*'Global Constants'!I$59)</f>
        <v/>
      </c>
      <c r="Q21" s="26" t="str">
        <f>IF($C21="","",'Outturn ex VAT'!Q21*'Global Constants'!J$59)</f>
        <v/>
      </c>
      <c r="R21" s="26" t="str">
        <f>IF($C21="","",'Outturn ex VAT'!R21*'Global Constants'!K$59)</f>
        <v/>
      </c>
      <c r="S21" s="26" t="str">
        <f>IF($C21="","",'Outturn ex VAT'!S21*'Global Constants'!L$59)</f>
        <v/>
      </c>
      <c r="T21" s="26" t="str">
        <f>IF($C21="","",'Outturn ex VAT'!T21*'Global Constants'!M$59)</f>
        <v/>
      </c>
      <c r="U21" s="26" t="str">
        <f>IF($C21="","",'Outturn ex VAT'!U21*'Global Constants'!N$59)</f>
        <v/>
      </c>
      <c r="V21" s="26" t="str">
        <f>IF($C21="","",'Outturn ex VAT'!V21*'Global Constants'!O$59)</f>
        <v/>
      </c>
      <c r="W21" s="26" t="str">
        <f>IF($C21="","",'Outturn ex VAT'!W21*'Global Constants'!P$59)</f>
        <v/>
      </c>
      <c r="X21" s="26" t="str">
        <f>IF($C21="","",'Outturn ex VAT'!X21*'Global Constants'!Q$59)</f>
        <v/>
      </c>
      <c r="Y21" s="26" t="str">
        <f>IF($C21="","",'Outturn ex VAT'!Y21*'Global Constants'!R$59)</f>
        <v/>
      </c>
      <c r="Z21" s="26" t="str">
        <f>IF($C21="","",'Outturn ex VAT'!Z21*'Global Constants'!S$59)</f>
        <v/>
      </c>
      <c r="AA21" s="26" t="str">
        <f>IF($C21="","",'Outturn ex VAT'!AA21*'Global Constants'!T$59)</f>
        <v/>
      </c>
      <c r="AB21" s="26" t="str">
        <f>IF($C21="","",'Outturn ex VAT'!AB21*'Global Constants'!U$59)</f>
        <v/>
      </c>
      <c r="AC21" s="26" t="str">
        <f>IF($C21="","",'Outturn ex VAT'!AC21*'Global Constants'!V$59)</f>
        <v/>
      </c>
      <c r="AD21" s="26" t="str">
        <f>IF($C21="","",'Outturn ex VAT'!AD21*'Global Constants'!W$59)</f>
        <v/>
      </c>
      <c r="AE21" s="26" t="str">
        <f>IF($C21="","",'Outturn ex VAT'!AE21*'Global Constants'!X$59)</f>
        <v/>
      </c>
      <c r="AF21" s="26" t="str">
        <f>IF($C21="","",'Outturn ex VAT'!AF21*'Global Constants'!Y$59)</f>
        <v/>
      </c>
      <c r="AG21" s="26" t="str">
        <f>IF($C21="","",'Outturn ex VAT'!AG21*'Global Constants'!Z$59)</f>
        <v/>
      </c>
      <c r="AH21" s="26" t="str">
        <f>IF($C21="","",'Outturn ex VAT'!AH21*'Global Constants'!AA$59)</f>
        <v/>
      </c>
      <c r="AI21" s="26" t="str">
        <f>IF($C21="","",'Outturn ex VAT'!AI21*'Global Constants'!AB$59)</f>
        <v/>
      </c>
      <c r="AJ21" s="26" t="str">
        <f>IF($C21="","",'Outturn ex VAT'!AJ21*'Global Constants'!AC$59)</f>
        <v/>
      </c>
      <c r="AK21" s="26" t="str">
        <f>IF($C21="","",'Outturn ex VAT'!AK21*'Global Constants'!AD$59)</f>
        <v/>
      </c>
      <c r="AL21" s="26" t="str">
        <f>IF($C21="","",'Outturn ex VAT'!AL21*'Global Constants'!AE$59)</f>
        <v/>
      </c>
      <c r="AM21" s="26" t="str">
        <f>IF($C21="","",'Outturn ex VAT'!AM21*'Global Constants'!AF$59)</f>
        <v/>
      </c>
      <c r="AN21" s="26" t="str">
        <f>IF($C21="","",'Outturn ex VAT'!AN21*'Global Constants'!AG$59)</f>
        <v/>
      </c>
      <c r="AO21" s="26" t="str">
        <f>IF($C21="","",'Outturn ex VAT'!AO21*'Global Constants'!AH$59)</f>
        <v/>
      </c>
      <c r="AP21" s="26" t="str">
        <f>IF($C21="","",'Outturn ex VAT'!AP21*'Global Constants'!AI$59)</f>
        <v/>
      </c>
      <c r="AQ21" s="26" t="str">
        <f>IF($C21="","",'Outturn ex VAT'!AQ21*'Global Constants'!AJ$59)</f>
        <v/>
      </c>
      <c r="AR21" s="26" t="str">
        <f>IF($C21="","",'Outturn ex VAT'!AR21*'Global Constants'!AK$59)</f>
        <v/>
      </c>
      <c r="AS21" s="26" t="str">
        <f>IF($C21="","",'Outturn ex VAT'!AS21*'Global Constants'!AL$59)</f>
        <v/>
      </c>
      <c r="AT21" s="26" t="str">
        <f>IF($C21="","",'Outturn ex VAT'!AT21*'Global Constants'!AM$59)</f>
        <v/>
      </c>
      <c r="AU21" s="26" t="str">
        <f>IF($C21="","",'Outturn ex VAT'!AU21*'Global Constants'!AN$59)</f>
        <v/>
      </c>
      <c r="AV21" s="26" t="str">
        <f>IF($C21="","",'Outturn ex VAT'!AV21*'Global Constants'!AO$59)</f>
        <v/>
      </c>
      <c r="AW21" s="26" t="str">
        <f>IF($C21="","",'Outturn ex VAT'!AW21*'Global Constants'!AP$59)</f>
        <v/>
      </c>
      <c r="AX21" s="26" t="str">
        <f>IF($C21="","",'Outturn ex VAT'!AX21*'Global Constants'!AQ$59)</f>
        <v/>
      </c>
      <c r="AY21" s="26" t="str">
        <f>IF($C21="","",'Outturn ex VAT'!AY21*'Global Constants'!AR$59)</f>
        <v/>
      </c>
      <c r="AZ21" s="26" t="str">
        <f>IF($C21="","",'Outturn ex VAT'!AZ21*'Global Constants'!AS$59)</f>
        <v/>
      </c>
      <c r="BA21" s="26" t="str">
        <f>IF($C21="","",'Outturn ex VAT'!BA21*'Global Constants'!AT$59)</f>
        <v/>
      </c>
      <c r="BB21" s="26" t="str">
        <f>IF($C21="","",'Outturn ex VAT'!BB21*'Global Constants'!AU$59)</f>
        <v/>
      </c>
      <c r="BC21" s="26" t="str">
        <f>IF($C21="","",'Outturn ex VAT'!BC21*'Global Constants'!AV$59)</f>
        <v/>
      </c>
      <c r="BD21" s="26" t="str">
        <f>IF($C21="","",'Outturn ex VAT'!BD21*'Global Constants'!AW$59)</f>
        <v/>
      </c>
      <c r="BE21" s="26" t="str">
        <f>IF($C21="","",'Outturn ex VAT'!BE21*'Global Constants'!AX$59)</f>
        <v/>
      </c>
      <c r="BF21" s="26" t="str">
        <f>IF($C21="","",'Outturn ex VAT'!BF21*'Global Constants'!AY$59)</f>
        <v/>
      </c>
      <c r="BG21" s="26" t="str">
        <f>IF($C21="","",'Outturn ex VAT'!BG21*'Global Constants'!AZ$59)</f>
        <v/>
      </c>
      <c r="BH21" s="26" t="str">
        <f>IF($C21="","",'Outturn ex VAT'!BH21*'Global Constants'!BA$59)</f>
        <v/>
      </c>
      <c r="BI21" s="26" t="str">
        <f>IF($C21="","",'Outturn ex VAT'!BI21*'Global Constants'!BB$59)</f>
        <v/>
      </c>
      <c r="BJ21" s="26" t="str">
        <f>IF($C21="","",'Outturn ex VAT'!BJ21*'Global Constants'!BC$59)</f>
        <v/>
      </c>
      <c r="BK21" s="26" t="str">
        <f>IF($C21="","",'Outturn ex VAT'!BK21*'Global Constants'!BD$59)</f>
        <v/>
      </c>
      <c r="BL21" s="26" t="str">
        <f>IF($C21="","",'Outturn ex VAT'!BL21*'Global Constants'!BE$59)</f>
        <v/>
      </c>
      <c r="BM21" s="26" t="str">
        <f>IF($C21="","",'Outturn ex VAT'!BM21*'Global Constants'!BF$59)</f>
        <v/>
      </c>
      <c r="BN21" s="26" t="str">
        <f>IF($C21="","",'Outturn ex VAT'!BN21*'Global Constants'!BG$59)</f>
        <v/>
      </c>
      <c r="BO21" s="26" t="str">
        <f>IF($C21="","",'Outturn ex VAT'!BO21*'Global Constants'!BH$59)</f>
        <v/>
      </c>
      <c r="BP21" s="26" t="str">
        <f>IF($C21="","",'Outturn ex VAT'!BP21*'Global Constants'!BI$59)</f>
        <v/>
      </c>
      <c r="BQ21" s="26" t="str">
        <f>IF($C21="","",'Outturn ex VAT'!BQ21*'Global Constants'!BJ$59)</f>
        <v/>
      </c>
      <c r="BR21" s="26" t="str">
        <f>IF($C21="","",'Outturn ex VAT'!BR21*'Global Constants'!BK$59)</f>
        <v/>
      </c>
      <c r="BS21" s="26" t="str">
        <f>IF($C21="","",'Outturn ex VAT'!BS21*'Global Constants'!BL$59)</f>
        <v/>
      </c>
      <c r="BT21" s="26" t="str">
        <f>IF($C21="","",'Outturn ex VAT'!BT21*'Global Constants'!BM$59)</f>
        <v/>
      </c>
      <c r="BU21" s="26" t="str">
        <f>IF($C21="","",'Outturn ex VAT'!BU21*'Global Constants'!BN$59)</f>
        <v/>
      </c>
      <c r="BV21" s="26" t="str">
        <f>IF($C21="","",'Outturn ex VAT'!BV21*'Global Constants'!BO$59)</f>
        <v/>
      </c>
      <c r="BW21" s="26" t="str">
        <f>IF($C21="","",'Outturn ex VAT'!BW21*'Global Constants'!BP$59)</f>
        <v/>
      </c>
      <c r="BX21" s="26" t="str">
        <f>IF($C21="","",'Outturn ex VAT'!BX21*'Global Constants'!BQ$59)</f>
        <v/>
      </c>
      <c r="BY21" s="26" t="str">
        <f>IF($C21="","",'Outturn ex VAT'!BY21*'Global Constants'!BR$59)</f>
        <v/>
      </c>
      <c r="BZ21" s="26" t="str">
        <f>IF($C21="","",'Outturn ex VAT'!BZ21*'Global Constants'!BS$59)</f>
        <v/>
      </c>
      <c r="CA21" s="26" t="str">
        <f>IF($C21="","",'Outturn ex VAT'!CA21*'Global Constants'!BT$59)</f>
        <v/>
      </c>
      <c r="CB21" s="26" t="str">
        <f>IF($C21="","",'Outturn ex VAT'!CB21*'Global Constants'!BU$59)</f>
        <v/>
      </c>
      <c r="CC21" s="26" t="str">
        <f>IF($C21="","",'Outturn ex VAT'!CC21*'Global Constants'!BV$59)</f>
        <v/>
      </c>
      <c r="CD21" s="26" t="str">
        <f>IF($C21="","",'Outturn ex VAT'!CD21*'Global Constants'!BW$59)</f>
        <v/>
      </c>
      <c r="CE21" s="26" t="str">
        <f>IF($C21="","",'Outturn ex VAT'!CE21*'Global Constants'!BX$59)</f>
        <v/>
      </c>
      <c r="CF21" s="26" t="str">
        <f>IF($C21="","",'Outturn ex VAT'!CF21*'Global Constants'!BY$59)</f>
        <v/>
      </c>
      <c r="CG21" s="26" t="str">
        <f>IF($C21="","",'Outturn ex VAT'!CG21*'Global Constants'!BZ$59)</f>
        <v/>
      </c>
      <c r="CH21" s="26" t="str">
        <f>IF($C21="","",'Outturn ex VAT'!CH21*'Global Constants'!CA$59)</f>
        <v/>
      </c>
      <c r="CI21" s="26" t="str">
        <f>IF($C21="","",'Outturn ex VAT'!CI21*'Global Constants'!CB$59)</f>
        <v/>
      </c>
      <c r="CJ21" s="26" t="str">
        <f>IF($C21="","",'Outturn ex VAT'!CJ21*'Global Constants'!CC$59)</f>
        <v/>
      </c>
      <c r="CK21" s="26" t="str">
        <f>IF($C21="","",'Outturn ex VAT'!CK21*'Global Constants'!CD$59)</f>
        <v/>
      </c>
      <c r="CL21" s="26" t="str">
        <f>IF($C21="","",'Outturn ex VAT'!CL21*'Global Constants'!CE$59)</f>
        <v/>
      </c>
      <c r="CM21" s="26" t="str">
        <f>IF($C21="","",'Outturn ex VAT'!CM21*'Global Constants'!CF$59)</f>
        <v/>
      </c>
      <c r="CN21" s="26" t="str">
        <f>IF($C21="","",'Outturn ex VAT'!CN21*'Global Constants'!CG$59)</f>
        <v/>
      </c>
      <c r="CO21" s="26" t="str">
        <f>IF($C21="","",'Outturn ex VAT'!CO21*'Global Constants'!CH$59)</f>
        <v/>
      </c>
      <c r="CP21" s="26" t="str">
        <f>IF($C21="","",'Outturn ex VAT'!CP21*'Global Constants'!CI$59)</f>
        <v/>
      </c>
      <c r="CQ21" s="26" t="str">
        <f>IF($C21="","",'Outturn ex VAT'!CQ21*'Global Constants'!CJ$59)</f>
        <v/>
      </c>
      <c r="CR21" s="26" t="str">
        <f>IF($C21="","",'Outturn ex VAT'!CR21*'Global Constants'!CK$59)</f>
        <v/>
      </c>
      <c r="CS21" s="26" t="str">
        <f>IF($C21="","",'Outturn ex VAT'!CS21*'Global Constants'!CL$59)</f>
        <v/>
      </c>
      <c r="CT21" s="26" t="str">
        <f>IF($C21="","",'Outturn ex VAT'!CT21*'Global Constants'!CM$59)</f>
        <v/>
      </c>
      <c r="CU21" s="26" t="str">
        <f>IF($C21="","",'Outturn ex VAT'!CU21*'Global Constants'!CN$59)</f>
        <v/>
      </c>
      <c r="CV21" s="26" t="str">
        <f>IF($C21="","",'Outturn ex VAT'!CV21*'Global Constants'!CO$59)</f>
        <v/>
      </c>
      <c r="CW21" s="26" t="str">
        <f>IF($C21="","",'Outturn ex VAT'!CW21*'Global Constants'!CP$59)</f>
        <v/>
      </c>
      <c r="CX21" s="26" t="str">
        <f>IF($C21="","",'Outturn ex VAT'!CX21*'Global Constants'!CQ$59)</f>
        <v/>
      </c>
      <c r="CZ21" s="26">
        <f t="shared" ca="1" si="0"/>
        <v>0</v>
      </c>
      <c r="DA21" s="26">
        <f t="shared" si="1"/>
        <v>0</v>
      </c>
    </row>
    <row r="22" spans="3:105" x14ac:dyDescent="0.3">
      <c r="C22" s="4" t="str">
        <f>IF('Cost &amp; Risk Inputs'!C23="","",'Cost &amp; Risk Inputs'!C23)</f>
        <v/>
      </c>
      <c r="D22" s="4" t="str">
        <f>IF(C22="","",'Cost &amp; Risk Inputs'!H23)</f>
        <v/>
      </c>
      <c r="E22" s="4" t="str">
        <f>IF(C22="","",'Cost &amp; Risk Inputs'!I23)</f>
        <v/>
      </c>
      <c r="M22" s="26" t="str">
        <f>IF($C22="","",'Outturn ex VAT'!M22*'Global Constants'!F$59)</f>
        <v/>
      </c>
      <c r="N22" s="26" t="str">
        <f>IF($C22="","",'Outturn ex VAT'!N22*'Global Constants'!G$59)</f>
        <v/>
      </c>
      <c r="O22" s="26" t="str">
        <f>IF($C22="","",'Outturn ex VAT'!O22*'Global Constants'!H$59)</f>
        <v/>
      </c>
      <c r="P22" s="26" t="str">
        <f>IF($C22="","",'Outturn ex VAT'!P22*'Global Constants'!I$59)</f>
        <v/>
      </c>
      <c r="Q22" s="26" t="str">
        <f>IF($C22="","",'Outturn ex VAT'!Q22*'Global Constants'!J$59)</f>
        <v/>
      </c>
      <c r="R22" s="26" t="str">
        <f>IF($C22="","",'Outturn ex VAT'!R22*'Global Constants'!K$59)</f>
        <v/>
      </c>
      <c r="S22" s="26" t="str">
        <f>IF($C22="","",'Outturn ex VAT'!S22*'Global Constants'!L$59)</f>
        <v/>
      </c>
      <c r="T22" s="26" t="str">
        <f>IF($C22="","",'Outturn ex VAT'!T22*'Global Constants'!M$59)</f>
        <v/>
      </c>
      <c r="U22" s="26" t="str">
        <f>IF($C22="","",'Outturn ex VAT'!U22*'Global Constants'!N$59)</f>
        <v/>
      </c>
      <c r="V22" s="26" t="str">
        <f>IF($C22="","",'Outturn ex VAT'!V22*'Global Constants'!O$59)</f>
        <v/>
      </c>
      <c r="W22" s="26" t="str">
        <f>IF($C22="","",'Outturn ex VAT'!W22*'Global Constants'!P$59)</f>
        <v/>
      </c>
      <c r="X22" s="26" t="str">
        <f>IF($C22="","",'Outturn ex VAT'!X22*'Global Constants'!Q$59)</f>
        <v/>
      </c>
      <c r="Y22" s="26" t="str">
        <f>IF($C22="","",'Outturn ex VAT'!Y22*'Global Constants'!R$59)</f>
        <v/>
      </c>
      <c r="Z22" s="26" t="str">
        <f>IF($C22="","",'Outturn ex VAT'!Z22*'Global Constants'!S$59)</f>
        <v/>
      </c>
      <c r="AA22" s="26" t="str">
        <f>IF($C22="","",'Outturn ex VAT'!AA22*'Global Constants'!T$59)</f>
        <v/>
      </c>
      <c r="AB22" s="26" t="str">
        <f>IF($C22="","",'Outturn ex VAT'!AB22*'Global Constants'!U$59)</f>
        <v/>
      </c>
      <c r="AC22" s="26" t="str">
        <f>IF($C22="","",'Outturn ex VAT'!AC22*'Global Constants'!V$59)</f>
        <v/>
      </c>
      <c r="AD22" s="26" t="str">
        <f>IF($C22="","",'Outturn ex VAT'!AD22*'Global Constants'!W$59)</f>
        <v/>
      </c>
      <c r="AE22" s="26" t="str">
        <f>IF($C22="","",'Outturn ex VAT'!AE22*'Global Constants'!X$59)</f>
        <v/>
      </c>
      <c r="AF22" s="26" t="str">
        <f>IF($C22="","",'Outturn ex VAT'!AF22*'Global Constants'!Y$59)</f>
        <v/>
      </c>
      <c r="AG22" s="26" t="str">
        <f>IF($C22="","",'Outturn ex VAT'!AG22*'Global Constants'!Z$59)</f>
        <v/>
      </c>
      <c r="AH22" s="26" t="str">
        <f>IF($C22="","",'Outturn ex VAT'!AH22*'Global Constants'!AA$59)</f>
        <v/>
      </c>
      <c r="AI22" s="26" t="str">
        <f>IF($C22="","",'Outturn ex VAT'!AI22*'Global Constants'!AB$59)</f>
        <v/>
      </c>
      <c r="AJ22" s="26" t="str">
        <f>IF($C22="","",'Outturn ex VAT'!AJ22*'Global Constants'!AC$59)</f>
        <v/>
      </c>
      <c r="AK22" s="26" t="str">
        <f>IF($C22="","",'Outturn ex VAT'!AK22*'Global Constants'!AD$59)</f>
        <v/>
      </c>
      <c r="AL22" s="26" t="str">
        <f>IF($C22="","",'Outturn ex VAT'!AL22*'Global Constants'!AE$59)</f>
        <v/>
      </c>
      <c r="AM22" s="26" t="str">
        <f>IF($C22="","",'Outturn ex VAT'!AM22*'Global Constants'!AF$59)</f>
        <v/>
      </c>
      <c r="AN22" s="26" t="str">
        <f>IF($C22="","",'Outturn ex VAT'!AN22*'Global Constants'!AG$59)</f>
        <v/>
      </c>
      <c r="AO22" s="26" t="str">
        <f>IF($C22="","",'Outturn ex VAT'!AO22*'Global Constants'!AH$59)</f>
        <v/>
      </c>
      <c r="AP22" s="26" t="str">
        <f>IF($C22="","",'Outturn ex VAT'!AP22*'Global Constants'!AI$59)</f>
        <v/>
      </c>
      <c r="AQ22" s="26" t="str">
        <f>IF($C22="","",'Outturn ex VAT'!AQ22*'Global Constants'!AJ$59)</f>
        <v/>
      </c>
      <c r="AR22" s="26" t="str">
        <f>IF($C22="","",'Outturn ex VAT'!AR22*'Global Constants'!AK$59)</f>
        <v/>
      </c>
      <c r="AS22" s="26" t="str">
        <f>IF($C22="","",'Outturn ex VAT'!AS22*'Global Constants'!AL$59)</f>
        <v/>
      </c>
      <c r="AT22" s="26" t="str">
        <f>IF($C22="","",'Outturn ex VAT'!AT22*'Global Constants'!AM$59)</f>
        <v/>
      </c>
      <c r="AU22" s="26" t="str">
        <f>IF($C22="","",'Outturn ex VAT'!AU22*'Global Constants'!AN$59)</f>
        <v/>
      </c>
      <c r="AV22" s="26" t="str">
        <f>IF($C22="","",'Outturn ex VAT'!AV22*'Global Constants'!AO$59)</f>
        <v/>
      </c>
      <c r="AW22" s="26" t="str">
        <f>IF($C22="","",'Outturn ex VAT'!AW22*'Global Constants'!AP$59)</f>
        <v/>
      </c>
      <c r="AX22" s="26" t="str">
        <f>IF($C22="","",'Outturn ex VAT'!AX22*'Global Constants'!AQ$59)</f>
        <v/>
      </c>
      <c r="AY22" s="26" t="str">
        <f>IF($C22="","",'Outturn ex VAT'!AY22*'Global Constants'!AR$59)</f>
        <v/>
      </c>
      <c r="AZ22" s="26" t="str">
        <f>IF($C22="","",'Outturn ex VAT'!AZ22*'Global Constants'!AS$59)</f>
        <v/>
      </c>
      <c r="BA22" s="26" t="str">
        <f>IF($C22="","",'Outturn ex VAT'!BA22*'Global Constants'!AT$59)</f>
        <v/>
      </c>
      <c r="BB22" s="26" t="str">
        <f>IF($C22="","",'Outturn ex VAT'!BB22*'Global Constants'!AU$59)</f>
        <v/>
      </c>
      <c r="BC22" s="26" t="str">
        <f>IF($C22="","",'Outturn ex VAT'!BC22*'Global Constants'!AV$59)</f>
        <v/>
      </c>
      <c r="BD22" s="26" t="str">
        <f>IF($C22="","",'Outturn ex VAT'!BD22*'Global Constants'!AW$59)</f>
        <v/>
      </c>
      <c r="BE22" s="26" t="str">
        <f>IF($C22="","",'Outturn ex VAT'!BE22*'Global Constants'!AX$59)</f>
        <v/>
      </c>
      <c r="BF22" s="26" t="str">
        <f>IF($C22="","",'Outturn ex VAT'!BF22*'Global Constants'!AY$59)</f>
        <v/>
      </c>
      <c r="BG22" s="26" t="str">
        <f>IF($C22="","",'Outturn ex VAT'!BG22*'Global Constants'!AZ$59)</f>
        <v/>
      </c>
      <c r="BH22" s="26" t="str">
        <f>IF($C22="","",'Outturn ex VAT'!BH22*'Global Constants'!BA$59)</f>
        <v/>
      </c>
      <c r="BI22" s="26" t="str">
        <f>IF($C22="","",'Outturn ex VAT'!BI22*'Global Constants'!BB$59)</f>
        <v/>
      </c>
      <c r="BJ22" s="26" t="str">
        <f>IF($C22="","",'Outturn ex VAT'!BJ22*'Global Constants'!BC$59)</f>
        <v/>
      </c>
      <c r="BK22" s="26" t="str">
        <f>IF($C22="","",'Outturn ex VAT'!BK22*'Global Constants'!BD$59)</f>
        <v/>
      </c>
      <c r="BL22" s="26" t="str">
        <f>IF($C22="","",'Outturn ex VAT'!BL22*'Global Constants'!BE$59)</f>
        <v/>
      </c>
      <c r="BM22" s="26" t="str">
        <f>IF($C22="","",'Outturn ex VAT'!BM22*'Global Constants'!BF$59)</f>
        <v/>
      </c>
      <c r="BN22" s="26" t="str">
        <f>IF($C22="","",'Outturn ex VAT'!BN22*'Global Constants'!BG$59)</f>
        <v/>
      </c>
      <c r="BO22" s="26" t="str">
        <f>IF($C22="","",'Outturn ex VAT'!BO22*'Global Constants'!BH$59)</f>
        <v/>
      </c>
      <c r="BP22" s="26" t="str">
        <f>IF($C22="","",'Outturn ex VAT'!BP22*'Global Constants'!BI$59)</f>
        <v/>
      </c>
      <c r="BQ22" s="26" t="str">
        <f>IF($C22="","",'Outturn ex VAT'!BQ22*'Global Constants'!BJ$59)</f>
        <v/>
      </c>
      <c r="BR22" s="26" t="str">
        <f>IF($C22="","",'Outturn ex VAT'!BR22*'Global Constants'!BK$59)</f>
        <v/>
      </c>
      <c r="BS22" s="26" t="str">
        <f>IF($C22="","",'Outturn ex VAT'!BS22*'Global Constants'!BL$59)</f>
        <v/>
      </c>
      <c r="BT22" s="26" t="str">
        <f>IF($C22="","",'Outturn ex VAT'!BT22*'Global Constants'!BM$59)</f>
        <v/>
      </c>
      <c r="BU22" s="26" t="str">
        <f>IF($C22="","",'Outturn ex VAT'!BU22*'Global Constants'!BN$59)</f>
        <v/>
      </c>
      <c r="BV22" s="26" t="str">
        <f>IF($C22="","",'Outturn ex VAT'!BV22*'Global Constants'!BO$59)</f>
        <v/>
      </c>
      <c r="BW22" s="26" t="str">
        <f>IF($C22="","",'Outturn ex VAT'!BW22*'Global Constants'!BP$59)</f>
        <v/>
      </c>
      <c r="BX22" s="26" t="str">
        <f>IF($C22="","",'Outturn ex VAT'!BX22*'Global Constants'!BQ$59)</f>
        <v/>
      </c>
      <c r="BY22" s="26" t="str">
        <f>IF($C22="","",'Outturn ex VAT'!BY22*'Global Constants'!BR$59)</f>
        <v/>
      </c>
      <c r="BZ22" s="26" t="str">
        <f>IF($C22="","",'Outturn ex VAT'!BZ22*'Global Constants'!BS$59)</f>
        <v/>
      </c>
      <c r="CA22" s="26" t="str">
        <f>IF($C22="","",'Outturn ex VAT'!CA22*'Global Constants'!BT$59)</f>
        <v/>
      </c>
      <c r="CB22" s="26" t="str">
        <f>IF($C22="","",'Outturn ex VAT'!CB22*'Global Constants'!BU$59)</f>
        <v/>
      </c>
      <c r="CC22" s="26" t="str">
        <f>IF($C22="","",'Outturn ex VAT'!CC22*'Global Constants'!BV$59)</f>
        <v/>
      </c>
      <c r="CD22" s="26" t="str">
        <f>IF($C22="","",'Outturn ex VAT'!CD22*'Global Constants'!BW$59)</f>
        <v/>
      </c>
      <c r="CE22" s="26" t="str">
        <f>IF($C22="","",'Outturn ex VAT'!CE22*'Global Constants'!BX$59)</f>
        <v/>
      </c>
      <c r="CF22" s="26" t="str">
        <f>IF($C22="","",'Outturn ex VAT'!CF22*'Global Constants'!BY$59)</f>
        <v/>
      </c>
      <c r="CG22" s="26" t="str">
        <f>IF($C22="","",'Outturn ex VAT'!CG22*'Global Constants'!BZ$59)</f>
        <v/>
      </c>
      <c r="CH22" s="26" t="str">
        <f>IF($C22="","",'Outturn ex VAT'!CH22*'Global Constants'!CA$59)</f>
        <v/>
      </c>
      <c r="CI22" s="26" t="str">
        <f>IF($C22="","",'Outturn ex VAT'!CI22*'Global Constants'!CB$59)</f>
        <v/>
      </c>
      <c r="CJ22" s="26" t="str">
        <f>IF($C22="","",'Outturn ex VAT'!CJ22*'Global Constants'!CC$59)</f>
        <v/>
      </c>
      <c r="CK22" s="26" t="str">
        <f>IF($C22="","",'Outturn ex VAT'!CK22*'Global Constants'!CD$59)</f>
        <v/>
      </c>
      <c r="CL22" s="26" t="str">
        <f>IF($C22="","",'Outturn ex VAT'!CL22*'Global Constants'!CE$59)</f>
        <v/>
      </c>
      <c r="CM22" s="26" t="str">
        <f>IF($C22="","",'Outturn ex VAT'!CM22*'Global Constants'!CF$59)</f>
        <v/>
      </c>
      <c r="CN22" s="26" t="str">
        <f>IF($C22="","",'Outturn ex VAT'!CN22*'Global Constants'!CG$59)</f>
        <v/>
      </c>
      <c r="CO22" s="26" t="str">
        <f>IF($C22="","",'Outturn ex VAT'!CO22*'Global Constants'!CH$59)</f>
        <v/>
      </c>
      <c r="CP22" s="26" t="str">
        <f>IF($C22="","",'Outturn ex VAT'!CP22*'Global Constants'!CI$59)</f>
        <v/>
      </c>
      <c r="CQ22" s="26" t="str">
        <f>IF($C22="","",'Outturn ex VAT'!CQ22*'Global Constants'!CJ$59)</f>
        <v/>
      </c>
      <c r="CR22" s="26" t="str">
        <f>IF($C22="","",'Outturn ex VAT'!CR22*'Global Constants'!CK$59)</f>
        <v/>
      </c>
      <c r="CS22" s="26" t="str">
        <f>IF($C22="","",'Outturn ex VAT'!CS22*'Global Constants'!CL$59)</f>
        <v/>
      </c>
      <c r="CT22" s="26" t="str">
        <f>IF($C22="","",'Outturn ex VAT'!CT22*'Global Constants'!CM$59)</f>
        <v/>
      </c>
      <c r="CU22" s="26" t="str">
        <f>IF($C22="","",'Outturn ex VAT'!CU22*'Global Constants'!CN$59)</f>
        <v/>
      </c>
      <c r="CV22" s="26" t="str">
        <f>IF($C22="","",'Outturn ex VAT'!CV22*'Global Constants'!CO$59)</f>
        <v/>
      </c>
      <c r="CW22" s="26" t="str">
        <f>IF($C22="","",'Outturn ex VAT'!CW22*'Global Constants'!CP$59)</f>
        <v/>
      </c>
      <c r="CX22" s="26" t="str">
        <f>IF($C22="","",'Outturn ex VAT'!CX22*'Global Constants'!CQ$59)</f>
        <v/>
      </c>
      <c r="CZ22" s="26">
        <f t="shared" ca="1" si="0"/>
        <v>0</v>
      </c>
      <c r="DA22" s="26">
        <f t="shared" si="1"/>
        <v>0</v>
      </c>
    </row>
    <row r="23" spans="3:105" x14ac:dyDescent="0.3">
      <c r="C23" s="4" t="str">
        <f>IF('Cost &amp; Risk Inputs'!C24="","",'Cost &amp; Risk Inputs'!C24)</f>
        <v/>
      </c>
      <c r="D23" s="4" t="str">
        <f>IF(C23="","",'Cost &amp; Risk Inputs'!H24)</f>
        <v/>
      </c>
      <c r="E23" s="4" t="str">
        <f>IF(C23="","",'Cost &amp; Risk Inputs'!I24)</f>
        <v/>
      </c>
      <c r="M23" s="26" t="str">
        <f>IF($C23="","",'Outturn ex VAT'!M23*'Global Constants'!F$59)</f>
        <v/>
      </c>
      <c r="N23" s="26" t="str">
        <f>IF($C23="","",'Outturn ex VAT'!N23*'Global Constants'!G$59)</f>
        <v/>
      </c>
      <c r="O23" s="26" t="str">
        <f>IF($C23="","",'Outturn ex VAT'!O23*'Global Constants'!H$59)</f>
        <v/>
      </c>
      <c r="P23" s="26" t="str">
        <f>IF($C23="","",'Outturn ex VAT'!P23*'Global Constants'!I$59)</f>
        <v/>
      </c>
      <c r="Q23" s="26" t="str">
        <f>IF($C23="","",'Outturn ex VAT'!Q23*'Global Constants'!J$59)</f>
        <v/>
      </c>
      <c r="R23" s="26" t="str">
        <f>IF($C23="","",'Outturn ex VAT'!R23*'Global Constants'!K$59)</f>
        <v/>
      </c>
      <c r="S23" s="26" t="str">
        <f>IF($C23="","",'Outturn ex VAT'!S23*'Global Constants'!L$59)</f>
        <v/>
      </c>
      <c r="T23" s="26" t="str">
        <f>IF($C23="","",'Outturn ex VAT'!T23*'Global Constants'!M$59)</f>
        <v/>
      </c>
      <c r="U23" s="26" t="str">
        <f>IF($C23="","",'Outturn ex VAT'!U23*'Global Constants'!N$59)</f>
        <v/>
      </c>
      <c r="V23" s="26" t="str">
        <f>IF($C23="","",'Outturn ex VAT'!V23*'Global Constants'!O$59)</f>
        <v/>
      </c>
      <c r="W23" s="26" t="str">
        <f>IF($C23="","",'Outturn ex VAT'!W23*'Global Constants'!P$59)</f>
        <v/>
      </c>
      <c r="X23" s="26" t="str">
        <f>IF($C23="","",'Outturn ex VAT'!X23*'Global Constants'!Q$59)</f>
        <v/>
      </c>
      <c r="Y23" s="26" t="str">
        <f>IF($C23="","",'Outturn ex VAT'!Y23*'Global Constants'!R$59)</f>
        <v/>
      </c>
      <c r="Z23" s="26" t="str">
        <f>IF($C23="","",'Outturn ex VAT'!Z23*'Global Constants'!S$59)</f>
        <v/>
      </c>
      <c r="AA23" s="26" t="str">
        <f>IF($C23="","",'Outturn ex VAT'!AA23*'Global Constants'!T$59)</f>
        <v/>
      </c>
      <c r="AB23" s="26" t="str">
        <f>IF($C23="","",'Outturn ex VAT'!AB23*'Global Constants'!U$59)</f>
        <v/>
      </c>
      <c r="AC23" s="26" t="str">
        <f>IF($C23="","",'Outturn ex VAT'!AC23*'Global Constants'!V$59)</f>
        <v/>
      </c>
      <c r="AD23" s="26" t="str">
        <f>IF($C23="","",'Outturn ex VAT'!AD23*'Global Constants'!W$59)</f>
        <v/>
      </c>
      <c r="AE23" s="26" t="str">
        <f>IF($C23="","",'Outturn ex VAT'!AE23*'Global Constants'!X$59)</f>
        <v/>
      </c>
      <c r="AF23" s="26" t="str">
        <f>IF($C23="","",'Outturn ex VAT'!AF23*'Global Constants'!Y$59)</f>
        <v/>
      </c>
      <c r="AG23" s="26" t="str">
        <f>IF($C23="","",'Outturn ex VAT'!AG23*'Global Constants'!Z$59)</f>
        <v/>
      </c>
      <c r="AH23" s="26" t="str">
        <f>IF($C23="","",'Outturn ex VAT'!AH23*'Global Constants'!AA$59)</f>
        <v/>
      </c>
      <c r="AI23" s="26" t="str">
        <f>IF($C23="","",'Outturn ex VAT'!AI23*'Global Constants'!AB$59)</f>
        <v/>
      </c>
      <c r="AJ23" s="26" t="str">
        <f>IF($C23="","",'Outturn ex VAT'!AJ23*'Global Constants'!AC$59)</f>
        <v/>
      </c>
      <c r="AK23" s="26" t="str">
        <f>IF($C23="","",'Outturn ex VAT'!AK23*'Global Constants'!AD$59)</f>
        <v/>
      </c>
      <c r="AL23" s="26" t="str">
        <f>IF($C23="","",'Outturn ex VAT'!AL23*'Global Constants'!AE$59)</f>
        <v/>
      </c>
      <c r="AM23" s="26" t="str">
        <f>IF($C23="","",'Outturn ex VAT'!AM23*'Global Constants'!AF$59)</f>
        <v/>
      </c>
      <c r="AN23" s="26" t="str">
        <f>IF($C23="","",'Outturn ex VAT'!AN23*'Global Constants'!AG$59)</f>
        <v/>
      </c>
      <c r="AO23" s="26" t="str">
        <f>IF($C23="","",'Outturn ex VAT'!AO23*'Global Constants'!AH$59)</f>
        <v/>
      </c>
      <c r="AP23" s="26" t="str">
        <f>IF($C23="","",'Outturn ex VAT'!AP23*'Global Constants'!AI$59)</f>
        <v/>
      </c>
      <c r="AQ23" s="26" t="str">
        <f>IF($C23="","",'Outturn ex VAT'!AQ23*'Global Constants'!AJ$59)</f>
        <v/>
      </c>
      <c r="AR23" s="26" t="str">
        <f>IF($C23="","",'Outturn ex VAT'!AR23*'Global Constants'!AK$59)</f>
        <v/>
      </c>
      <c r="AS23" s="26" t="str">
        <f>IF($C23="","",'Outturn ex VAT'!AS23*'Global Constants'!AL$59)</f>
        <v/>
      </c>
      <c r="AT23" s="26" t="str">
        <f>IF($C23="","",'Outturn ex VAT'!AT23*'Global Constants'!AM$59)</f>
        <v/>
      </c>
      <c r="AU23" s="26" t="str">
        <f>IF($C23="","",'Outturn ex VAT'!AU23*'Global Constants'!AN$59)</f>
        <v/>
      </c>
      <c r="AV23" s="26" t="str">
        <f>IF($C23="","",'Outturn ex VAT'!AV23*'Global Constants'!AO$59)</f>
        <v/>
      </c>
      <c r="AW23" s="26" t="str">
        <f>IF($C23="","",'Outturn ex VAT'!AW23*'Global Constants'!AP$59)</f>
        <v/>
      </c>
      <c r="AX23" s="26" t="str">
        <f>IF($C23="","",'Outturn ex VAT'!AX23*'Global Constants'!AQ$59)</f>
        <v/>
      </c>
      <c r="AY23" s="26" t="str">
        <f>IF($C23="","",'Outturn ex VAT'!AY23*'Global Constants'!AR$59)</f>
        <v/>
      </c>
      <c r="AZ23" s="26" t="str">
        <f>IF($C23="","",'Outturn ex VAT'!AZ23*'Global Constants'!AS$59)</f>
        <v/>
      </c>
      <c r="BA23" s="26" t="str">
        <f>IF($C23="","",'Outturn ex VAT'!BA23*'Global Constants'!AT$59)</f>
        <v/>
      </c>
      <c r="BB23" s="26" t="str">
        <f>IF($C23="","",'Outturn ex VAT'!BB23*'Global Constants'!AU$59)</f>
        <v/>
      </c>
      <c r="BC23" s="26" t="str">
        <f>IF($C23="","",'Outturn ex VAT'!BC23*'Global Constants'!AV$59)</f>
        <v/>
      </c>
      <c r="BD23" s="26" t="str">
        <f>IF($C23="","",'Outturn ex VAT'!BD23*'Global Constants'!AW$59)</f>
        <v/>
      </c>
      <c r="BE23" s="26" t="str">
        <f>IF($C23="","",'Outturn ex VAT'!BE23*'Global Constants'!AX$59)</f>
        <v/>
      </c>
      <c r="BF23" s="26" t="str">
        <f>IF($C23="","",'Outturn ex VAT'!BF23*'Global Constants'!AY$59)</f>
        <v/>
      </c>
      <c r="BG23" s="26" t="str">
        <f>IF($C23="","",'Outturn ex VAT'!BG23*'Global Constants'!AZ$59)</f>
        <v/>
      </c>
      <c r="BH23" s="26" t="str">
        <f>IF($C23="","",'Outturn ex VAT'!BH23*'Global Constants'!BA$59)</f>
        <v/>
      </c>
      <c r="BI23" s="26" t="str">
        <f>IF($C23="","",'Outturn ex VAT'!BI23*'Global Constants'!BB$59)</f>
        <v/>
      </c>
      <c r="BJ23" s="26" t="str">
        <f>IF($C23="","",'Outturn ex VAT'!BJ23*'Global Constants'!BC$59)</f>
        <v/>
      </c>
      <c r="BK23" s="26" t="str">
        <f>IF($C23="","",'Outturn ex VAT'!BK23*'Global Constants'!BD$59)</f>
        <v/>
      </c>
      <c r="BL23" s="26" t="str">
        <f>IF($C23="","",'Outturn ex VAT'!BL23*'Global Constants'!BE$59)</f>
        <v/>
      </c>
      <c r="BM23" s="26" t="str">
        <f>IF($C23="","",'Outturn ex VAT'!BM23*'Global Constants'!BF$59)</f>
        <v/>
      </c>
      <c r="BN23" s="26" t="str">
        <f>IF($C23="","",'Outturn ex VAT'!BN23*'Global Constants'!BG$59)</f>
        <v/>
      </c>
      <c r="BO23" s="26" t="str">
        <f>IF($C23="","",'Outturn ex VAT'!BO23*'Global Constants'!BH$59)</f>
        <v/>
      </c>
      <c r="BP23" s="26" t="str">
        <f>IF($C23="","",'Outturn ex VAT'!BP23*'Global Constants'!BI$59)</f>
        <v/>
      </c>
      <c r="BQ23" s="26" t="str">
        <f>IF($C23="","",'Outturn ex VAT'!BQ23*'Global Constants'!BJ$59)</f>
        <v/>
      </c>
      <c r="BR23" s="26" t="str">
        <f>IF($C23="","",'Outturn ex VAT'!BR23*'Global Constants'!BK$59)</f>
        <v/>
      </c>
      <c r="BS23" s="26" t="str">
        <f>IF($C23="","",'Outturn ex VAT'!BS23*'Global Constants'!BL$59)</f>
        <v/>
      </c>
      <c r="BT23" s="26" t="str">
        <f>IF($C23="","",'Outturn ex VAT'!BT23*'Global Constants'!BM$59)</f>
        <v/>
      </c>
      <c r="BU23" s="26" t="str">
        <f>IF($C23="","",'Outturn ex VAT'!BU23*'Global Constants'!BN$59)</f>
        <v/>
      </c>
      <c r="BV23" s="26" t="str">
        <f>IF($C23="","",'Outturn ex VAT'!BV23*'Global Constants'!BO$59)</f>
        <v/>
      </c>
      <c r="BW23" s="26" t="str">
        <f>IF($C23="","",'Outturn ex VAT'!BW23*'Global Constants'!BP$59)</f>
        <v/>
      </c>
      <c r="BX23" s="26" t="str">
        <f>IF($C23="","",'Outturn ex VAT'!BX23*'Global Constants'!BQ$59)</f>
        <v/>
      </c>
      <c r="BY23" s="26" t="str">
        <f>IF($C23="","",'Outturn ex VAT'!BY23*'Global Constants'!BR$59)</f>
        <v/>
      </c>
      <c r="BZ23" s="26" t="str">
        <f>IF($C23="","",'Outturn ex VAT'!BZ23*'Global Constants'!BS$59)</f>
        <v/>
      </c>
      <c r="CA23" s="26" t="str">
        <f>IF($C23="","",'Outturn ex VAT'!CA23*'Global Constants'!BT$59)</f>
        <v/>
      </c>
      <c r="CB23" s="26" t="str">
        <f>IF($C23="","",'Outturn ex VAT'!CB23*'Global Constants'!BU$59)</f>
        <v/>
      </c>
      <c r="CC23" s="26" t="str">
        <f>IF($C23="","",'Outturn ex VAT'!CC23*'Global Constants'!BV$59)</f>
        <v/>
      </c>
      <c r="CD23" s="26" t="str">
        <f>IF($C23="","",'Outturn ex VAT'!CD23*'Global Constants'!BW$59)</f>
        <v/>
      </c>
      <c r="CE23" s="26" t="str">
        <f>IF($C23="","",'Outturn ex VAT'!CE23*'Global Constants'!BX$59)</f>
        <v/>
      </c>
      <c r="CF23" s="26" t="str">
        <f>IF($C23="","",'Outturn ex VAT'!CF23*'Global Constants'!BY$59)</f>
        <v/>
      </c>
      <c r="CG23" s="26" t="str">
        <f>IF($C23="","",'Outturn ex VAT'!CG23*'Global Constants'!BZ$59)</f>
        <v/>
      </c>
      <c r="CH23" s="26" t="str">
        <f>IF($C23="","",'Outturn ex VAT'!CH23*'Global Constants'!CA$59)</f>
        <v/>
      </c>
      <c r="CI23" s="26" t="str">
        <f>IF($C23="","",'Outturn ex VAT'!CI23*'Global Constants'!CB$59)</f>
        <v/>
      </c>
      <c r="CJ23" s="26" t="str">
        <f>IF($C23="","",'Outturn ex VAT'!CJ23*'Global Constants'!CC$59)</f>
        <v/>
      </c>
      <c r="CK23" s="26" t="str">
        <f>IF($C23="","",'Outturn ex VAT'!CK23*'Global Constants'!CD$59)</f>
        <v/>
      </c>
      <c r="CL23" s="26" t="str">
        <f>IF($C23="","",'Outturn ex VAT'!CL23*'Global Constants'!CE$59)</f>
        <v/>
      </c>
      <c r="CM23" s="26" t="str">
        <f>IF($C23="","",'Outturn ex VAT'!CM23*'Global Constants'!CF$59)</f>
        <v/>
      </c>
      <c r="CN23" s="26" t="str">
        <f>IF($C23="","",'Outturn ex VAT'!CN23*'Global Constants'!CG$59)</f>
        <v/>
      </c>
      <c r="CO23" s="26" t="str">
        <f>IF($C23="","",'Outturn ex VAT'!CO23*'Global Constants'!CH$59)</f>
        <v/>
      </c>
      <c r="CP23" s="26" t="str">
        <f>IF($C23="","",'Outturn ex VAT'!CP23*'Global Constants'!CI$59)</f>
        <v/>
      </c>
      <c r="CQ23" s="26" t="str">
        <f>IF($C23="","",'Outturn ex VAT'!CQ23*'Global Constants'!CJ$59)</f>
        <v/>
      </c>
      <c r="CR23" s="26" t="str">
        <f>IF($C23="","",'Outturn ex VAT'!CR23*'Global Constants'!CK$59)</f>
        <v/>
      </c>
      <c r="CS23" s="26" t="str">
        <f>IF($C23="","",'Outturn ex VAT'!CS23*'Global Constants'!CL$59)</f>
        <v/>
      </c>
      <c r="CT23" s="26" t="str">
        <f>IF($C23="","",'Outturn ex VAT'!CT23*'Global Constants'!CM$59)</f>
        <v/>
      </c>
      <c r="CU23" s="26" t="str">
        <f>IF($C23="","",'Outturn ex VAT'!CU23*'Global Constants'!CN$59)</f>
        <v/>
      </c>
      <c r="CV23" s="26" t="str">
        <f>IF($C23="","",'Outturn ex VAT'!CV23*'Global Constants'!CO$59)</f>
        <v/>
      </c>
      <c r="CW23" s="26" t="str">
        <f>IF($C23="","",'Outturn ex VAT'!CW23*'Global Constants'!CP$59)</f>
        <v/>
      </c>
      <c r="CX23" s="26" t="str">
        <f>IF($C23="","",'Outturn ex VAT'!CX23*'Global Constants'!CQ$59)</f>
        <v/>
      </c>
      <c r="CZ23" s="26">
        <f t="shared" ca="1" si="0"/>
        <v>0</v>
      </c>
      <c r="DA23" s="26">
        <f t="shared" si="1"/>
        <v>0</v>
      </c>
    </row>
    <row r="24" spans="3:105" x14ac:dyDescent="0.3">
      <c r="C24" s="4" t="str">
        <f>IF('Cost &amp; Risk Inputs'!C25="","",'Cost &amp; Risk Inputs'!C25)</f>
        <v/>
      </c>
      <c r="D24" s="4" t="str">
        <f>IF(C24="","",'Cost &amp; Risk Inputs'!H25)</f>
        <v/>
      </c>
      <c r="E24" s="4" t="str">
        <f>IF(C24="","",'Cost &amp; Risk Inputs'!I25)</f>
        <v/>
      </c>
      <c r="M24" s="26" t="str">
        <f>IF($C24="","",'Outturn ex VAT'!M24*'Global Constants'!F$59)</f>
        <v/>
      </c>
      <c r="N24" s="26" t="str">
        <f>IF($C24="","",'Outturn ex VAT'!N24*'Global Constants'!G$59)</f>
        <v/>
      </c>
      <c r="O24" s="26" t="str">
        <f>IF($C24="","",'Outturn ex VAT'!O24*'Global Constants'!H$59)</f>
        <v/>
      </c>
      <c r="P24" s="26" t="str">
        <f>IF($C24="","",'Outturn ex VAT'!P24*'Global Constants'!I$59)</f>
        <v/>
      </c>
      <c r="Q24" s="26" t="str">
        <f>IF($C24="","",'Outturn ex VAT'!Q24*'Global Constants'!J$59)</f>
        <v/>
      </c>
      <c r="R24" s="26" t="str">
        <f>IF($C24="","",'Outturn ex VAT'!R24*'Global Constants'!K$59)</f>
        <v/>
      </c>
      <c r="S24" s="26" t="str">
        <f>IF($C24="","",'Outturn ex VAT'!S24*'Global Constants'!L$59)</f>
        <v/>
      </c>
      <c r="T24" s="26" t="str">
        <f>IF($C24="","",'Outturn ex VAT'!T24*'Global Constants'!M$59)</f>
        <v/>
      </c>
      <c r="U24" s="26" t="str">
        <f>IF($C24="","",'Outturn ex VAT'!U24*'Global Constants'!N$59)</f>
        <v/>
      </c>
      <c r="V24" s="26" t="str">
        <f>IF($C24="","",'Outturn ex VAT'!V24*'Global Constants'!O$59)</f>
        <v/>
      </c>
      <c r="W24" s="26" t="str">
        <f>IF($C24="","",'Outturn ex VAT'!W24*'Global Constants'!P$59)</f>
        <v/>
      </c>
      <c r="X24" s="26" t="str">
        <f>IF($C24="","",'Outturn ex VAT'!X24*'Global Constants'!Q$59)</f>
        <v/>
      </c>
      <c r="Y24" s="26" t="str">
        <f>IF($C24="","",'Outturn ex VAT'!Y24*'Global Constants'!R$59)</f>
        <v/>
      </c>
      <c r="Z24" s="26" t="str">
        <f>IF($C24="","",'Outturn ex VAT'!Z24*'Global Constants'!S$59)</f>
        <v/>
      </c>
      <c r="AA24" s="26" t="str">
        <f>IF($C24="","",'Outturn ex VAT'!AA24*'Global Constants'!T$59)</f>
        <v/>
      </c>
      <c r="AB24" s="26" t="str">
        <f>IF($C24="","",'Outturn ex VAT'!AB24*'Global Constants'!U$59)</f>
        <v/>
      </c>
      <c r="AC24" s="26" t="str">
        <f>IF($C24="","",'Outturn ex VAT'!AC24*'Global Constants'!V$59)</f>
        <v/>
      </c>
      <c r="AD24" s="26" t="str">
        <f>IF($C24="","",'Outturn ex VAT'!AD24*'Global Constants'!W$59)</f>
        <v/>
      </c>
      <c r="AE24" s="26" t="str">
        <f>IF($C24="","",'Outturn ex VAT'!AE24*'Global Constants'!X$59)</f>
        <v/>
      </c>
      <c r="AF24" s="26" t="str">
        <f>IF($C24="","",'Outturn ex VAT'!AF24*'Global Constants'!Y$59)</f>
        <v/>
      </c>
      <c r="AG24" s="26" t="str">
        <f>IF($C24="","",'Outturn ex VAT'!AG24*'Global Constants'!Z$59)</f>
        <v/>
      </c>
      <c r="AH24" s="26" t="str">
        <f>IF($C24="","",'Outturn ex VAT'!AH24*'Global Constants'!AA$59)</f>
        <v/>
      </c>
      <c r="AI24" s="26" t="str">
        <f>IF($C24="","",'Outturn ex VAT'!AI24*'Global Constants'!AB$59)</f>
        <v/>
      </c>
      <c r="AJ24" s="26" t="str">
        <f>IF($C24="","",'Outturn ex VAT'!AJ24*'Global Constants'!AC$59)</f>
        <v/>
      </c>
      <c r="AK24" s="26" t="str">
        <f>IF($C24="","",'Outturn ex VAT'!AK24*'Global Constants'!AD$59)</f>
        <v/>
      </c>
      <c r="AL24" s="26" t="str">
        <f>IF($C24="","",'Outturn ex VAT'!AL24*'Global Constants'!AE$59)</f>
        <v/>
      </c>
      <c r="AM24" s="26" t="str">
        <f>IF($C24="","",'Outturn ex VAT'!AM24*'Global Constants'!AF$59)</f>
        <v/>
      </c>
      <c r="AN24" s="26" t="str">
        <f>IF($C24="","",'Outturn ex VAT'!AN24*'Global Constants'!AG$59)</f>
        <v/>
      </c>
      <c r="AO24" s="26" t="str">
        <f>IF($C24="","",'Outturn ex VAT'!AO24*'Global Constants'!AH$59)</f>
        <v/>
      </c>
      <c r="AP24" s="26" t="str">
        <f>IF($C24="","",'Outturn ex VAT'!AP24*'Global Constants'!AI$59)</f>
        <v/>
      </c>
      <c r="AQ24" s="26" t="str">
        <f>IF($C24="","",'Outturn ex VAT'!AQ24*'Global Constants'!AJ$59)</f>
        <v/>
      </c>
      <c r="AR24" s="26" t="str">
        <f>IF($C24="","",'Outturn ex VAT'!AR24*'Global Constants'!AK$59)</f>
        <v/>
      </c>
      <c r="AS24" s="26" t="str">
        <f>IF($C24="","",'Outturn ex VAT'!AS24*'Global Constants'!AL$59)</f>
        <v/>
      </c>
      <c r="AT24" s="26" t="str">
        <f>IF($C24="","",'Outturn ex VAT'!AT24*'Global Constants'!AM$59)</f>
        <v/>
      </c>
      <c r="AU24" s="26" t="str">
        <f>IF($C24="","",'Outturn ex VAT'!AU24*'Global Constants'!AN$59)</f>
        <v/>
      </c>
      <c r="AV24" s="26" t="str">
        <f>IF($C24="","",'Outturn ex VAT'!AV24*'Global Constants'!AO$59)</f>
        <v/>
      </c>
      <c r="AW24" s="26" t="str">
        <f>IF($C24="","",'Outturn ex VAT'!AW24*'Global Constants'!AP$59)</f>
        <v/>
      </c>
      <c r="AX24" s="26" t="str">
        <f>IF($C24="","",'Outturn ex VAT'!AX24*'Global Constants'!AQ$59)</f>
        <v/>
      </c>
      <c r="AY24" s="26" t="str">
        <f>IF($C24="","",'Outturn ex VAT'!AY24*'Global Constants'!AR$59)</f>
        <v/>
      </c>
      <c r="AZ24" s="26" t="str">
        <f>IF($C24="","",'Outturn ex VAT'!AZ24*'Global Constants'!AS$59)</f>
        <v/>
      </c>
      <c r="BA24" s="26" t="str">
        <f>IF($C24="","",'Outturn ex VAT'!BA24*'Global Constants'!AT$59)</f>
        <v/>
      </c>
      <c r="BB24" s="26" t="str">
        <f>IF($C24="","",'Outturn ex VAT'!BB24*'Global Constants'!AU$59)</f>
        <v/>
      </c>
      <c r="BC24" s="26" t="str">
        <f>IF($C24="","",'Outturn ex VAT'!BC24*'Global Constants'!AV$59)</f>
        <v/>
      </c>
      <c r="BD24" s="26" t="str">
        <f>IF($C24="","",'Outturn ex VAT'!BD24*'Global Constants'!AW$59)</f>
        <v/>
      </c>
      <c r="BE24" s="26" t="str">
        <f>IF($C24="","",'Outturn ex VAT'!BE24*'Global Constants'!AX$59)</f>
        <v/>
      </c>
      <c r="BF24" s="26" t="str">
        <f>IF($C24="","",'Outturn ex VAT'!BF24*'Global Constants'!AY$59)</f>
        <v/>
      </c>
      <c r="BG24" s="26" t="str">
        <f>IF($C24="","",'Outturn ex VAT'!BG24*'Global Constants'!AZ$59)</f>
        <v/>
      </c>
      <c r="BH24" s="26" t="str">
        <f>IF($C24="","",'Outturn ex VAT'!BH24*'Global Constants'!BA$59)</f>
        <v/>
      </c>
      <c r="BI24" s="26" t="str">
        <f>IF($C24="","",'Outturn ex VAT'!BI24*'Global Constants'!BB$59)</f>
        <v/>
      </c>
      <c r="BJ24" s="26" t="str">
        <f>IF($C24="","",'Outturn ex VAT'!BJ24*'Global Constants'!BC$59)</f>
        <v/>
      </c>
      <c r="BK24" s="26" t="str">
        <f>IF($C24="","",'Outturn ex VAT'!BK24*'Global Constants'!BD$59)</f>
        <v/>
      </c>
      <c r="BL24" s="26" t="str">
        <f>IF($C24="","",'Outturn ex VAT'!BL24*'Global Constants'!BE$59)</f>
        <v/>
      </c>
      <c r="BM24" s="26" t="str">
        <f>IF($C24="","",'Outturn ex VAT'!BM24*'Global Constants'!BF$59)</f>
        <v/>
      </c>
      <c r="BN24" s="26" t="str">
        <f>IF($C24="","",'Outturn ex VAT'!BN24*'Global Constants'!BG$59)</f>
        <v/>
      </c>
      <c r="BO24" s="26" t="str">
        <f>IF($C24="","",'Outturn ex VAT'!BO24*'Global Constants'!BH$59)</f>
        <v/>
      </c>
      <c r="BP24" s="26" t="str">
        <f>IF($C24="","",'Outturn ex VAT'!BP24*'Global Constants'!BI$59)</f>
        <v/>
      </c>
      <c r="BQ24" s="26" t="str">
        <f>IF($C24="","",'Outturn ex VAT'!BQ24*'Global Constants'!BJ$59)</f>
        <v/>
      </c>
      <c r="BR24" s="26" t="str">
        <f>IF($C24="","",'Outturn ex VAT'!BR24*'Global Constants'!BK$59)</f>
        <v/>
      </c>
      <c r="BS24" s="26" t="str">
        <f>IF($C24="","",'Outturn ex VAT'!BS24*'Global Constants'!BL$59)</f>
        <v/>
      </c>
      <c r="BT24" s="26" t="str">
        <f>IF($C24="","",'Outturn ex VAT'!BT24*'Global Constants'!BM$59)</f>
        <v/>
      </c>
      <c r="BU24" s="26" t="str">
        <f>IF($C24="","",'Outturn ex VAT'!BU24*'Global Constants'!BN$59)</f>
        <v/>
      </c>
      <c r="BV24" s="26" t="str">
        <f>IF($C24="","",'Outturn ex VAT'!BV24*'Global Constants'!BO$59)</f>
        <v/>
      </c>
      <c r="BW24" s="26" t="str">
        <f>IF($C24="","",'Outturn ex VAT'!BW24*'Global Constants'!BP$59)</f>
        <v/>
      </c>
      <c r="BX24" s="26" t="str">
        <f>IF($C24="","",'Outturn ex VAT'!BX24*'Global Constants'!BQ$59)</f>
        <v/>
      </c>
      <c r="BY24" s="26" t="str">
        <f>IF($C24="","",'Outturn ex VAT'!BY24*'Global Constants'!BR$59)</f>
        <v/>
      </c>
      <c r="BZ24" s="26" t="str">
        <f>IF($C24="","",'Outturn ex VAT'!BZ24*'Global Constants'!BS$59)</f>
        <v/>
      </c>
      <c r="CA24" s="26" t="str">
        <f>IF($C24="","",'Outturn ex VAT'!CA24*'Global Constants'!BT$59)</f>
        <v/>
      </c>
      <c r="CB24" s="26" t="str">
        <f>IF($C24="","",'Outturn ex VAT'!CB24*'Global Constants'!BU$59)</f>
        <v/>
      </c>
      <c r="CC24" s="26" t="str">
        <f>IF($C24="","",'Outturn ex VAT'!CC24*'Global Constants'!BV$59)</f>
        <v/>
      </c>
      <c r="CD24" s="26" t="str">
        <f>IF($C24="","",'Outturn ex VAT'!CD24*'Global Constants'!BW$59)</f>
        <v/>
      </c>
      <c r="CE24" s="26" t="str">
        <f>IF($C24="","",'Outturn ex VAT'!CE24*'Global Constants'!BX$59)</f>
        <v/>
      </c>
      <c r="CF24" s="26" t="str">
        <f>IF($C24="","",'Outturn ex VAT'!CF24*'Global Constants'!BY$59)</f>
        <v/>
      </c>
      <c r="CG24" s="26" t="str">
        <f>IF($C24="","",'Outturn ex VAT'!CG24*'Global Constants'!BZ$59)</f>
        <v/>
      </c>
      <c r="CH24" s="26" t="str">
        <f>IF($C24="","",'Outturn ex VAT'!CH24*'Global Constants'!CA$59)</f>
        <v/>
      </c>
      <c r="CI24" s="26" t="str">
        <f>IF($C24="","",'Outturn ex VAT'!CI24*'Global Constants'!CB$59)</f>
        <v/>
      </c>
      <c r="CJ24" s="26" t="str">
        <f>IF($C24="","",'Outturn ex VAT'!CJ24*'Global Constants'!CC$59)</f>
        <v/>
      </c>
      <c r="CK24" s="26" t="str">
        <f>IF($C24="","",'Outturn ex VAT'!CK24*'Global Constants'!CD$59)</f>
        <v/>
      </c>
      <c r="CL24" s="26" t="str">
        <f>IF($C24="","",'Outturn ex VAT'!CL24*'Global Constants'!CE$59)</f>
        <v/>
      </c>
      <c r="CM24" s="26" t="str">
        <f>IF($C24="","",'Outturn ex VAT'!CM24*'Global Constants'!CF$59)</f>
        <v/>
      </c>
      <c r="CN24" s="26" t="str">
        <f>IF($C24="","",'Outturn ex VAT'!CN24*'Global Constants'!CG$59)</f>
        <v/>
      </c>
      <c r="CO24" s="26" t="str">
        <f>IF($C24="","",'Outturn ex VAT'!CO24*'Global Constants'!CH$59)</f>
        <v/>
      </c>
      <c r="CP24" s="26" t="str">
        <f>IF($C24="","",'Outturn ex VAT'!CP24*'Global Constants'!CI$59)</f>
        <v/>
      </c>
      <c r="CQ24" s="26" t="str">
        <f>IF($C24="","",'Outturn ex VAT'!CQ24*'Global Constants'!CJ$59)</f>
        <v/>
      </c>
      <c r="CR24" s="26" t="str">
        <f>IF($C24="","",'Outturn ex VAT'!CR24*'Global Constants'!CK$59)</f>
        <v/>
      </c>
      <c r="CS24" s="26" t="str">
        <f>IF($C24="","",'Outturn ex VAT'!CS24*'Global Constants'!CL$59)</f>
        <v/>
      </c>
      <c r="CT24" s="26" t="str">
        <f>IF($C24="","",'Outturn ex VAT'!CT24*'Global Constants'!CM$59)</f>
        <v/>
      </c>
      <c r="CU24" s="26" t="str">
        <f>IF($C24="","",'Outturn ex VAT'!CU24*'Global Constants'!CN$59)</f>
        <v/>
      </c>
      <c r="CV24" s="26" t="str">
        <f>IF($C24="","",'Outturn ex VAT'!CV24*'Global Constants'!CO$59)</f>
        <v/>
      </c>
      <c r="CW24" s="26" t="str">
        <f>IF($C24="","",'Outturn ex VAT'!CW24*'Global Constants'!CP$59)</f>
        <v/>
      </c>
      <c r="CX24" s="26" t="str">
        <f>IF($C24="","",'Outturn ex VAT'!CX24*'Global Constants'!CQ$59)</f>
        <v/>
      </c>
      <c r="CZ24" s="26">
        <f t="shared" ca="1" si="0"/>
        <v>0</v>
      </c>
      <c r="DA24" s="26">
        <f t="shared" si="1"/>
        <v>0</v>
      </c>
    </row>
    <row r="25" spans="3:105" x14ac:dyDescent="0.3">
      <c r="C25" s="4" t="str">
        <f>IF('Cost &amp; Risk Inputs'!C26="","",'Cost &amp; Risk Inputs'!C26)</f>
        <v/>
      </c>
      <c r="D25" s="4" t="str">
        <f>IF(C25="","",'Cost &amp; Risk Inputs'!H26)</f>
        <v/>
      </c>
      <c r="E25" s="4" t="str">
        <f>IF(C25="","",'Cost &amp; Risk Inputs'!I26)</f>
        <v/>
      </c>
      <c r="M25" s="26" t="str">
        <f>IF($C25="","",'Outturn ex VAT'!M25*'Global Constants'!F$59)</f>
        <v/>
      </c>
      <c r="N25" s="26" t="str">
        <f>IF($C25="","",'Outturn ex VAT'!N25*'Global Constants'!G$59)</f>
        <v/>
      </c>
      <c r="O25" s="26" t="str">
        <f>IF($C25="","",'Outturn ex VAT'!O25*'Global Constants'!H$59)</f>
        <v/>
      </c>
      <c r="P25" s="26" t="str">
        <f>IF($C25="","",'Outturn ex VAT'!P25*'Global Constants'!I$59)</f>
        <v/>
      </c>
      <c r="Q25" s="26" t="str">
        <f>IF($C25="","",'Outturn ex VAT'!Q25*'Global Constants'!J$59)</f>
        <v/>
      </c>
      <c r="R25" s="26" t="str">
        <f>IF($C25="","",'Outturn ex VAT'!R25*'Global Constants'!K$59)</f>
        <v/>
      </c>
      <c r="S25" s="26" t="str">
        <f>IF($C25="","",'Outturn ex VAT'!S25*'Global Constants'!L$59)</f>
        <v/>
      </c>
      <c r="T25" s="26" t="str">
        <f>IF($C25="","",'Outturn ex VAT'!T25*'Global Constants'!M$59)</f>
        <v/>
      </c>
      <c r="U25" s="26" t="str">
        <f>IF($C25="","",'Outturn ex VAT'!U25*'Global Constants'!N$59)</f>
        <v/>
      </c>
      <c r="V25" s="26" t="str">
        <f>IF($C25="","",'Outturn ex VAT'!V25*'Global Constants'!O$59)</f>
        <v/>
      </c>
      <c r="W25" s="26" t="str">
        <f>IF($C25="","",'Outturn ex VAT'!W25*'Global Constants'!P$59)</f>
        <v/>
      </c>
      <c r="X25" s="26" t="str">
        <f>IF($C25="","",'Outturn ex VAT'!X25*'Global Constants'!Q$59)</f>
        <v/>
      </c>
      <c r="Y25" s="26" t="str">
        <f>IF($C25="","",'Outturn ex VAT'!Y25*'Global Constants'!R$59)</f>
        <v/>
      </c>
      <c r="Z25" s="26" t="str">
        <f>IF($C25="","",'Outturn ex VAT'!Z25*'Global Constants'!S$59)</f>
        <v/>
      </c>
      <c r="AA25" s="26" t="str">
        <f>IF($C25="","",'Outturn ex VAT'!AA25*'Global Constants'!T$59)</f>
        <v/>
      </c>
      <c r="AB25" s="26" t="str">
        <f>IF($C25="","",'Outturn ex VAT'!AB25*'Global Constants'!U$59)</f>
        <v/>
      </c>
      <c r="AC25" s="26" t="str">
        <f>IF($C25="","",'Outturn ex VAT'!AC25*'Global Constants'!V$59)</f>
        <v/>
      </c>
      <c r="AD25" s="26" t="str">
        <f>IF($C25="","",'Outturn ex VAT'!AD25*'Global Constants'!W$59)</f>
        <v/>
      </c>
      <c r="AE25" s="26" t="str">
        <f>IF($C25="","",'Outturn ex VAT'!AE25*'Global Constants'!X$59)</f>
        <v/>
      </c>
      <c r="AF25" s="26" t="str">
        <f>IF($C25="","",'Outturn ex VAT'!AF25*'Global Constants'!Y$59)</f>
        <v/>
      </c>
      <c r="AG25" s="26" t="str">
        <f>IF($C25="","",'Outturn ex VAT'!AG25*'Global Constants'!Z$59)</f>
        <v/>
      </c>
      <c r="AH25" s="26" t="str">
        <f>IF($C25="","",'Outturn ex VAT'!AH25*'Global Constants'!AA$59)</f>
        <v/>
      </c>
      <c r="AI25" s="26" t="str">
        <f>IF($C25="","",'Outturn ex VAT'!AI25*'Global Constants'!AB$59)</f>
        <v/>
      </c>
      <c r="AJ25" s="26" t="str">
        <f>IF($C25="","",'Outturn ex VAT'!AJ25*'Global Constants'!AC$59)</f>
        <v/>
      </c>
      <c r="AK25" s="26" t="str">
        <f>IF($C25="","",'Outturn ex VAT'!AK25*'Global Constants'!AD$59)</f>
        <v/>
      </c>
      <c r="AL25" s="26" t="str">
        <f>IF($C25="","",'Outturn ex VAT'!AL25*'Global Constants'!AE$59)</f>
        <v/>
      </c>
      <c r="AM25" s="26" t="str">
        <f>IF($C25="","",'Outturn ex VAT'!AM25*'Global Constants'!AF$59)</f>
        <v/>
      </c>
      <c r="AN25" s="26" t="str">
        <f>IF($C25="","",'Outturn ex VAT'!AN25*'Global Constants'!AG$59)</f>
        <v/>
      </c>
      <c r="AO25" s="26" t="str">
        <f>IF($C25="","",'Outturn ex VAT'!AO25*'Global Constants'!AH$59)</f>
        <v/>
      </c>
      <c r="AP25" s="26" t="str">
        <f>IF($C25="","",'Outturn ex VAT'!AP25*'Global Constants'!AI$59)</f>
        <v/>
      </c>
      <c r="AQ25" s="26" t="str">
        <f>IF($C25="","",'Outturn ex VAT'!AQ25*'Global Constants'!AJ$59)</f>
        <v/>
      </c>
      <c r="AR25" s="26" t="str">
        <f>IF($C25="","",'Outturn ex VAT'!AR25*'Global Constants'!AK$59)</f>
        <v/>
      </c>
      <c r="AS25" s="26" t="str">
        <f>IF($C25="","",'Outturn ex VAT'!AS25*'Global Constants'!AL$59)</f>
        <v/>
      </c>
      <c r="AT25" s="26" t="str">
        <f>IF($C25="","",'Outturn ex VAT'!AT25*'Global Constants'!AM$59)</f>
        <v/>
      </c>
      <c r="AU25" s="26" t="str">
        <f>IF($C25="","",'Outturn ex VAT'!AU25*'Global Constants'!AN$59)</f>
        <v/>
      </c>
      <c r="AV25" s="26" t="str">
        <f>IF($C25="","",'Outturn ex VAT'!AV25*'Global Constants'!AO$59)</f>
        <v/>
      </c>
      <c r="AW25" s="26" t="str">
        <f>IF($C25="","",'Outturn ex VAT'!AW25*'Global Constants'!AP$59)</f>
        <v/>
      </c>
      <c r="AX25" s="26" t="str">
        <f>IF($C25="","",'Outturn ex VAT'!AX25*'Global Constants'!AQ$59)</f>
        <v/>
      </c>
      <c r="AY25" s="26" t="str">
        <f>IF($C25="","",'Outturn ex VAT'!AY25*'Global Constants'!AR$59)</f>
        <v/>
      </c>
      <c r="AZ25" s="26" t="str">
        <f>IF($C25="","",'Outturn ex VAT'!AZ25*'Global Constants'!AS$59)</f>
        <v/>
      </c>
      <c r="BA25" s="26" t="str">
        <f>IF($C25="","",'Outturn ex VAT'!BA25*'Global Constants'!AT$59)</f>
        <v/>
      </c>
      <c r="BB25" s="26" t="str">
        <f>IF($C25="","",'Outturn ex VAT'!BB25*'Global Constants'!AU$59)</f>
        <v/>
      </c>
      <c r="BC25" s="26" t="str">
        <f>IF($C25="","",'Outturn ex VAT'!BC25*'Global Constants'!AV$59)</f>
        <v/>
      </c>
      <c r="BD25" s="26" t="str">
        <f>IF($C25="","",'Outturn ex VAT'!BD25*'Global Constants'!AW$59)</f>
        <v/>
      </c>
      <c r="BE25" s="26" t="str">
        <f>IF($C25="","",'Outturn ex VAT'!BE25*'Global Constants'!AX$59)</f>
        <v/>
      </c>
      <c r="BF25" s="26" t="str">
        <f>IF($C25="","",'Outturn ex VAT'!BF25*'Global Constants'!AY$59)</f>
        <v/>
      </c>
      <c r="BG25" s="26" t="str">
        <f>IF($C25="","",'Outturn ex VAT'!BG25*'Global Constants'!AZ$59)</f>
        <v/>
      </c>
      <c r="BH25" s="26" t="str">
        <f>IF($C25="","",'Outturn ex VAT'!BH25*'Global Constants'!BA$59)</f>
        <v/>
      </c>
      <c r="BI25" s="26" t="str">
        <f>IF($C25="","",'Outturn ex VAT'!BI25*'Global Constants'!BB$59)</f>
        <v/>
      </c>
      <c r="BJ25" s="26" t="str">
        <f>IF($C25="","",'Outturn ex VAT'!BJ25*'Global Constants'!BC$59)</f>
        <v/>
      </c>
      <c r="BK25" s="26" t="str">
        <f>IF($C25="","",'Outturn ex VAT'!BK25*'Global Constants'!BD$59)</f>
        <v/>
      </c>
      <c r="BL25" s="26" t="str">
        <f>IF($C25="","",'Outturn ex VAT'!BL25*'Global Constants'!BE$59)</f>
        <v/>
      </c>
      <c r="BM25" s="26" t="str">
        <f>IF($C25="","",'Outturn ex VAT'!BM25*'Global Constants'!BF$59)</f>
        <v/>
      </c>
      <c r="BN25" s="26" t="str">
        <f>IF($C25="","",'Outturn ex VAT'!BN25*'Global Constants'!BG$59)</f>
        <v/>
      </c>
      <c r="BO25" s="26" t="str">
        <f>IF($C25="","",'Outturn ex VAT'!BO25*'Global Constants'!BH$59)</f>
        <v/>
      </c>
      <c r="BP25" s="26" t="str">
        <f>IF($C25="","",'Outturn ex VAT'!BP25*'Global Constants'!BI$59)</f>
        <v/>
      </c>
      <c r="BQ25" s="26" t="str">
        <f>IF($C25="","",'Outturn ex VAT'!BQ25*'Global Constants'!BJ$59)</f>
        <v/>
      </c>
      <c r="BR25" s="26" t="str">
        <f>IF($C25="","",'Outturn ex VAT'!BR25*'Global Constants'!BK$59)</f>
        <v/>
      </c>
      <c r="BS25" s="26" t="str">
        <f>IF($C25="","",'Outturn ex VAT'!BS25*'Global Constants'!BL$59)</f>
        <v/>
      </c>
      <c r="BT25" s="26" t="str">
        <f>IF($C25="","",'Outturn ex VAT'!BT25*'Global Constants'!BM$59)</f>
        <v/>
      </c>
      <c r="BU25" s="26" t="str">
        <f>IF($C25="","",'Outturn ex VAT'!BU25*'Global Constants'!BN$59)</f>
        <v/>
      </c>
      <c r="BV25" s="26" t="str">
        <f>IF($C25="","",'Outturn ex VAT'!BV25*'Global Constants'!BO$59)</f>
        <v/>
      </c>
      <c r="BW25" s="26" t="str">
        <f>IF($C25="","",'Outturn ex VAT'!BW25*'Global Constants'!BP$59)</f>
        <v/>
      </c>
      <c r="BX25" s="26" t="str">
        <f>IF($C25="","",'Outturn ex VAT'!BX25*'Global Constants'!BQ$59)</f>
        <v/>
      </c>
      <c r="BY25" s="26" t="str">
        <f>IF($C25="","",'Outturn ex VAT'!BY25*'Global Constants'!BR$59)</f>
        <v/>
      </c>
      <c r="BZ25" s="26" t="str">
        <f>IF($C25="","",'Outturn ex VAT'!BZ25*'Global Constants'!BS$59)</f>
        <v/>
      </c>
      <c r="CA25" s="26" t="str">
        <f>IF($C25="","",'Outturn ex VAT'!CA25*'Global Constants'!BT$59)</f>
        <v/>
      </c>
      <c r="CB25" s="26" t="str">
        <f>IF($C25="","",'Outturn ex VAT'!CB25*'Global Constants'!BU$59)</f>
        <v/>
      </c>
      <c r="CC25" s="26" t="str">
        <f>IF($C25="","",'Outturn ex VAT'!CC25*'Global Constants'!BV$59)</f>
        <v/>
      </c>
      <c r="CD25" s="26" t="str">
        <f>IF($C25="","",'Outturn ex VAT'!CD25*'Global Constants'!BW$59)</f>
        <v/>
      </c>
      <c r="CE25" s="26" t="str">
        <f>IF($C25="","",'Outturn ex VAT'!CE25*'Global Constants'!BX$59)</f>
        <v/>
      </c>
      <c r="CF25" s="26" t="str">
        <f>IF($C25="","",'Outturn ex VAT'!CF25*'Global Constants'!BY$59)</f>
        <v/>
      </c>
      <c r="CG25" s="26" t="str">
        <f>IF($C25="","",'Outturn ex VAT'!CG25*'Global Constants'!BZ$59)</f>
        <v/>
      </c>
      <c r="CH25" s="26" t="str">
        <f>IF($C25="","",'Outturn ex VAT'!CH25*'Global Constants'!CA$59)</f>
        <v/>
      </c>
      <c r="CI25" s="26" t="str">
        <f>IF($C25="","",'Outturn ex VAT'!CI25*'Global Constants'!CB$59)</f>
        <v/>
      </c>
      <c r="CJ25" s="26" t="str">
        <f>IF($C25="","",'Outturn ex VAT'!CJ25*'Global Constants'!CC$59)</f>
        <v/>
      </c>
      <c r="CK25" s="26" t="str">
        <f>IF($C25="","",'Outturn ex VAT'!CK25*'Global Constants'!CD$59)</f>
        <v/>
      </c>
      <c r="CL25" s="26" t="str">
        <f>IF($C25="","",'Outturn ex VAT'!CL25*'Global Constants'!CE$59)</f>
        <v/>
      </c>
      <c r="CM25" s="26" t="str">
        <f>IF($C25="","",'Outturn ex VAT'!CM25*'Global Constants'!CF$59)</f>
        <v/>
      </c>
      <c r="CN25" s="26" t="str">
        <f>IF($C25="","",'Outturn ex VAT'!CN25*'Global Constants'!CG$59)</f>
        <v/>
      </c>
      <c r="CO25" s="26" t="str">
        <f>IF($C25="","",'Outturn ex VAT'!CO25*'Global Constants'!CH$59)</f>
        <v/>
      </c>
      <c r="CP25" s="26" t="str">
        <f>IF($C25="","",'Outturn ex VAT'!CP25*'Global Constants'!CI$59)</f>
        <v/>
      </c>
      <c r="CQ25" s="26" t="str">
        <f>IF($C25="","",'Outturn ex VAT'!CQ25*'Global Constants'!CJ$59)</f>
        <v/>
      </c>
      <c r="CR25" s="26" t="str">
        <f>IF($C25="","",'Outturn ex VAT'!CR25*'Global Constants'!CK$59)</f>
        <v/>
      </c>
      <c r="CS25" s="26" t="str">
        <f>IF($C25="","",'Outturn ex VAT'!CS25*'Global Constants'!CL$59)</f>
        <v/>
      </c>
      <c r="CT25" s="26" t="str">
        <f>IF($C25="","",'Outturn ex VAT'!CT25*'Global Constants'!CM$59)</f>
        <v/>
      </c>
      <c r="CU25" s="26" t="str">
        <f>IF($C25="","",'Outturn ex VAT'!CU25*'Global Constants'!CN$59)</f>
        <v/>
      </c>
      <c r="CV25" s="26" t="str">
        <f>IF($C25="","",'Outturn ex VAT'!CV25*'Global Constants'!CO$59)</f>
        <v/>
      </c>
      <c r="CW25" s="26" t="str">
        <f>IF($C25="","",'Outturn ex VAT'!CW25*'Global Constants'!CP$59)</f>
        <v/>
      </c>
      <c r="CX25" s="26" t="str">
        <f>IF($C25="","",'Outturn ex VAT'!CX25*'Global Constants'!CQ$59)</f>
        <v/>
      </c>
      <c r="CZ25" s="26">
        <f t="shared" ca="1" si="0"/>
        <v>0</v>
      </c>
      <c r="DA25" s="26">
        <f t="shared" si="1"/>
        <v>0</v>
      </c>
    </row>
    <row r="26" spans="3:105" x14ac:dyDescent="0.3">
      <c r="C26" s="4" t="str">
        <f>IF('Cost &amp; Risk Inputs'!C27="","",'Cost &amp; Risk Inputs'!C27)</f>
        <v/>
      </c>
      <c r="D26" s="4" t="str">
        <f>IF(C26="","",'Cost &amp; Risk Inputs'!H27)</f>
        <v/>
      </c>
      <c r="E26" s="4" t="str">
        <f>IF(C26="","",'Cost &amp; Risk Inputs'!I27)</f>
        <v/>
      </c>
      <c r="M26" s="26" t="str">
        <f>IF($C26="","",'Outturn ex VAT'!M26*'Global Constants'!F$59)</f>
        <v/>
      </c>
      <c r="N26" s="26" t="str">
        <f>IF($C26="","",'Outturn ex VAT'!N26*'Global Constants'!G$59)</f>
        <v/>
      </c>
      <c r="O26" s="26" t="str">
        <f>IF($C26="","",'Outturn ex VAT'!O26*'Global Constants'!H$59)</f>
        <v/>
      </c>
      <c r="P26" s="26" t="str">
        <f>IF($C26="","",'Outturn ex VAT'!P26*'Global Constants'!I$59)</f>
        <v/>
      </c>
      <c r="Q26" s="26" t="str">
        <f>IF($C26="","",'Outturn ex VAT'!Q26*'Global Constants'!J$59)</f>
        <v/>
      </c>
      <c r="R26" s="26" t="str">
        <f>IF($C26="","",'Outturn ex VAT'!R26*'Global Constants'!K$59)</f>
        <v/>
      </c>
      <c r="S26" s="26" t="str">
        <f>IF($C26="","",'Outturn ex VAT'!S26*'Global Constants'!L$59)</f>
        <v/>
      </c>
      <c r="T26" s="26" t="str">
        <f>IF($C26="","",'Outturn ex VAT'!T26*'Global Constants'!M$59)</f>
        <v/>
      </c>
      <c r="U26" s="26" t="str">
        <f>IF($C26="","",'Outturn ex VAT'!U26*'Global Constants'!N$59)</f>
        <v/>
      </c>
      <c r="V26" s="26" t="str">
        <f>IF($C26="","",'Outturn ex VAT'!V26*'Global Constants'!O$59)</f>
        <v/>
      </c>
      <c r="W26" s="26" t="str">
        <f>IF($C26="","",'Outturn ex VAT'!W26*'Global Constants'!P$59)</f>
        <v/>
      </c>
      <c r="X26" s="26" t="str">
        <f>IF($C26="","",'Outturn ex VAT'!X26*'Global Constants'!Q$59)</f>
        <v/>
      </c>
      <c r="Y26" s="26" t="str">
        <f>IF($C26="","",'Outturn ex VAT'!Y26*'Global Constants'!R$59)</f>
        <v/>
      </c>
      <c r="Z26" s="26" t="str">
        <f>IF($C26="","",'Outturn ex VAT'!Z26*'Global Constants'!S$59)</f>
        <v/>
      </c>
      <c r="AA26" s="26" t="str">
        <f>IF($C26="","",'Outturn ex VAT'!AA26*'Global Constants'!T$59)</f>
        <v/>
      </c>
      <c r="AB26" s="26" t="str">
        <f>IF($C26="","",'Outturn ex VAT'!AB26*'Global Constants'!U$59)</f>
        <v/>
      </c>
      <c r="AC26" s="26" t="str">
        <f>IF($C26="","",'Outturn ex VAT'!AC26*'Global Constants'!V$59)</f>
        <v/>
      </c>
      <c r="AD26" s="26" t="str">
        <f>IF($C26="","",'Outturn ex VAT'!AD26*'Global Constants'!W$59)</f>
        <v/>
      </c>
      <c r="AE26" s="26" t="str">
        <f>IF($C26="","",'Outturn ex VAT'!AE26*'Global Constants'!X$59)</f>
        <v/>
      </c>
      <c r="AF26" s="26" t="str">
        <f>IF($C26="","",'Outturn ex VAT'!AF26*'Global Constants'!Y$59)</f>
        <v/>
      </c>
      <c r="AG26" s="26" t="str">
        <f>IF($C26="","",'Outturn ex VAT'!AG26*'Global Constants'!Z$59)</f>
        <v/>
      </c>
      <c r="AH26" s="26" t="str">
        <f>IF($C26="","",'Outturn ex VAT'!AH26*'Global Constants'!AA$59)</f>
        <v/>
      </c>
      <c r="AI26" s="26" t="str">
        <f>IF($C26="","",'Outturn ex VAT'!AI26*'Global Constants'!AB$59)</f>
        <v/>
      </c>
      <c r="AJ26" s="26" t="str">
        <f>IF($C26="","",'Outturn ex VAT'!AJ26*'Global Constants'!AC$59)</f>
        <v/>
      </c>
      <c r="AK26" s="26" t="str">
        <f>IF($C26="","",'Outturn ex VAT'!AK26*'Global Constants'!AD$59)</f>
        <v/>
      </c>
      <c r="AL26" s="26" t="str">
        <f>IF($C26="","",'Outturn ex VAT'!AL26*'Global Constants'!AE$59)</f>
        <v/>
      </c>
      <c r="AM26" s="26" t="str">
        <f>IF($C26="","",'Outturn ex VAT'!AM26*'Global Constants'!AF$59)</f>
        <v/>
      </c>
      <c r="AN26" s="26" t="str">
        <f>IF($C26="","",'Outturn ex VAT'!AN26*'Global Constants'!AG$59)</f>
        <v/>
      </c>
      <c r="AO26" s="26" t="str">
        <f>IF($C26="","",'Outturn ex VAT'!AO26*'Global Constants'!AH$59)</f>
        <v/>
      </c>
      <c r="AP26" s="26" t="str">
        <f>IF($C26="","",'Outturn ex VAT'!AP26*'Global Constants'!AI$59)</f>
        <v/>
      </c>
      <c r="AQ26" s="26" t="str">
        <f>IF($C26="","",'Outturn ex VAT'!AQ26*'Global Constants'!AJ$59)</f>
        <v/>
      </c>
      <c r="AR26" s="26" t="str">
        <f>IF($C26="","",'Outturn ex VAT'!AR26*'Global Constants'!AK$59)</f>
        <v/>
      </c>
      <c r="AS26" s="26" t="str">
        <f>IF($C26="","",'Outturn ex VAT'!AS26*'Global Constants'!AL$59)</f>
        <v/>
      </c>
      <c r="AT26" s="26" t="str">
        <f>IF($C26="","",'Outturn ex VAT'!AT26*'Global Constants'!AM$59)</f>
        <v/>
      </c>
      <c r="AU26" s="26" t="str">
        <f>IF($C26="","",'Outturn ex VAT'!AU26*'Global Constants'!AN$59)</f>
        <v/>
      </c>
      <c r="AV26" s="26" t="str">
        <f>IF($C26="","",'Outturn ex VAT'!AV26*'Global Constants'!AO$59)</f>
        <v/>
      </c>
      <c r="AW26" s="26" t="str">
        <f>IF($C26="","",'Outturn ex VAT'!AW26*'Global Constants'!AP$59)</f>
        <v/>
      </c>
      <c r="AX26" s="26" t="str">
        <f>IF($C26="","",'Outturn ex VAT'!AX26*'Global Constants'!AQ$59)</f>
        <v/>
      </c>
      <c r="AY26" s="26" t="str">
        <f>IF($C26="","",'Outturn ex VAT'!AY26*'Global Constants'!AR$59)</f>
        <v/>
      </c>
      <c r="AZ26" s="26" t="str">
        <f>IF($C26="","",'Outturn ex VAT'!AZ26*'Global Constants'!AS$59)</f>
        <v/>
      </c>
      <c r="BA26" s="26" t="str">
        <f>IF($C26="","",'Outturn ex VAT'!BA26*'Global Constants'!AT$59)</f>
        <v/>
      </c>
      <c r="BB26" s="26" t="str">
        <f>IF($C26="","",'Outturn ex VAT'!BB26*'Global Constants'!AU$59)</f>
        <v/>
      </c>
      <c r="BC26" s="26" t="str">
        <f>IF($C26="","",'Outturn ex VAT'!BC26*'Global Constants'!AV$59)</f>
        <v/>
      </c>
      <c r="BD26" s="26" t="str">
        <f>IF($C26="","",'Outturn ex VAT'!BD26*'Global Constants'!AW$59)</f>
        <v/>
      </c>
      <c r="BE26" s="26" t="str">
        <f>IF($C26="","",'Outturn ex VAT'!BE26*'Global Constants'!AX$59)</f>
        <v/>
      </c>
      <c r="BF26" s="26" t="str">
        <f>IF($C26="","",'Outturn ex VAT'!BF26*'Global Constants'!AY$59)</f>
        <v/>
      </c>
      <c r="BG26" s="26" t="str">
        <f>IF($C26="","",'Outturn ex VAT'!BG26*'Global Constants'!AZ$59)</f>
        <v/>
      </c>
      <c r="BH26" s="26" t="str">
        <f>IF($C26="","",'Outturn ex VAT'!BH26*'Global Constants'!BA$59)</f>
        <v/>
      </c>
      <c r="BI26" s="26" t="str">
        <f>IF($C26="","",'Outturn ex VAT'!BI26*'Global Constants'!BB$59)</f>
        <v/>
      </c>
      <c r="BJ26" s="26" t="str">
        <f>IF($C26="","",'Outturn ex VAT'!BJ26*'Global Constants'!BC$59)</f>
        <v/>
      </c>
      <c r="BK26" s="26" t="str">
        <f>IF($C26="","",'Outturn ex VAT'!BK26*'Global Constants'!BD$59)</f>
        <v/>
      </c>
      <c r="BL26" s="26" t="str">
        <f>IF($C26="","",'Outturn ex VAT'!BL26*'Global Constants'!BE$59)</f>
        <v/>
      </c>
      <c r="BM26" s="26" t="str">
        <f>IF($C26="","",'Outturn ex VAT'!BM26*'Global Constants'!BF$59)</f>
        <v/>
      </c>
      <c r="BN26" s="26" t="str">
        <f>IF($C26="","",'Outturn ex VAT'!BN26*'Global Constants'!BG$59)</f>
        <v/>
      </c>
      <c r="BO26" s="26" t="str">
        <f>IF($C26="","",'Outturn ex VAT'!BO26*'Global Constants'!BH$59)</f>
        <v/>
      </c>
      <c r="BP26" s="26" t="str">
        <f>IF($C26="","",'Outturn ex VAT'!BP26*'Global Constants'!BI$59)</f>
        <v/>
      </c>
      <c r="BQ26" s="26" t="str">
        <f>IF($C26="","",'Outturn ex VAT'!BQ26*'Global Constants'!BJ$59)</f>
        <v/>
      </c>
      <c r="BR26" s="26" t="str">
        <f>IF($C26="","",'Outturn ex VAT'!BR26*'Global Constants'!BK$59)</f>
        <v/>
      </c>
      <c r="BS26" s="26" t="str">
        <f>IF($C26="","",'Outturn ex VAT'!BS26*'Global Constants'!BL$59)</f>
        <v/>
      </c>
      <c r="BT26" s="26" t="str">
        <f>IF($C26="","",'Outturn ex VAT'!BT26*'Global Constants'!BM$59)</f>
        <v/>
      </c>
      <c r="BU26" s="26" t="str">
        <f>IF($C26="","",'Outturn ex VAT'!BU26*'Global Constants'!BN$59)</f>
        <v/>
      </c>
      <c r="BV26" s="26" t="str">
        <f>IF($C26="","",'Outturn ex VAT'!BV26*'Global Constants'!BO$59)</f>
        <v/>
      </c>
      <c r="BW26" s="26" t="str">
        <f>IF($C26="","",'Outturn ex VAT'!BW26*'Global Constants'!BP$59)</f>
        <v/>
      </c>
      <c r="BX26" s="26" t="str">
        <f>IF($C26="","",'Outturn ex VAT'!BX26*'Global Constants'!BQ$59)</f>
        <v/>
      </c>
      <c r="BY26" s="26" t="str">
        <f>IF($C26="","",'Outturn ex VAT'!BY26*'Global Constants'!BR$59)</f>
        <v/>
      </c>
      <c r="BZ26" s="26" t="str">
        <f>IF($C26="","",'Outturn ex VAT'!BZ26*'Global Constants'!BS$59)</f>
        <v/>
      </c>
      <c r="CA26" s="26" t="str">
        <f>IF($C26="","",'Outturn ex VAT'!CA26*'Global Constants'!BT$59)</f>
        <v/>
      </c>
      <c r="CB26" s="26" t="str">
        <f>IF($C26="","",'Outturn ex VAT'!CB26*'Global Constants'!BU$59)</f>
        <v/>
      </c>
      <c r="CC26" s="26" t="str">
        <f>IF($C26="","",'Outturn ex VAT'!CC26*'Global Constants'!BV$59)</f>
        <v/>
      </c>
      <c r="CD26" s="26" t="str">
        <f>IF($C26="","",'Outturn ex VAT'!CD26*'Global Constants'!BW$59)</f>
        <v/>
      </c>
      <c r="CE26" s="26" t="str">
        <f>IF($C26="","",'Outturn ex VAT'!CE26*'Global Constants'!BX$59)</f>
        <v/>
      </c>
      <c r="CF26" s="26" t="str">
        <f>IF($C26="","",'Outturn ex VAT'!CF26*'Global Constants'!BY$59)</f>
        <v/>
      </c>
      <c r="CG26" s="26" t="str">
        <f>IF($C26="","",'Outturn ex VAT'!CG26*'Global Constants'!BZ$59)</f>
        <v/>
      </c>
      <c r="CH26" s="26" t="str">
        <f>IF($C26="","",'Outturn ex VAT'!CH26*'Global Constants'!CA$59)</f>
        <v/>
      </c>
      <c r="CI26" s="26" t="str">
        <f>IF($C26="","",'Outturn ex VAT'!CI26*'Global Constants'!CB$59)</f>
        <v/>
      </c>
      <c r="CJ26" s="26" t="str">
        <f>IF($C26="","",'Outturn ex VAT'!CJ26*'Global Constants'!CC$59)</f>
        <v/>
      </c>
      <c r="CK26" s="26" t="str">
        <f>IF($C26="","",'Outturn ex VAT'!CK26*'Global Constants'!CD$59)</f>
        <v/>
      </c>
      <c r="CL26" s="26" t="str">
        <f>IF($C26="","",'Outturn ex VAT'!CL26*'Global Constants'!CE$59)</f>
        <v/>
      </c>
      <c r="CM26" s="26" t="str">
        <f>IF($C26="","",'Outturn ex VAT'!CM26*'Global Constants'!CF$59)</f>
        <v/>
      </c>
      <c r="CN26" s="26" t="str">
        <f>IF($C26="","",'Outturn ex VAT'!CN26*'Global Constants'!CG$59)</f>
        <v/>
      </c>
      <c r="CO26" s="26" t="str">
        <f>IF($C26="","",'Outturn ex VAT'!CO26*'Global Constants'!CH$59)</f>
        <v/>
      </c>
      <c r="CP26" s="26" t="str">
        <f>IF($C26="","",'Outturn ex VAT'!CP26*'Global Constants'!CI$59)</f>
        <v/>
      </c>
      <c r="CQ26" s="26" t="str">
        <f>IF($C26="","",'Outturn ex VAT'!CQ26*'Global Constants'!CJ$59)</f>
        <v/>
      </c>
      <c r="CR26" s="26" t="str">
        <f>IF($C26="","",'Outturn ex VAT'!CR26*'Global Constants'!CK$59)</f>
        <v/>
      </c>
      <c r="CS26" s="26" t="str">
        <f>IF($C26="","",'Outturn ex VAT'!CS26*'Global Constants'!CL$59)</f>
        <v/>
      </c>
      <c r="CT26" s="26" t="str">
        <f>IF($C26="","",'Outturn ex VAT'!CT26*'Global Constants'!CM$59)</f>
        <v/>
      </c>
      <c r="CU26" s="26" t="str">
        <f>IF($C26="","",'Outturn ex VAT'!CU26*'Global Constants'!CN$59)</f>
        <v/>
      </c>
      <c r="CV26" s="26" t="str">
        <f>IF($C26="","",'Outturn ex VAT'!CV26*'Global Constants'!CO$59)</f>
        <v/>
      </c>
      <c r="CW26" s="26" t="str">
        <f>IF($C26="","",'Outturn ex VAT'!CW26*'Global Constants'!CP$59)</f>
        <v/>
      </c>
      <c r="CX26" s="26" t="str">
        <f>IF($C26="","",'Outturn ex VAT'!CX26*'Global Constants'!CQ$59)</f>
        <v/>
      </c>
      <c r="CZ26" s="26">
        <f t="shared" ca="1" si="0"/>
        <v>0</v>
      </c>
      <c r="DA26" s="26">
        <f t="shared" si="1"/>
        <v>0</v>
      </c>
    </row>
    <row r="27" spans="3:105" x14ac:dyDescent="0.3">
      <c r="C27" s="4" t="str">
        <f>IF('Cost &amp; Risk Inputs'!C28="","",'Cost &amp; Risk Inputs'!C28)</f>
        <v/>
      </c>
      <c r="D27" s="4" t="str">
        <f>IF(C27="","",'Cost &amp; Risk Inputs'!H28)</f>
        <v/>
      </c>
      <c r="E27" s="4" t="str">
        <f>IF(C27="","",'Cost &amp; Risk Inputs'!I28)</f>
        <v/>
      </c>
      <c r="M27" s="26" t="str">
        <f>IF($C27="","",'Outturn ex VAT'!M27*'Global Constants'!F$59)</f>
        <v/>
      </c>
      <c r="N27" s="26" t="str">
        <f>IF($C27="","",'Outturn ex VAT'!N27*'Global Constants'!G$59)</f>
        <v/>
      </c>
      <c r="O27" s="26" t="str">
        <f>IF($C27="","",'Outturn ex VAT'!O27*'Global Constants'!H$59)</f>
        <v/>
      </c>
      <c r="P27" s="26" t="str">
        <f>IF($C27="","",'Outturn ex VAT'!P27*'Global Constants'!I$59)</f>
        <v/>
      </c>
      <c r="Q27" s="26" t="str">
        <f>IF($C27="","",'Outturn ex VAT'!Q27*'Global Constants'!J$59)</f>
        <v/>
      </c>
      <c r="R27" s="26" t="str">
        <f>IF($C27="","",'Outturn ex VAT'!R27*'Global Constants'!K$59)</f>
        <v/>
      </c>
      <c r="S27" s="26" t="str">
        <f>IF($C27="","",'Outturn ex VAT'!S27*'Global Constants'!L$59)</f>
        <v/>
      </c>
      <c r="T27" s="26" t="str">
        <f>IF($C27="","",'Outturn ex VAT'!T27*'Global Constants'!M$59)</f>
        <v/>
      </c>
      <c r="U27" s="26" t="str">
        <f>IF($C27="","",'Outturn ex VAT'!U27*'Global Constants'!N$59)</f>
        <v/>
      </c>
      <c r="V27" s="26" t="str">
        <f>IF($C27="","",'Outturn ex VAT'!V27*'Global Constants'!O$59)</f>
        <v/>
      </c>
      <c r="W27" s="26" t="str">
        <f>IF($C27="","",'Outturn ex VAT'!W27*'Global Constants'!P$59)</f>
        <v/>
      </c>
      <c r="X27" s="26" t="str">
        <f>IF($C27="","",'Outturn ex VAT'!X27*'Global Constants'!Q$59)</f>
        <v/>
      </c>
      <c r="Y27" s="26" t="str">
        <f>IF($C27="","",'Outturn ex VAT'!Y27*'Global Constants'!R$59)</f>
        <v/>
      </c>
      <c r="Z27" s="26" t="str">
        <f>IF($C27="","",'Outturn ex VAT'!Z27*'Global Constants'!S$59)</f>
        <v/>
      </c>
      <c r="AA27" s="26" t="str">
        <f>IF($C27="","",'Outturn ex VAT'!AA27*'Global Constants'!T$59)</f>
        <v/>
      </c>
      <c r="AB27" s="26" t="str">
        <f>IF($C27="","",'Outturn ex VAT'!AB27*'Global Constants'!U$59)</f>
        <v/>
      </c>
      <c r="AC27" s="26" t="str">
        <f>IF($C27="","",'Outturn ex VAT'!AC27*'Global Constants'!V$59)</f>
        <v/>
      </c>
      <c r="AD27" s="26" t="str">
        <f>IF($C27="","",'Outturn ex VAT'!AD27*'Global Constants'!W$59)</f>
        <v/>
      </c>
      <c r="AE27" s="26" t="str">
        <f>IF($C27="","",'Outturn ex VAT'!AE27*'Global Constants'!X$59)</f>
        <v/>
      </c>
      <c r="AF27" s="26" t="str">
        <f>IF($C27="","",'Outturn ex VAT'!AF27*'Global Constants'!Y$59)</f>
        <v/>
      </c>
      <c r="AG27" s="26" t="str">
        <f>IF($C27="","",'Outturn ex VAT'!AG27*'Global Constants'!Z$59)</f>
        <v/>
      </c>
      <c r="AH27" s="26" t="str">
        <f>IF($C27="","",'Outturn ex VAT'!AH27*'Global Constants'!AA$59)</f>
        <v/>
      </c>
      <c r="AI27" s="26" t="str">
        <f>IF($C27="","",'Outturn ex VAT'!AI27*'Global Constants'!AB$59)</f>
        <v/>
      </c>
      <c r="AJ27" s="26" t="str">
        <f>IF($C27="","",'Outturn ex VAT'!AJ27*'Global Constants'!AC$59)</f>
        <v/>
      </c>
      <c r="AK27" s="26" t="str">
        <f>IF($C27="","",'Outturn ex VAT'!AK27*'Global Constants'!AD$59)</f>
        <v/>
      </c>
      <c r="AL27" s="26" t="str">
        <f>IF($C27="","",'Outturn ex VAT'!AL27*'Global Constants'!AE$59)</f>
        <v/>
      </c>
      <c r="AM27" s="26" t="str">
        <f>IF($C27="","",'Outturn ex VAT'!AM27*'Global Constants'!AF$59)</f>
        <v/>
      </c>
      <c r="AN27" s="26" t="str">
        <f>IF($C27="","",'Outturn ex VAT'!AN27*'Global Constants'!AG$59)</f>
        <v/>
      </c>
      <c r="AO27" s="26" t="str">
        <f>IF($C27="","",'Outturn ex VAT'!AO27*'Global Constants'!AH$59)</f>
        <v/>
      </c>
      <c r="AP27" s="26" t="str">
        <f>IF($C27="","",'Outturn ex VAT'!AP27*'Global Constants'!AI$59)</f>
        <v/>
      </c>
      <c r="AQ27" s="26" t="str">
        <f>IF($C27="","",'Outturn ex VAT'!AQ27*'Global Constants'!AJ$59)</f>
        <v/>
      </c>
      <c r="AR27" s="26" t="str">
        <f>IF($C27="","",'Outturn ex VAT'!AR27*'Global Constants'!AK$59)</f>
        <v/>
      </c>
      <c r="AS27" s="26" t="str">
        <f>IF($C27="","",'Outturn ex VAT'!AS27*'Global Constants'!AL$59)</f>
        <v/>
      </c>
      <c r="AT27" s="26" t="str">
        <f>IF($C27="","",'Outturn ex VAT'!AT27*'Global Constants'!AM$59)</f>
        <v/>
      </c>
      <c r="AU27" s="26" t="str">
        <f>IF($C27="","",'Outturn ex VAT'!AU27*'Global Constants'!AN$59)</f>
        <v/>
      </c>
      <c r="AV27" s="26" t="str">
        <f>IF($C27="","",'Outturn ex VAT'!AV27*'Global Constants'!AO$59)</f>
        <v/>
      </c>
      <c r="AW27" s="26" t="str">
        <f>IF($C27="","",'Outturn ex VAT'!AW27*'Global Constants'!AP$59)</f>
        <v/>
      </c>
      <c r="AX27" s="26" t="str">
        <f>IF($C27="","",'Outturn ex VAT'!AX27*'Global Constants'!AQ$59)</f>
        <v/>
      </c>
      <c r="AY27" s="26" t="str">
        <f>IF($C27="","",'Outturn ex VAT'!AY27*'Global Constants'!AR$59)</f>
        <v/>
      </c>
      <c r="AZ27" s="26" t="str">
        <f>IF($C27="","",'Outturn ex VAT'!AZ27*'Global Constants'!AS$59)</f>
        <v/>
      </c>
      <c r="BA27" s="26" t="str">
        <f>IF($C27="","",'Outturn ex VAT'!BA27*'Global Constants'!AT$59)</f>
        <v/>
      </c>
      <c r="BB27" s="26" t="str">
        <f>IF($C27="","",'Outturn ex VAT'!BB27*'Global Constants'!AU$59)</f>
        <v/>
      </c>
      <c r="BC27" s="26" t="str">
        <f>IF($C27="","",'Outturn ex VAT'!BC27*'Global Constants'!AV$59)</f>
        <v/>
      </c>
      <c r="BD27" s="26" t="str">
        <f>IF($C27="","",'Outturn ex VAT'!BD27*'Global Constants'!AW$59)</f>
        <v/>
      </c>
      <c r="BE27" s="26" t="str">
        <f>IF($C27="","",'Outturn ex VAT'!BE27*'Global Constants'!AX$59)</f>
        <v/>
      </c>
      <c r="BF27" s="26" t="str">
        <f>IF($C27="","",'Outturn ex VAT'!BF27*'Global Constants'!AY$59)</f>
        <v/>
      </c>
      <c r="BG27" s="26" t="str">
        <f>IF($C27="","",'Outturn ex VAT'!BG27*'Global Constants'!AZ$59)</f>
        <v/>
      </c>
      <c r="BH27" s="26" t="str">
        <f>IF($C27="","",'Outturn ex VAT'!BH27*'Global Constants'!BA$59)</f>
        <v/>
      </c>
      <c r="BI27" s="26" t="str">
        <f>IF($C27="","",'Outturn ex VAT'!BI27*'Global Constants'!BB$59)</f>
        <v/>
      </c>
      <c r="BJ27" s="26" t="str">
        <f>IF($C27="","",'Outturn ex VAT'!BJ27*'Global Constants'!BC$59)</f>
        <v/>
      </c>
      <c r="BK27" s="26" t="str">
        <f>IF($C27="","",'Outturn ex VAT'!BK27*'Global Constants'!BD$59)</f>
        <v/>
      </c>
      <c r="BL27" s="26" t="str">
        <f>IF($C27="","",'Outturn ex VAT'!BL27*'Global Constants'!BE$59)</f>
        <v/>
      </c>
      <c r="BM27" s="26" t="str">
        <f>IF($C27="","",'Outturn ex VAT'!BM27*'Global Constants'!BF$59)</f>
        <v/>
      </c>
      <c r="BN27" s="26" t="str">
        <f>IF($C27="","",'Outturn ex VAT'!BN27*'Global Constants'!BG$59)</f>
        <v/>
      </c>
      <c r="BO27" s="26" t="str">
        <f>IF($C27="","",'Outturn ex VAT'!BO27*'Global Constants'!BH$59)</f>
        <v/>
      </c>
      <c r="BP27" s="26" t="str">
        <f>IF($C27="","",'Outturn ex VAT'!BP27*'Global Constants'!BI$59)</f>
        <v/>
      </c>
      <c r="BQ27" s="26" t="str">
        <f>IF($C27="","",'Outturn ex VAT'!BQ27*'Global Constants'!BJ$59)</f>
        <v/>
      </c>
      <c r="BR27" s="26" t="str">
        <f>IF($C27="","",'Outturn ex VAT'!BR27*'Global Constants'!BK$59)</f>
        <v/>
      </c>
      <c r="BS27" s="26" t="str">
        <f>IF($C27="","",'Outturn ex VAT'!BS27*'Global Constants'!BL$59)</f>
        <v/>
      </c>
      <c r="BT27" s="26" t="str">
        <f>IF($C27="","",'Outturn ex VAT'!BT27*'Global Constants'!BM$59)</f>
        <v/>
      </c>
      <c r="BU27" s="26" t="str">
        <f>IF($C27="","",'Outturn ex VAT'!BU27*'Global Constants'!BN$59)</f>
        <v/>
      </c>
      <c r="BV27" s="26" t="str">
        <f>IF($C27="","",'Outturn ex VAT'!BV27*'Global Constants'!BO$59)</f>
        <v/>
      </c>
      <c r="BW27" s="26" t="str">
        <f>IF($C27="","",'Outturn ex VAT'!BW27*'Global Constants'!BP$59)</f>
        <v/>
      </c>
      <c r="BX27" s="26" t="str">
        <f>IF($C27="","",'Outturn ex VAT'!BX27*'Global Constants'!BQ$59)</f>
        <v/>
      </c>
      <c r="BY27" s="26" t="str">
        <f>IF($C27="","",'Outturn ex VAT'!BY27*'Global Constants'!BR$59)</f>
        <v/>
      </c>
      <c r="BZ27" s="26" t="str">
        <f>IF($C27="","",'Outturn ex VAT'!BZ27*'Global Constants'!BS$59)</f>
        <v/>
      </c>
      <c r="CA27" s="26" t="str">
        <f>IF($C27="","",'Outturn ex VAT'!CA27*'Global Constants'!BT$59)</f>
        <v/>
      </c>
      <c r="CB27" s="26" t="str">
        <f>IF($C27="","",'Outturn ex VAT'!CB27*'Global Constants'!BU$59)</f>
        <v/>
      </c>
      <c r="CC27" s="26" t="str">
        <f>IF($C27="","",'Outturn ex VAT'!CC27*'Global Constants'!BV$59)</f>
        <v/>
      </c>
      <c r="CD27" s="26" t="str">
        <f>IF($C27="","",'Outturn ex VAT'!CD27*'Global Constants'!BW$59)</f>
        <v/>
      </c>
      <c r="CE27" s="26" t="str">
        <f>IF($C27="","",'Outturn ex VAT'!CE27*'Global Constants'!BX$59)</f>
        <v/>
      </c>
      <c r="CF27" s="26" t="str">
        <f>IF($C27="","",'Outturn ex VAT'!CF27*'Global Constants'!BY$59)</f>
        <v/>
      </c>
      <c r="CG27" s="26" t="str">
        <f>IF($C27="","",'Outturn ex VAT'!CG27*'Global Constants'!BZ$59)</f>
        <v/>
      </c>
      <c r="CH27" s="26" t="str">
        <f>IF($C27="","",'Outturn ex VAT'!CH27*'Global Constants'!CA$59)</f>
        <v/>
      </c>
      <c r="CI27" s="26" t="str">
        <f>IF($C27="","",'Outturn ex VAT'!CI27*'Global Constants'!CB$59)</f>
        <v/>
      </c>
      <c r="CJ27" s="26" t="str">
        <f>IF($C27="","",'Outturn ex VAT'!CJ27*'Global Constants'!CC$59)</f>
        <v/>
      </c>
      <c r="CK27" s="26" t="str">
        <f>IF($C27="","",'Outturn ex VAT'!CK27*'Global Constants'!CD$59)</f>
        <v/>
      </c>
      <c r="CL27" s="26" t="str">
        <f>IF($C27="","",'Outturn ex VAT'!CL27*'Global Constants'!CE$59)</f>
        <v/>
      </c>
      <c r="CM27" s="26" t="str">
        <f>IF($C27="","",'Outturn ex VAT'!CM27*'Global Constants'!CF$59)</f>
        <v/>
      </c>
      <c r="CN27" s="26" t="str">
        <f>IF($C27="","",'Outturn ex VAT'!CN27*'Global Constants'!CG$59)</f>
        <v/>
      </c>
      <c r="CO27" s="26" t="str">
        <f>IF($C27="","",'Outturn ex VAT'!CO27*'Global Constants'!CH$59)</f>
        <v/>
      </c>
      <c r="CP27" s="26" t="str">
        <f>IF($C27="","",'Outturn ex VAT'!CP27*'Global Constants'!CI$59)</f>
        <v/>
      </c>
      <c r="CQ27" s="26" t="str">
        <f>IF($C27="","",'Outturn ex VAT'!CQ27*'Global Constants'!CJ$59)</f>
        <v/>
      </c>
      <c r="CR27" s="26" t="str">
        <f>IF($C27="","",'Outturn ex VAT'!CR27*'Global Constants'!CK$59)</f>
        <v/>
      </c>
      <c r="CS27" s="26" t="str">
        <f>IF($C27="","",'Outturn ex VAT'!CS27*'Global Constants'!CL$59)</f>
        <v/>
      </c>
      <c r="CT27" s="26" t="str">
        <f>IF($C27="","",'Outturn ex VAT'!CT27*'Global Constants'!CM$59)</f>
        <v/>
      </c>
      <c r="CU27" s="26" t="str">
        <f>IF($C27="","",'Outturn ex VAT'!CU27*'Global Constants'!CN$59)</f>
        <v/>
      </c>
      <c r="CV27" s="26" t="str">
        <f>IF($C27="","",'Outturn ex VAT'!CV27*'Global Constants'!CO$59)</f>
        <v/>
      </c>
      <c r="CW27" s="26" t="str">
        <f>IF($C27="","",'Outturn ex VAT'!CW27*'Global Constants'!CP$59)</f>
        <v/>
      </c>
      <c r="CX27" s="26" t="str">
        <f>IF($C27="","",'Outturn ex VAT'!CX27*'Global Constants'!CQ$59)</f>
        <v/>
      </c>
      <c r="CZ27" s="26">
        <f t="shared" ca="1" si="0"/>
        <v>0</v>
      </c>
      <c r="DA27" s="26">
        <f t="shared" si="1"/>
        <v>0</v>
      </c>
    </row>
    <row r="28" spans="3:105" x14ac:dyDescent="0.3">
      <c r="C28" s="4" t="str">
        <f>IF('Cost &amp; Risk Inputs'!C29="","",'Cost &amp; Risk Inputs'!C29)</f>
        <v/>
      </c>
      <c r="D28" s="4" t="str">
        <f>IF(C28="","",'Cost &amp; Risk Inputs'!H29)</f>
        <v/>
      </c>
      <c r="E28" s="4" t="str">
        <f>IF(C28="","",'Cost &amp; Risk Inputs'!I29)</f>
        <v/>
      </c>
      <c r="M28" s="26" t="str">
        <f>IF($C28="","",'Outturn ex VAT'!M28*'Global Constants'!F$59)</f>
        <v/>
      </c>
      <c r="N28" s="26" t="str">
        <f>IF($C28="","",'Outturn ex VAT'!N28*'Global Constants'!G$59)</f>
        <v/>
      </c>
      <c r="O28" s="26" t="str">
        <f>IF($C28="","",'Outturn ex VAT'!O28*'Global Constants'!H$59)</f>
        <v/>
      </c>
      <c r="P28" s="26" t="str">
        <f>IF($C28="","",'Outturn ex VAT'!P28*'Global Constants'!I$59)</f>
        <v/>
      </c>
      <c r="Q28" s="26" t="str">
        <f>IF($C28="","",'Outturn ex VAT'!Q28*'Global Constants'!J$59)</f>
        <v/>
      </c>
      <c r="R28" s="26" t="str">
        <f>IF($C28="","",'Outturn ex VAT'!R28*'Global Constants'!K$59)</f>
        <v/>
      </c>
      <c r="S28" s="26" t="str">
        <f>IF($C28="","",'Outturn ex VAT'!S28*'Global Constants'!L$59)</f>
        <v/>
      </c>
      <c r="T28" s="26" t="str">
        <f>IF($C28="","",'Outturn ex VAT'!T28*'Global Constants'!M$59)</f>
        <v/>
      </c>
      <c r="U28" s="26" t="str">
        <f>IF($C28="","",'Outturn ex VAT'!U28*'Global Constants'!N$59)</f>
        <v/>
      </c>
      <c r="V28" s="26" t="str">
        <f>IF($C28="","",'Outturn ex VAT'!V28*'Global Constants'!O$59)</f>
        <v/>
      </c>
      <c r="W28" s="26" t="str">
        <f>IF($C28="","",'Outturn ex VAT'!W28*'Global Constants'!P$59)</f>
        <v/>
      </c>
      <c r="X28" s="26" t="str">
        <f>IF($C28="","",'Outturn ex VAT'!X28*'Global Constants'!Q$59)</f>
        <v/>
      </c>
      <c r="Y28" s="26" t="str">
        <f>IF($C28="","",'Outturn ex VAT'!Y28*'Global Constants'!R$59)</f>
        <v/>
      </c>
      <c r="Z28" s="26" t="str">
        <f>IF($C28="","",'Outturn ex VAT'!Z28*'Global Constants'!S$59)</f>
        <v/>
      </c>
      <c r="AA28" s="26" t="str">
        <f>IF($C28="","",'Outturn ex VAT'!AA28*'Global Constants'!T$59)</f>
        <v/>
      </c>
      <c r="AB28" s="26" t="str">
        <f>IF($C28="","",'Outturn ex VAT'!AB28*'Global Constants'!U$59)</f>
        <v/>
      </c>
      <c r="AC28" s="26" t="str">
        <f>IF($C28="","",'Outturn ex VAT'!AC28*'Global Constants'!V$59)</f>
        <v/>
      </c>
      <c r="AD28" s="26" t="str">
        <f>IF($C28="","",'Outturn ex VAT'!AD28*'Global Constants'!W$59)</f>
        <v/>
      </c>
      <c r="AE28" s="26" t="str">
        <f>IF($C28="","",'Outturn ex VAT'!AE28*'Global Constants'!X$59)</f>
        <v/>
      </c>
      <c r="AF28" s="26" t="str">
        <f>IF($C28="","",'Outturn ex VAT'!AF28*'Global Constants'!Y$59)</f>
        <v/>
      </c>
      <c r="AG28" s="26" t="str">
        <f>IF($C28="","",'Outturn ex VAT'!AG28*'Global Constants'!Z$59)</f>
        <v/>
      </c>
      <c r="AH28" s="26" t="str">
        <f>IF($C28="","",'Outturn ex VAT'!AH28*'Global Constants'!AA$59)</f>
        <v/>
      </c>
      <c r="AI28" s="26" t="str">
        <f>IF($C28="","",'Outturn ex VAT'!AI28*'Global Constants'!AB$59)</f>
        <v/>
      </c>
      <c r="AJ28" s="26" t="str">
        <f>IF($C28="","",'Outturn ex VAT'!AJ28*'Global Constants'!AC$59)</f>
        <v/>
      </c>
      <c r="AK28" s="26" t="str">
        <f>IF($C28="","",'Outturn ex VAT'!AK28*'Global Constants'!AD$59)</f>
        <v/>
      </c>
      <c r="AL28" s="26" t="str">
        <f>IF($C28="","",'Outturn ex VAT'!AL28*'Global Constants'!AE$59)</f>
        <v/>
      </c>
      <c r="AM28" s="26" t="str">
        <f>IF($C28="","",'Outturn ex VAT'!AM28*'Global Constants'!AF$59)</f>
        <v/>
      </c>
      <c r="AN28" s="26" t="str">
        <f>IF($C28="","",'Outturn ex VAT'!AN28*'Global Constants'!AG$59)</f>
        <v/>
      </c>
      <c r="AO28" s="26" t="str">
        <f>IF($C28="","",'Outturn ex VAT'!AO28*'Global Constants'!AH$59)</f>
        <v/>
      </c>
      <c r="AP28" s="26" t="str">
        <f>IF($C28="","",'Outturn ex VAT'!AP28*'Global Constants'!AI$59)</f>
        <v/>
      </c>
      <c r="AQ28" s="26" t="str">
        <f>IF($C28="","",'Outturn ex VAT'!AQ28*'Global Constants'!AJ$59)</f>
        <v/>
      </c>
      <c r="AR28" s="26" t="str">
        <f>IF($C28="","",'Outturn ex VAT'!AR28*'Global Constants'!AK$59)</f>
        <v/>
      </c>
      <c r="AS28" s="26" t="str">
        <f>IF($C28="","",'Outturn ex VAT'!AS28*'Global Constants'!AL$59)</f>
        <v/>
      </c>
      <c r="AT28" s="26" t="str">
        <f>IF($C28="","",'Outturn ex VAT'!AT28*'Global Constants'!AM$59)</f>
        <v/>
      </c>
      <c r="AU28" s="26" t="str">
        <f>IF($C28="","",'Outturn ex VAT'!AU28*'Global Constants'!AN$59)</f>
        <v/>
      </c>
      <c r="AV28" s="26" t="str">
        <f>IF($C28="","",'Outturn ex VAT'!AV28*'Global Constants'!AO$59)</f>
        <v/>
      </c>
      <c r="AW28" s="26" t="str">
        <f>IF($C28="","",'Outturn ex VAT'!AW28*'Global Constants'!AP$59)</f>
        <v/>
      </c>
      <c r="AX28" s="26" t="str">
        <f>IF($C28="","",'Outturn ex VAT'!AX28*'Global Constants'!AQ$59)</f>
        <v/>
      </c>
      <c r="AY28" s="26" t="str">
        <f>IF($C28="","",'Outturn ex VAT'!AY28*'Global Constants'!AR$59)</f>
        <v/>
      </c>
      <c r="AZ28" s="26" t="str">
        <f>IF($C28="","",'Outturn ex VAT'!AZ28*'Global Constants'!AS$59)</f>
        <v/>
      </c>
      <c r="BA28" s="26" t="str">
        <f>IF($C28="","",'Outturn ex VAT'!BA28*'Global Constants'!AT$59)</f>
        <v/>
      </c>
      <c r="BB28" s="26" t="str">
        <f>IF($C28="","",'Outturn ex VAT'!BB28*'Global Constants'!AU$59)</f>
        <v/>
      </c>
      <c r="BC28" s="26" t="str">
        <f>IF($C28="","",'Outturn ex VAT'!BC28*'Global Constants'!AV$59)</f>
        <v/>
      </c>
      <c r="BD28" s="26" t="str">
        <f>IF($C28="","",'Outturn ex VAT'!BD28*'Global Constants'!AW$59)</f>
        <v/>
      </c>
      <c r="BE28" s="26" t="str">
        <f>IF($C28="","",'Outturn ex VAT'!BE28*'Global Constants'!AX$59)</f>
        <v/>
      </c>
      <c r="BF28" s="26" t="str">
        <f>IF($C28="","",'Outturn ex VAT'!BF28*'Global Constants'!AY$59)</f>
        <v/>
      </c>
      <c r="BG28" s="26" t="str">
        <f>IF($C28="","",'Outturn ex VAT'!BG28*'Global Constants'!AZ$59)</f>
        <v/>
      </c>
      <c r="BH28" s="26" t="str">
        <f>IF($C28="","",'Outturn ex VAT'!BH28*'Global Constants'!BA$59)</f>
        <v/>
      </c>
      <c r="BI28" s="26" t="str">
        <f>IF($C28="","",'Outturn ex VAT'!BI28*'Global Constants'!BB$59)</f>
        <v/>
      </c>
      <c r="BJ28" s="26" t="str">
        <f>IF($C28="","",'Outturn ex VAT'!BJ28*'Global Constants'!BC$59)</f>
        <v/>
      </c>
      <c r="BK28" s="26" t="str">
        <f>IF($C28="","",'Outturn ex VAT'!BK28*'Global Constants'!BD$59)</f>
        <v/>
      </c>
      <c r="BL28" s="26" t="str">
        <f>IF($C28="","",'Outturn ex VAT'!BL28*'Global Constants'!BE$59)</f>
        <v/>
      </c>
      <c r="BM28" s="26" t="str">
        <f>IF($C28="","",'Outturn ex VAT'!BM28*'Global Constants'!BF$59)</f>
        <v/>
      </c>
      <c r="BN28" s="26" t="str">
        <f>IF($C28="","",'Outturn ex VAT'!BN28*'Global Constants'!BG$59)</f>
        <v/>
      </c>
      <c r="BO28" s="26" t="str">
        <f>IF($C28="","",'Outturn ex VAT'!BO28*'Global Constants'!BH$59)</f>
        <v/>
      </c>
      <c r="BP28" s="26" t="str">
        <f>IF($C28="","",'Outturn ex VAT'!BP28*'Global Constants'!BI$59)</f>
        <v/>
      </c>
      <c r="BQ28" s="26" t="str">
        <f>IF($C28="","",'Outturn ex VAT'!BQ28*'Global Constants'!BJ$59)</f>
        <v/>
      </c>
      <c r="BR28" s="26" t="str">
        <f>IF($C28="","",'Outturn ex VAT'!BR28*'Global Constants'!BK$59)</f>
        <v/>
      </c>
      <c r="BS28" s="26" t="str">
        <f>IF($C28="","",'Outturn ex VAT'!BS28*'Global Constants'!BL$59)</f>
        <v/>
      </c>
      <c r="BT28" s="26" t="str">
        <f>IF($C28="","",'Outturn ex VAT'!BT28*'Global Constants'!BM$59)</f>
        <v/>
      </c>
      <c r="BU28" s="26" t="str">
        <f>IF($C28="","",'Outturn ex VAT'!BU28*'Global Constants'!BN$59)</f>
        <v/>
      </c>
      <c r="BV28" s="26" t="str">
        <f>IF($C28="","",'Outturn ex VAT'!BV28*'Global Constants'!BO$59)</f>
        <v/>
      </c>
      <c r="BW28" s="26" t="str">
        <f>IF($C28="","",'Outturn ex VAT'!BW28*'Global Constants'!BP$59)</f>
        <v/>
      </c>
      <c r="BX28" s="26" t="str">
        <f>IF($C28="","",'Outturn ex VAT'!BX28*'Global Constants'!BQ$59)</f>
        <v/>
      </c>
      <c r="BY28" s="26" t="str">
        <f>IF($C28="","",'Outturn ex VAT'!BY28*'Global Constants'!BR$59)</f>
        <v/>
      </c>
      <c r="BZ28" s="26" t="str">
        <f>IF($C28="","",'Outturn ex VAT'!BZ28*'Global Constants'!BS$59)</f>
        <v/>
      </c>
      <c r="CA28" s="26" t="str">
        <f>IF($C28="","",'Outturn ex VAT'!CA28*'Global Constants'!BT$59)</f>
        <v/>
      </c>
      <c r="CB28" s="26" t="str">
        <f>IF($C28="","",'Outturn ex VAT'!CB28*'Global Constants'!BU$59)</f>
        <v/>
      </c>
      <c r="CC28" s="26" t="str">
        <f>IF($C28="","",'Outturn ex VAT'!CC28*'Global Constants'!BV$59)</f>
        <v/>
      </c>
      <c r="CD28" s="26" t="str">
        <f>IF($C28="","",'Outturn ex VAT'!CD28*'Global Constants'!BW$59)</f>
        <v/>
      </c>
      <c r="CE28" s="26" t="str">
        <f>IF($C28="","",'Outturn ex VAT'!CE28*'Global Constants'!BX$59)</f>
        <v/>
      </c>
      <c r="CF28" s="26" t="str">
        <f>IF($C28="","",'Outturn ex VAT'!CF28*'Global Constants'!BY$59)</f>
        <v/>
      </c>
      <c r="CG28" s="26" t="str">
        <f>IF($C28="","",'Outturn ex VAT'!CG28*'Global Constants'!BZ$59)</f>
        <v/>
      </c>
      <c r="CH28" s="26" t="str">
        <f>IF($C28="","",'Outturn ex VAT'!CH28*'Global Constants'!CA$59)</f>
        <v/>
      </c>
      <c r="CI28" s="26" t="str">
        <f>IF($C28="","",'Outturn ex VAT'!CI28*'Global Constants'!CB$59)</f>
        <v/>
      </c>
      <c r="CJ28" s="26" t="str">
        <f>IF($C28="","",'Outturn ex VAT'!CJ28*'Global Constants'!CC$59)</f>
        <v/>
      </c>
      <c r="CK28" s="26" t="str">
        <f>IF($C28="","",'Outturn ex VAT'!CK28*'Global Constants'!CD$59)</f>
        <v/>
      </c>
      <c r="CL28" s="26" t="str">
        <f>IF($C28="","",'Outturn ex VAT'!CL28*'Global Constants'!CE$59)</f>
        <v/>
      </c>
      <c r="CM28" s="26" t="str">
        <f>IF($C28="","",'Outturn ex VAT'!CM28*'Global Constants'!CF$59)</f>
        <v/>
      </c>
      <c r="CN28" s="26" t="str">
        <f>IF($C28="","",'Outturn ex VAT'!CN28*'Global Constants'!CG$59)</f>
        <v/>
      </c>
      <c r="CO28" s="26" t="str">
        <f>IF($C28="","",'Outturn ex VAT'!CO28*'Global Constants'!CH$59)</f>
        <v/>
      </c>
      <c r="CP28" s="26" t="str">
        <f>IF($C28="","",'Outturn ex VAT'!CP28*'Global Constants'!CI$59)</f>
        <v/>
      </c>
      <c r="CQ28" s="26" t="str">
        <f>IF($C28="","",'Outturn ex VAT'!CQ28*'Global Constants'!CJ$59)</f>
        <v/>
      </c>
      <c r="CR28" s="26" t="str">
        <f>IF($C28="","",'Outturn ex VAT'!CR28*'Global Constants'!CK$59)</f>
        <v/>
      </c>
      <c r="CS28" s="26" t="str">
        <f>IF($C28="","",'Outturn ex VAT'!CS28*'Global Constants'!CL$59)</f>
        <v/>
      </c>
      <c r="CT28" s="26" t="str">
        <f>IF($C28="","",'Outturn ex VAT'!CT28*'Global Constants'!CM$59)</f>
        <v/>
      </c>
      <c r="CU28" s="26" t="str">
        <f>IF($C28="","",'Outturn ex VAT'!CU28*'Global Constants'!CN$59)</f>
        <v/>
      </c>
      <c r="CV28" s="26" t="str">
        <f>IF($C28="","",'Outturn ex VAT'!CV28*'Global Constants'!CO$59)</f>
        <v/>
      </c>
      <c r="CW28" s="26" t="str">
        <f>IF($C28="","",'Outturn ex VAT'!CW28*'Global Constants'!CP$59)</f>
        <v/>
      </c>
      <c r="CX28" s="26" t="str">
        <f>IF($C28="","",'Outturn ex VAT'!CX28*'Global Constants'!CQ$59)</f>
        <v/>
      </c>
      <c r="CZ28" s="26">
        <f t="shared" ca="1" si="0"/>
        <v>0</v>
      </c>
      <c r="DA28" s="26">
        <f t="shared" si="1"/>
        <v>0</v>
      </c>
    </row>
    <row r="29" spans="3:105" x14ac:dyDescent="0.3">
      <c r="C29" s="4" t="str">
        <f>IF('Cost &amp; Risk Inputs'!C30="","",'Cost &amp; Risk Inputs'!C30)</f>
        <v/>
      </c>
      <c r="D29" s="4" t="str">
        <f>IF(C29="","",'Cost &amp; Risk Inputs'!H30)</f>
        <v/>
      </c>
      <c r="E29" s="4" t="str">
        <f>IF(C29="","",'Cost &amp; Risk Inputs'!I30)</f>
        <v/>
      </c>
      <c r="M29" s="26" t="str">
        <f>IF($C29="","",'Outturn ex VAT'!M29*'Global Constants'!F$59)</f>
        <v/>
      </c>
      <c r="N29" s="26" t="str">
        <f>IF($C29="","",'Outturn ex VAT'!N29*'Global Constants'!G$59)</f>
        <v/>
      </c>
      <c r="O29" s="26" t="str">
        <f>IF($C29="","",'Outturn ex VAT'!O29*'Global Constants'!H$59)</f>
        <v/>
      </c>
      <c r="P29" s="26" t="str">
        <f>IF($C29="","",'Outturn ex VAT'!P29*'Global Constants'!I$59)</f>
        <v/>
      </c>
      <c r="Q29" s="26" t="str">
        <f>IF($C29="","",'Outturn ex VAT'!Q29*'Global Constants'!J$59)</f>
        <v/>
      </c>
      <c r="R29" s="26" t="str">
        <f>IF($C29="","",'Outturn ex VAT'!R29*'Global Constants'!K$59)</f>
        <v/>
      </c>
      <c r="S29" s="26" t="str">
        <f>IF($C29="","",'Outturn ex VAT'!S29*'Global Constants'!L$59)</f>
        <v/>
      </c>
      <c r="T29" s="26" t="str">
        <f>IF($C29="","",'Outturn ex VAT'!T29*'Global Constants'!M$59)</f>
        <v/>
      </c>
      <c r="U29" s="26" t="str">
        <f>IF($C29="","",'Outturn ex VAT'!U29*'Global Constants'!N$59)</f>
        <v/>
      </c>
      <c r="V29" s="26" t="str">
        <f>IF($C29="","",'Outturn ex VAT'!V29*'Global Constants'!O$59)</f>
        <v/>
      </c>
      <c r="W29" s="26" t="str">
        <f>IF($C29="","",'Outturn ex VAT'!W29*'Global Constants'!P$59)</f>
        <v/>
      </c>
      <c r="X29" s="26" t="str">
        <f>IF($C29="","",'Outturn ex VAT'!X29*'Global Constants'!Q$59)</f>
        <v/>
      </c>
      <c r="Y29" s="26" t="str">
        <f>IF($C29="","",'Outturn ex VAT'!Y29*'Global Constants'!R$59)</f>
        <v/>
      </c>
      <c r="Z29" s="26" t="str">
        <f>IF($C29="","",'Outturn ex VAT'!Z29*'Global Constants'!S$59)</f>
        <v/>
      </c>
      <c r="AA29" s="26" t="str">
        <f>IF($C29="","",'Outturn ex VAT'!AA29*'Global Constants'!T$59)</f>
        <v/>
      </c>
      <c r="AB29" s="26" t="str">
        <f>IF($C29="","",'Outturn ex VAT'!AB29*'Global Constants'!U$59)</f>
        <v/>
      </c>
      <c r="AC29" s="26" t="str">
        <f>IF($C29="","",'Outturn ex VAT'!AC29*'Global Constants'!V$59)</f>
        <v/>
      </c>
      <c r="AD29" s="26" t="str">
        <f>IF($C29="","",'Outturn ex VAT'!AD29*'Global Constants'!W$59)</f>
        <v/>
      </c>
      <c r="AE29" s="26" t="str">
        <f>IF($C29="","",'Outturn ex VAT'!AE29*'Global Constants'!X$59)</f>
        <v/>
      </c>
      <c r="AF29" s="26" t="str">
        <f>IF($C29="","",'Outturn ex VAT'!AF29*'Global Constants'!Y$59)</f>
        <v/>
      </c>
      <c r="AG29" s="26" t="str">
        <f>IF($C29="","",'Outturn ex VAT'!AG29*'Global Constants'!Z$59)</f>
        <v/>
      </c>
      <c r="AH29" s="26" t="str">
        <f>IF($C29="","",'Outturn ex VAT'!AH29*'Global Constants'!AA$59)</f>
        <v/>
      </c>
      <c r="AI29" s="26" t="str">
        <f>IF($C29="","",'Outturn ex VAT'!AI29*'Global Constants'!AB$59)</f>
        <v/>
      </c>
      <c r="AJ29" s="26" t="str">
        <f>IF($C29="","",'Outturn ex VAT'!AJ29*'Global Constants'!AC$59)</f>
        <v/>
      </c>
      <c r="AK29" s="26" t="str">
        <f>IF($C29="","",'Outturn ex VAT'!AK29*'Global Constants'!AD$59)</f>
        <v/>
      </c>
      <c r="AL29" s="26" t="str">
        <f>IF($C29="","",'Outturn ex VAT'!AL29*'Global Constants'!AE$59)</f>
        <v/>
      </c>
      <c r="AM29" s="26" t="str">
        <f>IF($C29="","",'Outturn ex VAT'!AM29*'Global Constants'!AF$59)</f>
        <v/>
      </c>
      <c r="AN29" s="26" t="str">
        <f>IF($C29="","",'Outturn ex VAT'!AN29*'Global Constants'!AG$59)</f>
        <v/>
      </c>
      <c r="AO29" s="26" t="str">
        <f>IF($C29="","",'Outturn ex VAT'!AO29*'Global Constants'!AH$59)</f>
        <v/>
      </c>
      <c r="AP29" s="26" t="str">
        <f>IF($C29="","",'Outturn ex VAT'!AP29*'Global Constants'!AI$59)</f>
        <v/>
      </c>
      <c r="AQ29" s="26" t="str">
        <f>IF($C29="","",'Outturn ex VAT'!AQ29*'Global Constants'!AJ$59)</f>
        <v/>
      </c>
      <c r="AR29" s="26" t="str">
        <f>IF($C29="","",'Outturn ex VAT'!AR29*'Global Constants'!AK$59)</f>
        <v/>
      </c>
      <c r="AS29" s="26" t="str">
        <f>IF($C29="","",'Outturn ex VAT'!AS29*'Global Constants'!AL$59)</f>
        <v/>
      </c>
      <c r="AT29" s="26" t="str">
        <f>IF($C29="","",'Outturn ex VAT'!AT29*'Global Constants'!AM$59)</f>
        <v/>
      </c>
      <c r="AU29" s="26" t="str">
        <f>IF($C29="","",'Outturn ex VAT'!AU29*'Global Constants'!AN$59)</f>
        <v/>
      </c>
      <c r="AV29" s="26" t="str">
        <f>IF($C29="","",'Outturn ex VAT'!AV29*'Global Constants'!AO$59)</f>
        <v/>
      </c>
      <c r="AW29" s="26" t="str">
        <f>IF($C29="","",'Outturn ex VAT'!AW29*'Global Constants'!AP$59)</f>
        <v/>
      </c>
      <c r="AX29" s="26" t="str">
        <f>IF($C29="","",'Outturn ex VAT'!AX29*'Global Constants'!AQ$59)</f>
        <v/>
      </c>
      <c r="AY29" s="26" t="str">
        <f>IF($C29="","",'Outturn ex VAT'!AY29*'Global Constants'!AR$59)</f>
        <v/>
      </c>
      <c r="AZ29" s="26" t="str">
        <f>IF($C29="","",'Outturn ex VAT'!AZ29*'Global Constants'!AS$59)</f>
        <v/>
      </c>
      <c r="BA29" s="26" t="str">
        <f>IF($C29="","",'Outturn ex VAT'!BA29*'Global Constants'!AT$59)</f>
        <v/>
      </c>
      <c r="BB29" s="26" t="str">
        <f>IF($C29="","",'Outturn ex VAT'!BB29*'Global Constants'!AU$59)</f>
        <v/>
      </c>
      <c r="BC29" s="26" t="str">
        <f>IF($C29="","",'Outturn ex VAT'!BC29*'Global Constants'!AV$59)</f>
        <v/>
      </c>
      <c r="BD29" s="26" t="str">
        <f>IF($C29="","",'Outturn ex VAT'!BD29*'Global Constants'!AW$59)</f>
        <v/>
      </c>
      <c r="BE29" s="26" t="str">
        <f>IF($C29="","",'Outturn ex VAT'!BE29*'Global Constants'!AX$59)</f>
        <v/>
      </c>
      <c r="BF29" s="26" t="str">
        <f>IF($C29="","",'Outturn ex VAT'!BF29*'Global Constants'!AY$59)</f>
        <v/>
      </c>
      <c r="BG29" s="26" t="str">
        <f>IF($C29="","",'Outturn ex VAT'!BG29*'Global Constants'!AZ$59)</f>
        <v/>
      </c>
      <c r="BH29" s="26" t="str">
        <f>IF($C29="","",'Outturn ex VAT'!BH29*'Global Constants'!BA$59)</f>
        <v/>
      </c>
      <c r="BI29" s="26" t="str">
        <f>IF($C29="","",'Outturn ex VAT'!BI29*'Global Constants'!BB$59)</f>
        <v/>
      </c>
      <c r="BJ29" s="26" t="str">
        <f>IF($C29="","",'Outturn ex VAT'!BJ29*'Global Constants'!BC$59)</f>
        <v/>
      </c>
      <c r="BK29" s="26" t="str">
        <f>IF($C29="","",'Outturn ex VAT'!BK29*'Global Constants'!BD$59)</f>
        <v/>
      </c>
      <c r="BL29" s="26" t="str">
        <f>IF($C29="","",'Outturn ex VAT'!BL29*'Global Constants'!BE$59)</f>
        <v/>
      </c>
      <c r="BM29" s="26" t="str">
        <f>IF($C29="","",'Outturn ex VAT'!BM29*'Global Constants'!BF$59)</f>
        <v/>
      </c>
      <c r="BN29" s="26" t="str">
        <f>IF($C29="","",'Outturn ex VAT'!BN29*'Global Constants'!BG$59)</f>
        <v/>
      </c>
      <c r="BO29" s="26" t="str">
        <f>IF($C29="","",'Outturn ex VAT'!BO29*'Global Constants'!BH$59)</f>
        <v/>
      </c>
      <c r="BP29" s="26" t="str">
        <f>IF($C29="","",'Outturn ex VAT'!BP29*'Global Constants'!BI$59)</f>
        <v/>
      </c>
      <c r="BQ29" s="26" t="str">
        <f>IF($C29="","",'Outturn ex VAT'!BQ29*'Global Constants'!BJ$59)</f>
        <v/>
      </c>
      <c r="BR29" s="26" t="str">
        <f>IF($C29="","",'Outturn ex VAT'!BR29*'Global Constants'!BK$59)</f>
        <v/>
      </c>
      <c r="BS29" s="26" t="str">
        <f>IF($C29="","",'Outturn ex VAT'!BS29*'Global Constants'!BL$59)</f>
        <v/>
      </c>
      <c r="BT29" s="26" t="str">
        <f>IF($C29="","",'Outturn ex VAT'!BT29*'Global Constants'!BM$59)</f>
        <v/>
      </c>
      <c r="BU29" s="26" t="str">
        <f>IF($C29="","",'Outturn ex VAT'!BU29*'Global Constants'!BN$59)</f>
        <v/>
      </c>
      <c r="BV29" s="26" t="str">
        <f>IF($C29="","",'Outturn ex VAT'!BV29*'Global Constants'!BO$59)</f>
        <v/>
      </c>
      <c r="BW29" s="26" t="str">
        <f>IF($C29="","",'Outturn ex VAT'!BW29*'Global Constants'!BP$59)</f>
        <v/>
      </c>
      <c r="BX29" s="26" t="str">
        <f>IF($C29="","",'Outturn ex VAT'!BX29*'Global Constants'!BQ$59)</f>
        <v/>
      </c>
      <c r="BY29" s="26" t="str">
        <f>IF($C29="","",'Outturn ex VAT'!BY29*'Global Constants'!BR$59)</f>
        <v/>
      </c>
      <c r="BZ29" s="26" t="str">
        <f>IF($C29="","",'Outturn ex VAT'!BZ29*'Global Constants'!BS$59)</f>
        <v/>
      </c>
      <c r="CA29" s="26" t="str">
        <f>IF($C29="","",'Outturn ex VAT'!CA29*'Global Constants'!BT$59)</f>
        <v/>
      </c>
      <c r="CB29" s="26" t="str">
        <f>IF($C29="","",'Outturn ex VAT'!CB29*'Global Constants'!BU$59)</f>
        <v/>
      </c>
      <c r="CC29" s="26" t="str">
        <f>IF($C29="","",'Outturn ex VAT'!CC29*'Global Constants'!BV$59)</f>
        <v/>
      </c>
      <c r="CD29" s="26" t="str">
        <f>IF($C29="","",'Outturn ex VAT'!CD29*'Global Constants'!BW$59)</f>
        <v/>
      </c>
      <c r="CE29" s="26" t="str">
        <f>IF($C29="","",'Outturn ex VAT'!CE29*'Global Constants'!BX$59)</f>
        <v/>
      </c>
      <c r="CF29" s="26" t="str">
        <f>IF($C29="","",'Outturn ex VAT'!CF29*'Global Constants'!BY$59)</f>
        <v/>
      </c>
      <c r="CG29" s="26" t="str">
        <f>IF($C29="","",'Outturn ex VAT'!CG29*'Global Constants'!BZ$59)</f>
        <v/>
      </c>
      <c r="CH29" s="26" t="str">
        <f>IF($C29="","",'Outturn ex VAT'!CH29*'Global Constants'!CA$59)</f>
        <v/>
      </c>
      <c r="CI29" s="26" t="str">
        <f>IF($C29="","",'Outturn ex VAT'!CI29*'Global Constants'!CB$59)</f>
        <v/>
      </c>
      <c r="CJ29" s="26" t="str">
        <f>IF($C29="","",'Outturn ex VAT'!CJ29*'Global Constants'!CC$59)</f>
        <v/>
      </c>
      <c r="CK29" s="26" t="str">
        <f>IF($C29="","",'Outturn ex VAT'!CK29*'Global Constants'!CD$59)</f>
        <v/>
      </c>
      <c r="CL29" s="26" t="str">
        <f>IF($C29="","",'Outturn ex VAT'!CL29*'Global Constants'!CE$59)</f>
        <v/>
      </c>
      <c r="CM29" s="26" t="str">
        <f>IF($C29="","",'Outturn ex VAT'!CM29*'Global Constants'!CF$59)</f>
        <v/>
      </c>
      <c r="CN29" s="26" t="str">
        <f>IF($C29="","",'Outturn ex VAT'!CN29*'Global Constants'!CG$59)</f>
        <v/>
      </c>
      <c r="CO29" s="26" t="str">
        <f>IF($C29="","",'Outturn ex VAT'!CO29*'Global Constants'!CH$59)</f>
        <v/>
      </c>
      <c r="CP29" s="26" t="str">
        <f>IF($C29="","",'Outturn ex VAT'!CP29*'Global Constants'!CI$59)</f>
        <v/>
      </c>
      <c r="CQ29" s="26" t="str">
        <f>IF($C29="","",'Outturn ex VAT'!CQ29*'Global Constants'!CJ$59)</f>
        <v/>
      </c>
      <c r="CR29" s="26" t="str">
        <f>IF($C29="","",'Outturn ex VAT'!CR29*'Global Constants'!CK$59)</f>
        <v/>
      </c>
      <c r="CS29" s="26" t="str">
        <f>IF($C29="","",'Outturn ex VAT'!CS29*'Global Constants'!CL$59)</f>
        <v/>
      </c>
      <c r="CT29" s="26" t="str">
        <f>IF($C29="","",'Outturn ex VAT'!CT29*'Global Constants'!CM$59)</f>
        <v/>
      </c>
      <c r="CU29" s="26" t="str">
        <f>IF($C29="","",'Outturn ex VAT'!CU29*'Global Constants'!CN$59)</f>
        <v/>
      </c>
      <c r="CV29" s="26" t="str">
        <f>IF($C29="","",'Outturn ex VAT'!CV29*'Global Constants'!CO$59)</f>
        <v/>
      </c>
      <c r="CW29" s="26" t="str">
        <f>IF($C29="","",'Outturn ex VAT'!CW29*'Global Constants'!CP$59)</f>
        <v/>
      </c>
      <c r="CX29" s="26" t="str">
        <f>IF($C29="","",'Outturn ex VAT'!CX29*'Global Constants'!CQ$59)</f>
        <v/>
      </c>
      <c r="CZ29" s="26">
        <f t="shared" ca="1" si="0"/>
        <v>0</v>
      </c>
      <c r="DA29" s="26">
        <f t="shared" si="1"/>
        <v>0</v>
      </c>
    </row>
    <row r="30" spans="3:105" x14ac:dyDescent="0.3">
      <c r="C30" s="4" t="str">
        <f>IF('Cost &amp; Risk Inputs'!C31="","",'Cost &amp; Risk Inputs'!C31)</f>
        <v/>
      </c>
      <c r="D30" s="4" t="str">
        <f>IF(C30="","",'Cost &amp; Risk Inputs'!H31)</f>
        <v/>
      </c>
      <c r="E30" s="4" t="str">
        <f>IF(C30="","",'Cost &amp; Risk Inputs'!I31)</f>
        <v/>
      </c>
      <c r="M30" s="26" t="str">
        <f>IF($C30="","",'Outturn ex VAT'!M30*'Global Constants'!F$59)</f>
        <v/>
      </c>
      <c r="N30" s="26" t="str">
        <f>IF($C30="","",'Outturn ex VAT'!N30*'Global Constants'!G$59)</f>
        <v/>
      </c>
      <c r="O30" s="26" t="str">
        <f>IF($C30="","",'Outturn ex VAT'!O30*'Global Constants'!H$59)</f>
        <v/>
      </c>
      <c r="P30" s="26" t="str">
        <f>IF($C30="","",'Outturn ex VAT'!P30*'Global Constants'!I$59)</f>
        <v/>
      </c>
      <c r="Q30" s="26" t="str">
        <f>IF($C30="","",'Outturn ex VAT'!Q30*'Global Constants'!J$59)</f>
        <v/>
      </c>
      <c r="R30" s="26" t="str">
        <f>IF($C30="","",'Outturn ex VAT'!R30*'Global Constants'!K$59)</f>
        <v/>
      </c>
      <c r="S30" s="26" t="str">
        <f>IF($C30="","",'Outturn ex VAT'!S30*'Global Constants'!L$59)</f>
        <v/>
      </c>
      <c r="T30" s="26" t="str">
        <f>IF($C30="","",'Outturn ex VAT'!T30*'Global Constants'!M$59)</f>
        <v/>
      </c>
      <c r="U30" s="26" t="str">
        <f>IF($C30="","",'Outturn ex VAT'!U30*'Global Constants'!N$59)</f>
        <v/>
      </c>
      <c r="V30" s="26" t="str">
        <f>IF($C30="","",'Outturn ex VAT'!V30*'Global Constants'!O$59)</f>
        <v/>
      </c>
      <c r="W30" s="26" t="str">
        <f>IF($C30="","",'Outturn ex VAT'!W30*'Global Constants'!P$59)</f>
        <v/>
      </c>
      <c r="X30" s="26" t="str">
        <f>IF($C30="","",'Outturn ex VAT'!X30*'Global Constants'!Q$59)</f>
        <v/>
      </c>
      <c r="Y30" s="26" t="str">
        <f>IF($C30="","",'Outturn ex VAT'!Y30*'Global Constants'!R$59)</f>
        <v/>
      </c>
      <c r="Z30" s="26" t="str">
        <f>IF($C30="","",'Outturn ex VAT'!Z30*'Global Constants'!S$59)</f>
        <v/>
      </c>
      <c r="AA30" s="26" t="str">
        <f>IF($C30="","",'Outturn ex VAT'!AA30*'Global Constants'!T$59)</f>
        <v/>
      </c>
      <c r="AB30" s="26" t="str">
        <f>IF($C30="","",'Outturn ex VAT'!AB30*'Global Constants'!U$59)</f>
        <v/>
      </c>
      <c r="AC30" s="26" t="str">
        <f>IF($C30="","",'Outturn ex VAT'!AC30*'Global Constants'!V$59)</f>
        <v/>
      </c>
      <c r="AD30" s="26" t="str">
        <f>IF($C30="","",'Outturn ex VAT'!AD30*'Global Constants'!W$59)</f>
        <v/>
      </c>
      <c r="AE30" s="26" t="str">
        <f>IF($C30="","",'Outturn ex VAT'!AE30*'Global Constants'!X$59)</f>
        <v/>
      </c>
      <c r="AF30" s="26" t="str">
        <f>IF($C30="","",'Outturn ex VAT'!AF30*'Global Constants'!Y$59)</f>
        <v/>
      </c>
      <c r="AG30" s="26" t="str">
        <f>IF($C30="","",'Outturn ex VAT'!AG30*'Global Constants'!Z$59)</f>
        <v/>
      </c>
      <c r="AH30" s="26" t="str">
        <f>IF($C30="","",'Outturn ex VAT'!AH30*'Global Constants'!AA$59)</f>
        <v/>
      </c>
      <c r="AI30" s="26" t="str">
        <f>IF($C30="","",'Outturn ex VAT'!AI30*'Global Constants'!AB$59)</f>
        <v/>
      </c>
      <c r="AJ30" s="26" t="str">
        <f>IF($C30="","",'Outturn ex VAT'!AJ30*'Global Constants'!AC$59)</f>
        <v/>
      </c>
      <c r="AK30" s="26" t="str">
        <f>IF($C30="","",'Outturn ex VAT'!AK30*'Global Constants'!AD$59)</f>
        <v/>
      </c>
      <c r="AL30" s="26" t="str">
        <f>IF($C30="","",'Outturn ex VAT'!AL30*'Global Constants'!AE$59)</f>
        <v/>
      </c>
      <c r="AM30" s="26" t="str">
        <f>IF($C30="","",'Outturn ex VAT'!AM30*'Global Constants'!AF$59)</f>
        <v/>
      </c>
      <c r="AN30" s="26" t="str">
        <f>IF($C30="","",'Outturn ex VAT'!AN30*'Global Constants'!AG$59)</f>
        <v/>
      </c>
      <c r="AO30" s="26" t="str">
        <f>IF($C30="","",'Outturn ex VAT'!AO30*'Global Constants'!AH$59)</f>
        <v/>
      </c>
      <c r="AP30" s="26" t="str">
        <f>IF($C30="","",'Outturn ex VAT'!AP30*'Global Constants'!AI$59)</f>
        <v/>
      </c>
      <c r="AQ30" s="26" t="str">
        <f>IF($C30="","",'Outturn ex VAT'!AQ30*'Global Constants'!AJ$59)</f>
        <v/>
      </c>
      <c r="AR30" s="26" t="str">
        <f>IF($C30="","",'Outturn ex VAT'!AR30*'Global Constants'!AK$59)</f>
        <v/>
      </c>
      <c r="AS30" s="26" t="str">
        <f>IF($C30="","",'Outturn ex VAT'!AS30*'Global Constants'!AL$59)</f>
        <v/>
      </c>
      <c r="AT30" s="26" t="str">
        <f>IF($C30="","",'Outturn ex VAT'!AT30*'Global Constants'!AM$59)</f>
        <v/>
      </c>
      <c r="AU30" s="26" t="str">
        <f>IF($C30="","",'Outturn ex VAT'!AU30*'Global Constants'!AN$59)</f>
        <v/>
      </c>
      <c r="AV30" s="26" t="str">
        <f>IF($C30="","",'Outturn ex VAT'!AV30*'Global Constants'!AO$59)</f>
        <v/>
      </c>
      <c r="AW30" s="26" t="str">
        <f>IF($C30="","",'Outturn ex VAT'!AW30*'Global Constants'!AP$59)</f>
        <v/>
      </c>
      <c r="AX30" s="26" t="str">
        <f>IF($C30="","",'Outturn ex VAT'!AX30*'Global Constants'!AQ$59)</f>
        <v/>
      </c>
      <c r="AY30" s="26" t="str">
        <f>IF($C30="","",'Outturn ex VAT'!AY30*'Global Constants'!AR$59)</f>
        <v/>
      </c>
      <c r="AZ30" s="26" t="str">
        <f>IF($C30="","",'Outturn ex VAT'!AZ30*'Global Constants'!AS$59)</f>
        <v/>
      </c>
      <c r="BA30" s="26" t="str">
        <f>IF($C30="","",'Outturn ex VAT'!BA30*'Global Constants'!AT$59)</f>
        <v/>
      </c>
      <c r="BB30" s="26" t="str">
        <f>IF($C30="","",'Outturn ex VAT'!BB30*'Global Constants'!AU$59)</f>
        <v/>
      </c>
      <c r="BC30" s="26" t="str">
        <f>IF($C30="","",'Outturn ex VAT'!BC30*'Global Constants'!AV$59)</f>
        <v/>
      </c>
      <c r="BD30" s="26" t="str">
        <f>IF($C30="","",'Outturn ex VAT'!BD30*'Global Constants'!AW$59)</f>
        <v/>
      </c>
      <c r="BE30" s="26" t="str">
        <f>IF($C30="","",'Outturn ex VAT'!BE30*'Global Constants'!AX$59)</f>
        <v/>
      </c>
      <c r="BF30" s="26" t="str">
        <f>IF($C30="","",'Outturn ex VAT'!BF30*'Global Constants'!AY$59)</f>
        <v/>
      </c>
      <c r="BG30" s="26" t="str">
        <f>IF($C30="","",'Outturn ex VAT'!BG30*'Global Constants'!AZ$59)</f>
        <v/>
      </c>
      <c r="BH30" s="26" t="str">
        <f>IF($C30="","",'Outturn ex VAT'!BH30*'Global Constants'!BA$59)</f>
        <v/>
      </c>
      <c r="BI30" s="26" t="str">
        <f>IF($C30="","",'Outturn ex VAT'!BI30*'Global Constants'!BB$59)</f>
        <v/>
      </c>
      <c r="BJ30" s="26" t="str">
        <f>IF($C30="","",'Outturn ex VAT'!BJ30*'Global Constants'!BC$59)</f>
        <v/>
      </c>
      <c r="BK30" s="26" t="str">
        <f>IF($C30="","",'Outturn ex VAT'!BK30*'Global Constants'!BD$59)</f>
        <v/>
      </c>
      <c r="BL30" s="26" t="str">
        <f>IF($C30="","",'Outturn ex VAT'!BL30*'Global Constants'!BE$59)</f>
        <v/>
      </c>
      <c r="BM30" s="26" t="str">
        <f>IF($C30="","",'Outturn ex VAT'!BM30*'Global Constants'!BF$59)</f>
        <v/>
      </c>
      <c r="BN30" s="26" t="str">
        <f>IF($C30="","",'Outturn ex VAT'!BN30*'Global Constants'!BG$59)</f>
        <v/>
      </c>
      <c r="BO30" s="26" t="str">
        <f>IF($C30="","",'Outturn ex VAT'!BO30*'Global Constants'!BH$59)</f>
        <v/>
      </c>
      <c r="BP30" s="26" t="str">
        <f>IF($C30="","",'Outturn ex VAT'!BP30*'Global Constants'!BI$59)</f>
        <v/>
      </c>
      <c r="BQ30" s="26" t="str">
        <f>IF($C30="","",'Outturn ex VAT'!BQ30*'Global Constants'!BJ$59)</f>
        <v/>
      </c>
      <c r="BR30" s="26" t="str">
        <f>IF($C30="","",'Outturn ex VAT'!BR30*'Global Constants'!BK$59)</f>
        <v/>
      </c>
      <c r="BS30" s="26" t="str">
        <f>IF($C30="","",'Outturn ex VAT'!BS30*'Global Constants'!BL$59)</f>
        <v/>
      </c>
      <c r="BT30" s="26" t="str">
        <f>IF($C30="","",'Outturn ex VAT'!BT30*'Global Constants'!BM$59)</f>
        <v/>
      </c>
      <c r="BU30" s="26" t="str">
        <f>IF($C30="","",'Outturn ex VAT'!BU30*'Global Constants'!BN$59)</f>
        <v/>
      </c>
      <c r="BV30" s="26" t="str">
        <f>IF($C30="","",'Outturn ex VAT'!BV30*'Global Constants'!BO$59)</f>
        <v/>
      </c>
      <c r="BW30" s="26" t="str">
        <f>IF($C30="","",'Outturn ex VAT'!BW30*'Global Constants'!BP$59)</f>
        <v/>
      </c>
      <c r="BX30" s="26" t="str">
        <f>IF($C30="","",'Outturn ex VAT'!BX30*'Global Constants'!BQ$59)</f>
        <v/>
      </c>
      <c r="BY30" s="26" t="str">
        <f>IF($C30="","",'Outturn ex VAT'!BY30*'Global Constants'!BR$59)</f>
        <v/>
      </c>
      <c r="BZ30" s="26" t="str">
        <f>IF($C30="","",'Outturn ex VAT'!BZ30*'Global Constants'!BS$59)</f>
        <v/>
      </c>
      <c r="CA30" s="26" t="str">
        <f>IF($C30="","",'Outturn ex VAT'!CA30*'Global Constants'!BT$59)</f>
        <v/>
      </c>
      <c r="CB30" s="26" t="str">
        <f>IF($C30="","",'Outturn ex VAT'!CB30*'Global Constants'!BU$59)</f>
        <v/>
      </c>
      <c r="CC30" s="26" t="str">
        <f>IF($C30="","",'Outturn ex VAT'!CC30*'Global Constants'!BV$59)</f>
        <v/>
      </c>
      <c r="CD30" s="26" t="str">
        <f>IF($C30="","",'Outturn ex VAT'!CD30*'Global Constants'!BW$59)</f>
        <v/>
      </c>
      <c r="CE30" s="26" t="str">
        <f>IF($C30="","",'Outturn ex VAT'!CE30*'Global Constants'!BX$59)</f>
        <v/>
      </c>
      <c r="CF30" s="26" t="str">
        <f>IF($C30="","",'Outturn ex VAT'!CF30*'Global Constants'!BY$59)</f>
        <v/>
      </c>
      <c r="CG30" s="26" t="str">
        <f>IF($C30="","",'Outturn ex VAT'!CG30*'Global Constants'!BZ$59)</f>
        <v/>
      </c>
      <c r="CH30" s="26" t="str">
        <f>IF($C30="","",'Outturn ex VAT'!CH30*'Global Constants'!CA$59)</f>
        <v/>
      </c>
      <c r="CI30" s="26" t="str">
        <f>IF($C30="","",'Outturn ex VAT'!CI30*'Global Constants'!CB$59)</f>
        <v/>
      </c>
      <c r="CJ30" s="26" t="str">
        <f>IF($C30="","",'Outturn ex VAT'!CJ30*'Global Constants'!CC$59)</f>
        <v/>
      </c>
      <c r="CK30" s="26" t="str">
        <f>IF($C30="","",'Outturn ex VAT'!CK30*'Global Constants'!CD$59)</f>
        <v/>
      </c>
      <c r="CL30" s="26" t="str">
        <f>IF($C30="","",'Outturn ex VAT'!CL30*'Global Constants'!CE$59)</f>
        <v/>
      </c>
      <c r="CM30" s="26" t="str">
        <f>IF($C30="","",'Outturn ex VAT'!CM30*'Global Constants'!CF$59)</f>
        <v/>
      </c>
      <c r="CN30" s="26" t="str">
        <f>IF($C30="","",'Outturn ex VAT'!CN30*'Global Constants'!CG$59)</f>
        <v/>
      </c>
      <c r="CO30" s="26" t="str">
        <f>IF($C30="","",'Outturn ex VAT'!CO30*'Global Constants'!CH$59)</f>
        <v/>
      </c>
      <c r="CP30" s="26" t="str">
        <f>IF($C30="","",'Outturn ex VAT'!CP30*'Global Constants'!CI$59)</f>
        <v/>
      </c>
      <c r="CQ30" s="26" t="str">
        <f>IF($C30="","",'Outturn ex VAT'!CQ30*'Global Constants'!CJ$59)</f>
        <v/>
      </c>
      <c r="CR30" s="26" t="str">
        <f>IF($C30="","",'Outturn ex VAT'!CR30*'Global Constants'!CK$59)</f>
        <v/>
      </c>
      <c r="CS30" s="26" t="str">
        <f>IF($C30="","",'Outturn ex VAT'!CS30*'Global Constants'!CL$59)</f>
        <v/>
      </c>
      <c r="CT30" s="26" t="str">
        <f>IF($C30="","",'Outturn ex VAT'!CT30*'Global Constants'!CM$59)</f>
        <v/>
      </c>
      <c r="CU30" s="26" t="str">
        <f>IF($C30="","",'Outturn ex VAT'!CU30*'Global Constants'!CN$59)</f>
        <v/>
      </c>
      <c r="CV30" s="26" t="str">
        <f>IF($C30="","",'Outturn ex VAT'!CV30*'Global Constants'!CO$59)</f>
        <v/>
      </c>
      <c r="CW30" s="26" t="str">
        <f>IF($C30="","",'Outturn ex VAT'!CW30*'Global Constants'!CP$59)</f>
        <v/>
      </c>
      <c r="CX30" s="26" t="str">
        <f>IF($C30="","",'Outturn ex VAT'!CX30*'Global Constants'!CQ$59)</f>
        <v/>
      </c>
      <c r="CZ30" s="26">
        <f t="shared" ca="1" si="0"/>
        <v>0</v>
      </c>
      <c r="DA30" s="26">
        <f t="shared" si="1"/>
        <v>0</v>
      </c>
    </row>
    <row r="31" spans="3:105" x14ac:dyDescent="0.3">
      <c r="C31" s="4" t="str">
        <f>IF('Cost &amp; Risk Inputs'!C32="","",'Cost &amp; Risk Inputs'!C32)</f>
        <v/>
      </c>
      <c r="D31" s="4" t="str">
        <f>IF(C31="","",'Cost &amp; Risk Inputs'!H32)</f>
        <v/>
      </c>
      <c r="E31" s="4" t="str">
        <f>IF(C31="","",'Cost &amp; Risk Inputs'!I32)</f>
        <v/>
      </c>
      <c r="M31" s="26" t="str">
        <f>IF($C31="","",'Outturn ex VAT'!M31*'Global Constants'!F$59)</f>
        <v/>
      </c>
      <c r="N31" s="26" t="str">
        <f>IF($C31="","",'Outturn ex VAT'!N31*'Global Constants'!G$59)</f>
        <v/>
      </c>
      <c r="O31" s="26" t="str">
        <f>IF($C31="","",'Outturn ex VAT'!O31*'Global Constants'!H$59)</f>
        <v/>
      </c>
      <c r="P31" s="26" t="str">
        <f>IF($C31="","",'Outturn ex VAT'!P31*'Global Constants'!I$59)</f>
        <v/>
      </c>
      <c r="Q31" s="26" t="str">
        <f>IF($C31="","",'Outturn ex VAT'!Q31*'Global Constants'!J$59)</f>
        <v/>
      </c>
      <c r="R31" s="26" t="str">
        <f>IF($C31="","",'Outturn ex VAT'!R31*'Global Constants'!K$59)</f>
        <v/>
      </c>
      <c r="S31" s="26" t="str">
        <f>IF($C31="","",'Outturn ex VAT'!S31*'Global Constants'!L$59)</f>
        <v/>
      </c>
      <c r="T31" s="26" t="str">
        <f>IF($C31="","",'Outturn ex VAT'!T31*'Global Constants'!M$59)</f>
        <v/>
      </c>
      <c r="U31" s="26" t="str">
        <f>IF($C31="","",'Outturn ex VAT'!U31*'Global Constants'!N$59)</f>
        <v/>
      </c>
      <c r="V31" s="26" t="str">
        <f>IF($C31="","",'Outturn ex VAT'!V31*'Global Constants'!O$59)</f>
        <v/>
      </c>
      <c r="W31" s="26" t="str">
        <f>IF($C31="","",'Outturn ex VAT'!W31*'Global Constants'!P$59)</f>
        <v/>
      </c>
      <c r="X31" s="26" t="str">
        <f>IF($C31="","",'Outturn ex VAT'!X31*'Global Constants'!Q$59)</f>
        <v/>
      </c>
      <c r="Y31" s="26" t="str">
        <f>IF($C31="","",'Outturn ex VAT'!Y31*'Global Constants'!R$59)</f>
        <v/>
      </c>
      <c r="Z31" s="26" t="str">
        <f>IF($C31="","",'Outturn ex VAT'!Z31*'Global Constants'!S$59)</f>
        <v/>
      </c>
      <c r="AA31" s="26" t="str">
        <f>IF($C31="","",'Outturn ex VAT'!AA31*'Global Constants'!T$59)</f>
        <v/>
      </c>
      <c r="AB31" s="26" t="str">
        <f>IF($C31="","",'Outturn ex VAT'!AB31*'Global Constants'!U$59)</f>
        <v/>
      </c>
      <c r="AC31" s="26" t="str">
        <f>IF($C31="","",'Outturn ex VAT'!AC31*'Global Constants'!V$59)</f>
        <v/>
      </c>
      <c r="AD31" s="26" t="str">
        <f>IF($C31="","",'Outturn ex VAT'!AD31*'Global Constants'!W$59)</f>
        <v/>
      </c>
      <c r="AE31" s="26" t="str">
        <f>IF($C31="","",'Outturn ex VAT'!AE31*'Global Constants'!X$59)</f>
        <v/>
      </c>
      <c r="AF31" s="26" t="str">
        <f>IF($C31="","",'Outturn ex VAT'!AF31*'Global Constants'!Y$59)</f>
        <v/>
      </c>
      <c r="AG31" s="26" t="str">
        <f>IF($C31="","",'Outturn ex VAT'!AG31*'Global Constants'!Z$59)</f>
        <v/>
      </c>
      <c r="AH31" s="26" t="str">
        <f>IF($C31="","",'Outturn ex VAT'!AH31*'Global Constants'!AA$59)</f>
        <v/>
      </c>
      <c r="AI31" s="26" t="str">
        <f>IF($C31="","",'Outturn ex VAT'!AI31*'Global Constants'!AB$59)</f>
        <v/>
      </c>
      <c r="AJ31" s="26" t="str">
        <f>IF($C31="","",'Outturn ex VAT'!AJ31*'Global Constants'!AC$59)</f>
        <v/>
      </c>
      <c r="AK31" s="26" t="str">
        <f>IF($C31="","",'Outturn ex VAT'!AK31*'Global Constants'!AD$59)</f>
        <v/>
      </c>
      <c r="AL31" s="26" t="str">
        <f>IF($C31="","",'Outturn ex VAT'!AL31*'Global Constants'!AE$59)</f>
        <v/>
      </c>
      <c r="AM31" s="26" t="str">
        <f>IF($C31="","",'Outturn ex VAT'!AM31*'Global Constants'!AF$59)</f>
        <v/>
      </c>
      <c r="AN31" s="26" t="str">
        <f>IF($C31="","",'Outturn ex VAT'!AN31*'Global Constants'!AG$59)</f>
        <v/>
      </c>
      <c r="AO31" s="26" t="str">
        <f>IF($C31="","",'Outturn ex VAT'!AO31*'Global Constants'!AH$59)</f>
        <v/>
      </c>
      <c r="AP31" s="26" t="str">
        <f>IF($C31="","",'Outturn ex VAT'!AP31*'Global Constants'!AI$59)</f>
        <v/>
      </c>
      <c r="AQ31" s="26" t="str">
        <f>IF($C31="","",'Outturn ex VAT'!AQ31*'Global Constants'!AJ$59)</f>
        <v/>
      </c>
      <c r="AR31" s="26" t="str">
        <f>IF($C31="","",'Outturn ex VAT'!AR31*'Global Constants'!AK$59)</f>
        <v/>
      </c>
      <c r="AS31" s="26" t="str">
        <f>IF($C31="","",'Outturn ex VAT'!AS31*'Global Constants'!AL$59)</f>
        <v/>
      </c>
      <c r="AT31" s="26" t="str">
        <f>IF($C31="","",'Outturn ex VAT'!AT31*'Global Constants'!AM$59)</f>
        <v/>
      </c>
      <c r="AU31" s="26" t="str">
        <f>IF($C31="","",'Outturn ex VAT'!AU31*'Global Constants'!AN$59)</f>
        <v/>
      </c>
      <c r="AV31" s="26" t="str">
        <f>IF($C31="","",'Outturn ex VAT'!AV31*'Global Constants'!AO$59)</f>
        <v/>
      </c>
      <c r="AW31" s="26" t="str">
        <f>IF($C31="","",'Outturn ex VAT'!AW31*'Global Constants'!AP$59)</f>
        <v/>
      </c>
      <c r="AX31" s="26" t="str">
        <f>IF($C31="","",'Outturn ex VAT'!AX31*'Global Constants'!AQ$59)</f>
        <v/>
      </c>
      <c r="AY31" s="26" t="str">
        <f>IF($C31="","",'Outturn ex VAT'!AY31*'Global Constants'!AR$59)</f>
        <v/>
      </c>
      <c r="AZ31" s="26" t="str">
        <f>IF($C31="","",'Outturn ex VAT'!AZ31*'Global Constants'!AS$59)</f>
        <v/>
      </c>
      <c r="BA31" s="26" t="str">
        <f>IF($C31="","",'Outturn ex VAT'!BA31*'Global Constants'!AT$59)</f>
        <v/>
      </c>
      <c r="BB31" s="26" t="str">
        <f>IF($C31="","",'Outturn ex VAT'!BB31*'Global Constants'!AU$59)</f>
        <v/>
      </c>
      <c r="BC31" s="26" t="str">
        <f>IF($C31="","",'Outturn ex VAT'!BC31*'Global Constants'!AV$59)</f>
        <v/>
      </c>
      <c r="BD31" s="26" t="str">
        <f>IF($C31="","",'Outturn ex VAT'!BD31*'Global Constants'!AW$59)</f>
        <v/>
      </c>
      <c r="BE31" s="26" t="str">
        <f>IF($C31="","",'Outturn ex VAT'!BE31*'Global Constants'!AX$59)</f>
        <v/>
      </c>
      <c r="BF31" s="26" t="str">
        <f>IF($C31="","",'Outturn ex VAT'!BF31*'Global Constants'!AY$59)</f>
        <v/>
      </c>
      <c r="BG31" s="26" t="str">
        <f>IF($C31="","",'Outturn ex VAT'!BG31*'Global Constants'!AZ$59)</f>
        <v/>
      </c>
      <c r="BH31" s="26" t="str">
        <f>IF($C31="","",'Outturn ex VAT'!BH31*'Global Constants'!BA$59)</f>
        <v/>
      </c>
      <c r="BI31" s="26" t="str">
        <f>IF($C31="","",'Outturn ex VAT'!BI31*'Global Constants'!BB$59)</f>
        <v/>
      </c>
      <c r="BJ31" s="26" t="str">
        <f>IF($C31="","",'Outturn ex VAT'!BJ31*'Global Constants'!BC$59)</f>
        <v/>
      </c>
      <c r="BK31" s="26" t="str">
        <f>IF($C31="","",'Outturn ex VAT'!BK31*'Global Constants'!BD$59)</f>
        <v/>
      </c>
      <c r="BL31" s="26" t="str">
        <f>IF($C31="","",'Outturn ex VAT'!BL31*'Global Constants'!BE$59)</f>
        <v/>
      </c>
      <c r="BM31" s="26" t="str">
        <f>IF($C31="","",'Outturn ex VAT'!BM31*'Global Constants'!BF$59)</f>
        <v/>
      </c>
      <c r="BN31" s="26" t="str">
        <f>IF($C31="","",'Outturn ex VAT'!BN31*'Global Constants'!BG$59)</f>
        <v/>
      </c>
      <c r="BO31" s="26" t="str">
        <f>IF($C31="","",'Outturn ex VAT'!BO31*'Global Constants'!BH$59)</f>
        <v/>
      </c>
      <c r="BP31" s="26" t="str">
        <f>IF($C31="","",'Outturn ex VAT'!BP31*'Global Constants'!BI$59)</f>
        <v/>
      </c>
      <c r="BQ31" s="26" t="str">
        <f>IF($C31="","",'Outturn ex VAT'!BQ31*'Global Constants'!BJ$59)</f>
        <v/>
      </c>
      <c r="BR31" s="26" t="str">
        <f>IF($C31="","",'Outturn ex VAT'!BR31*'Global Constants'!BK$59)</f>
        <v/>
      </c>
      <c r="BS31" s="26" t="str">
        <f>IF($C31="","",'Outturn ex VAT'!BS31*'Global Constants'!BL$59)</f>
        <v/>
      </c>
      <c r="BT31" s="26" t="str">
        <f>IF($C31="","",'Outturn ex VAT'!BT31*'Global Constants'!BM$59)</f>
        <v/>
      </c>
      <c r="BU31" s="26" t="str">
        <f>IF($C31="","",'Outturn ex VAT'!BU31*'Global Constants'!BN$59)</f>
        <v/>
      </c>
      <c r="BV31" s="26" t="str">
        <f>IF($C31="","",'Outturn ex VAT'!BV31*'Global Constants'!BO$59)</f>
        <v/>
      </c>
      <c r="BW31" s="26" t="str">
        <f>IF($C31="","",'Outturn ex VAT'!BW31*'Global Constants'!BP$59)</f>
        <v/>
      </c>
      <c r="BX31" s="26" t="str">
        <f>IF($C31="","",'Outturn ex VAT'!BX31*'Global Constants'!BQ$59)</f>
        <v/>
      </c>
      <c r="BY31" s="26" t="str">
        <f>IF($C31="","",'Outturn ex VAT'!BY31*'Global Constants'!BR$59)</f>
        <v/>
      </c>
      <c r="BZ31" s="26" t="str">
        <f>IF($C31="","",'Outturn ex VAT'!BZ31*'Global Constants'!BS$59)</f>
        <v/>
      </c>
      <c r="CA31" s="26" t="str">
        <f>IF($C31="","",'Outturn ex VAT'!CA31*'Global Constants'!BT$59)</f>
        <v/>
      </c>
      <c r="CB31" s="26" t="str">
        <f>IF($C31="","",'Outturn ex VAT'!CB31*'Global Constants'!BU$59)</f>
        <v/>
      </c>
      <c r="CC31" s="26" t="str">
        <f>IF($C31="","",'Outturn ex VAT'!CC31*'Global Constants'!BV$59)</f>
        <v/>
      </c>
      <c r="CD31" s="26" t="str">
        <f>IF($C31="","",'Outturn ex VAT'!CD31*'Global Constants'!BW$59)</f>
        <v/>
      </c>
      <c r="CE31" s="26" t="str">
        <f>IF($C31="","",'Outturn ex VAT'!CE31*'Global Constants'!BX$59)</f>
        <v/>
      </c>
      <c r="CF31" s="26" t="str">
        <f>IF($C31="","",'Outturn ex VAT'!CF31*'Global Constants'!BY$59)</f>
        <v/>
      </c>
      <c r="CG31" s="26" t="str">
        <f>IF($C31="","",'Outturn ex VAT'!CG31*'Global Constants'!BZ$59)</f>
        <v/>
      </c>
      <c r="CH31" s="26" t="str">
        <f>IF($C31="","",'Outturn ex VAT'!CH31*'Global Constants'!CA$59)</f>
        <v/>
      </c>
      <c r="CI31" s="26" t="str">
        <f>IF($C31="","",'Outturn ex VAT'!CI31*'Global Constants'!CB$59)</f>
        <v/>
      </c>
      <c r="CJ31" s="26" t="str">
        <f>IF($C31="","",'Outturn ex VAT'!CJ31*'Global Constants'!CC$59)</f>
        <v/>
      </c>
      <c r="CK31" s="26" t="str">
        <f>IF($C31="","",'Outturn ex VAT'!CK31*'Global Constants'!CD$59)</f>
        <v/>
      </c>
      <c r="CL31" s="26" t="str">
        <f>IF($C31="","",'Outturn ex VAT'!CL31*'Global Constants'!CE$59)</f>
        <v/>
      </c>
      <c r="CM31" s="26" t="str">
        <f>IF($C31="","",'Outturn ex VAT'!CM31*'Global Constants'!CF$59)</f>
        <v/>
      </c>
      <c r="CN31" s="26" t="str">
        <f>IF($C31="","",'Outturn ex VAT'!CN31*'Global Constants'!CG$59)</f>
        <v/>
      </c>
      <c r="CO31" s="26" t="str">
        <f>IF($C31="","",'Outturn ex VAT'!CO31*'Global Constants'!CH$59)</f>
        <v/>
      </c>
      <c r="CP31" s="26" t="str">
        <f>IF($C31="","",'Outturn ex VAT'!CP31*'Global Constants'!CI$59)</f>
        <v/>
      </c>
      <c r="CQ31" s="26" t="str">
        <f>IF($C31="","",'Outturn ex VAT'!CQ31*'Global Constants'!CJ$59)</f>
        <v/>
      </c>
      <c r="CR31" s="26" t="str">
        <f>IF($C31="","",'Outturn ex VAT'!CR31*'Global Constants'!CK$59)</f>
        <v/>
      </c>
      <c r="CS31" s="26" t="str">
        <f>IF($C31="","",'Outturn ex VAT'!CS31*'Global Constants'!CL$59)</f>
        <v/>
      </c>
      <c r="CT31" s="26" t="str">
        <f>IF($C31="","",'Outturn ex VAT'!CT31*'Global Constants'!CM$59)</f>
        <v/>
      </c>
      <c r="CU31" s="26" t="str">
        <f>IF($C31="","",'Outturn ex VAT'!CU31*'Global Constants'!CN$59)</f>
        <v/>
      </c>
      <c r="CV31" s="26" t="str">
        <f>IF($C31="","",'Outturn ex VAT'!CV31*'Global Constants'!CO$59)</f>
        <v/>
      </c>
      <c r="CW31" s="26" t="str">
        <f>IF($C31="","",'Outturn ex VAT'!CW31*'Global Constants'!CP$59)</f>
        <v/>
      </c>
      <c r="CX31" s="26" t="str">
        <f>IF($C31="","",'Outturn ex VAT'!CX31*'Global Constants'!CQ$59)</f>
        <v/>
      </c>
      <c r="CZ31" s="26">
        <f t="shared" ca="1" si="0"/>
        <v>0</v>
      </c>
      <c r="DA31" s="26">
        <f t="shared" si="1"/>
        <v>0</v>
      </c>
    </row>
    <row r="32" spans="3:105" x14ac:dyDescent="0.3">
      <c r="C32" s="4" t="str">
        <f>IF('Cost &amp; Risk Inputs'!C33="","",'Cost &amp; Risk Inputs'!C33)</f>
        <v/>
      </c>
      <c r="D32" s="4" t="str">
        <f>IF(C32="","",'Cost &amp; Risk Inputs'!H33)</f>
        <v/>
      </c>
      <c r="E32" s="4" t="str">
        <f>IF(C32="","",'Cost &amp; Risk Inputs'!I33)</f>
        <v/>
      </c>
      <c r="M32" s="26" t="str">
        <f>IF($C32="","",'Outturn ex VAT'!M32*'Global Constants'!F$59)</f>
        <v/>
      </c>
      <c r="N32" s="26" t="str">
        <f>IF($C32="","",'Outturn ex VAT'!N32*'Global Constants'!G$59)</f>
        <v/>
      </c>
      <c r="O32" s="26" t="str">
        <f>IF($C32="","",'Outturn ex VAT'!O32*'Global Constants'!H$59)</f>
        <v/>
      </c>
      <c r="P32" s="26" t="str">
        <f>IF($C32="","",'Outturn ex VAT'!P32*'Global Constants'!I$59)</f>
        <v/>
      </c>
      <c r="Q32" s="26" t="str">
        <f>IF($C32="","",'Outturn ex VAT'!Q32*'Global Constants'!J$59)</f>
        <v/>
      </c>
      <c r="R32" s="26" t="str">
        <f>IF($C32="","",'Outturn ex VAT'!R32*'Global Constants'!K$59)</f>
        <v/>
      </c>
      <c r="S32" s="26" t="str">
        <f>IF($C32="","",'Outturn ex VAT'!S32*'Global Constants'!L$59)</f>
        <v/>
      </c>
      <c r="T32" s="26" t="str">
        <f>IF($C32="","",'Outturn ex VAT'!T32*'Global Constants'!M$59)</f>
        <v/>
      </c>
      <c r="U32" s="26" t="str">
        <f>IF($C32="","",'Outturn ex VAT'!U32*'Global Constants'!N$59)</f>
        <v/>
      </c>
      <c r="V32" s="26" t="str">
        <f>IF($C32="","",'Outturn ex VAT'!V32*'Global Constants'!O$59)</f>
        <v/>
      </c>
      <c r="W32" s="26" t="str">
        <f>IF($C32="","",'Outturn ex VAT'!W32*'Global Constants'!P$59)</f>
        <v/>
      </c>
      <c r="X32" s="26" t="str">
        <f>IF($C32="","",'Outturn ex VAT'!X32*'Global Constants'!Q$59)</f>
        <v/>
      </c>
      <c r="Y32" s="26" t="str">
        <f>IF($C32="","",'Outturn ex VAT'!Y32*'Global Constants'!R$59)</f>
        <v/>
      </c>
      <c r="Z32" s="26" t="str">
        <f>IF($C32="","",'Outturn ex VAT'!Z32*'Global Constants'!S$59)</f>
        <v/>
      </c>
      <c r="AA32" s="26" t="str">
        <f>IF($C32="","",'Outturn ex VAT'!AA32*'Global Constants'!T$59)</f>
        <v/>
      </c>
      <c r="AB32" s="26" t="str">
        <f>IF($C32="","",'Outturn ex VAT'!AB32*'Global Constants'!U$59)</f>
        <v/>
      </c>
      <c r="AC32" s="26" t="str">
        <f>IF($C32="","",'Outturn ex VAT'!AC32*'Global Constants'!V$59)</f>
        <v/>
      </c>
      <c r="AD32" s="26" t="str">
        <f>IF($C32="","",'Outturn ex VAT'!AD32*'Global Constants'!W$59)</f>
        <v/>
      </c>
      <c r="AE32" s="26" t="str">
        <f>IF($C32="","",'Outturn ex VAT'!AE32*'Global Constants'!X$59)</f>
        <v/>
      </c>
      <c r="AF32" s="26" t="str">
        <f>IF($C32="","",'Outturn ex VAT'!AF32*'Global Constants'!Y$59)</f>
        <v/>
      </c>
      <c r="AG32" s="26" t="str">
        <f>IF($C32="","",'Outturn ex VAT'!AG32*'Global Constants'!Z$59)</f>
        <v/>
      </c>
      <c r="AH32" s="26" t="str">
        <f>IF($C32="","",'Outturn ex VAT'!AH32*'Global Constants'!AA$59)</f>
        <v/>
      </c>
      <c r="AI32" s="26" t="str">
        <f>IF($C32="","",'Outturn ex VAT'!AI32*'Global Constants'!AB$59)</f>
        <v/>
      </c>
      <c r="AJ32" s="26" t="str">
        <f>IF($C32="","",'Outturn ex VAT'!AJ32*'Global Constants'!AC$59)</f>
        <v/>
      </c>
      <c r="AK32" s="26" t="str">
        <f>IF($C32="","",'Outturn ex VAT'!AK32*'Global Constants'!AD$59)</f>
        <v/>
      </c>
      <c r="AL32" s="26" t="str">
        <f>IF($C32="","",'Outturn ex VAT'!AL32*'Global Constants'!AE$59)</f>
        <v/>
      </c>
      <c r="AM32" s="26" t="str">
        <f>IF($C32="","",'Outturn ex VAT'!AM32*'Global Constants'!AF$59)</f>
        <v/>
      </c>
      <c r="AN32" s="26" t="str">
        <f>IF($C32="","",'Outturn ex VAT'!AN32*'Global Constants'!AG$59)</f>
        <v/>
      </c>
      <c r="AO32" s="26" t="str">
        <f>IF($C32="","",'Outturn ex VAT'!AO32*'Global Constants'!AH$59)</f>
        <v/>
      </c>
      <c r="AP32" s="26" t="str">
        <f>IF($C32="","",'Outturn ex VAT'!AP32*'Global Constants'!AI$59)</f>
        <v/>
      </c>
      <c r="AQ32" s="26" t="str">
        <f>IF($C32="","",'Outturn ex VAT'!AQ32*'Global Constants'!AJ$59)</f>
        <v/>
      </c>
      <c r="AR32" s="26" t="str">
        <f>IF($C32="","",'Outturn ex VAT'!AR32*'Global Constants'!AK$59)</f>
        <v/>
      </c>
      <c r="AS32" s="26" t="str">
        <f>IF($C32="","",'Outturn ex VAT'!AS32*'Global Constants'!AL$59)</f>
        <v/>
      </c>
      <c r="AT32" s="26" t="str">
        <f>IF($C32="","",'Outturn ex VAT'!AT32*'Global Constants'!AM$59)</f>
        <v/>
      </c>
      <c r="AU32" s="26" t="str">
        <f>IF($C32="","",'Outturn ex VAT'!AU32*'Global Constants'!AN$59)</f>
        <v/>
      </c>
      <c r="AV32" s="26" t="str">
        <f>IF($C32="","",'Outturn ex VAT'!AV32*'Global Constants'!AO$59)</f>
        <v/>
      </c>
      <c r="AW32" s="26" t="str">
        <f>IF($C32="","",'Outturn ex VAT'!AW32*'Global Constants'!AP$59)</f>
        <v/>
      </c>
      <c r="AX32" s="26" t="str">
        <f>IF($C32="","",'Outturn ex VAT'!AX32*'Global Constants'!AQ$59)</f>
        <v/>
      </c>
      <c r="AY32" s="26" t="str">
        <f>IF($C32="","",'Outturn ex VAT'!AY32*'Global Constants'!AR$59)</f>
        <v/>
      </c>
      <c r="AZ32" s="26" t="str">
        <f>IF($C32="","",'Outturn ex VAT'!AZ32*'Global Constants'!AS$59)</f>
        <v/>
      </c>
      <c r="BA32" s="26" t="str">
        <f>IF($C32="","",'Outturn ex VAT'!BA32*'Global Constants'!AT$59)</f>
        <v/>
      </c>
      <c r="BB32" s="26" t="str">
        <f>IF($C32="","",'Outturn ex VAT'!BB32*'Global Constants'!AU$59)</f>
        <v/>
      </c>
      <c r="BC32" s="26" t="str">
        <f>IF($C32="","",'Outturn ex VAT'!BC32*'Global Constants'!AV$59)</f>
        <v/>
      </c>
      <c r="BD32" s="26" t="str">
        <f>IF($C32="","",'Outturn ex VAT'!BD32*'Global Constants'!AW$59)</f>
        <v/>
      </c>
      <c r="BE32" s="26" t="str">
        <f>IF($C32="","",'Outturn ex VAT'!BE32*'Global Constants'!AX$59)</f>
        <v/>
      </c>
      <c r="BF32" s="26" t="str">
        <f>IF($C32="","",'Outturn ex VAT'!BF32*'Global Constants'!AY$59)</f>
        <v/>
      </c>
      <c r="BG32" s="26" t="str">
        <f>IF($C32="","",'Outturn ex VAT'!BG32*'Global Constants'!AZ$59)</f>
        <v/>
      </c>
      <c r="BH32" s="26" t="str">
        <f>IF($C32="","",'Outturn ex VAT'!BH32*'Global Constants'!BA$59)</f>
        <v/>
      </c>
      <c r="BI32" s="26" t="str">
        <f>IF($C32="","",'Outturn ex VAT'!BI32*'Global Constants'!BB$59)</f>
        <v/>
      </c>
      <c r="BJ32" s="26" t="str">
        <f>IF($C32="","",'Outturn ex VAT'!BJ32*'Global Constants'!BC$59)</f>
        <v/>
      </c>
      <c r="BK32" s="26" t="str">
        <f>IF($C32="","",'Outturn ex VAT'!BK32*'Global Constants'!BD$59)</f>
        <v/>
      </c>
      <c r="BL32" s="26" t="str">
        <f>IF($C32="","",'Outturn ex VAT'!BL32*'Global Constants'!BE$59)</f>
        <v/>
      </c>
      <c r="BM32" s="26" t="str">
        <f>IF($C32="","",'Outturn ex VAT'!BM32*'Global Constants'!BF$59)</f>
        <v/>
      </c>
      <c r="BN32" s="26" t="str">
        <f>IF($C32="","",'Outturn ex VAT'!BN32*'Global Constants'!BG$59)</f>
        <v/>
      </c>
      <c r="BO32" s="26" t="str">
        <f>IF($C32="","",'Outturn ex VAT'!BO32*'Global Constants'!BH$59)</f>
        <v/>
      </c>
      <c r="BP32" s="26" t="str">
        <f>IF($C32="","",'Outturn ex VAT'!BP32*'Global Constants'!BI$59)</f>
        <v/>
      </c>
      <c r="BQ32" s="26" t="str">
        <f>IF($C32="","",'Outturn ex VAT'!BQ32*'Global Constants'!BJ$59)</f>
        <v/>
      </c>
      <c r="BR32" s="26" t="str">
        <f>IF($C32="","",'Outturn ex VAT'!BR32*'Global Constants'!BK$59)</f>
        <v/>
      </c>
      <c r="BS32" s="26" t="str">
        <f>IF($C32="","",'Outturn ex VAT'!BS32*'Global Constants'!BL$59)</f>
        <v/>
      </c>
      <c r="BT32" s="26" t="str">
        <f>IF($C32="","",'Outturn ex VAT'!BT32*'Global Constants'!BM$59)</f>
        <v/>
      </c>
      <c r="BU32" s="26" t="str">
        <f>IF($C32="","",'Outturn ex VAT'!BU32*'Global Constants'!BN$59)</f>
        <v/>
      </c>
      <c r="BV32" s="26" t="str">
        <f>IF($C32="","",'Outturn ex VAT'!BV32*'Global Constants'!BO$59)</f>
        <v/>
      </c>
      <c r="BW32" s="26" t="str">
        <f>IF($C32="","",'Outturn ex VAT'!BW32*'Global Constants'!BP$59)</f>
        <v/>
      </c>
      <c r="BX32" s="26" t="str">
        <f>IF($C32="","",'Outturn ex VAT'!BX32*'Global Constants'!BQ$59)</f>
        <v/>
      </c>
      <c r="BY32" s="26" t="str">
        <f>IF($C32="","",'Outturn ex VAT'!BY32*'Global Constants'!BR$59)</f>
        <v/>
      </c>
      <c r="BZ32" s="26" t="str">
        <f>IF($C32="","",'Outturn ex VAT'!BZ32*'Global Constants'!BS$59)</f>
        <v/>
      </c>
      <c r="CA32" s="26" t="str">
        <f>IF($C32="","",'Outturn ex VAT'!CA32*'Global Constants'!BT$59)</f>
        <v/>
      </c>
      <c r="CB32" s="26" t="str">
        <f>IF($C32="","",'Outturn ex VAT'!CB32*'Global Constants'!BU$59)</f>
        <v/>
      </c>
      <c r="CC32" s="26" t="str">
        <f>IF($C32="","",'Outturn ex VAT'!CC32*'Global Constants'!BV$59)</f>
        <v/>
      </c>
      <c r="CD32" s="26" t="str">
        <f>IF($C32="","",'Outturn ex VAT'!CD32*'Global Constants'!BW$59)</f>
        <v/>
      </c>
      <c r="CE32" s="26" t="str">
        <f>IF($C32="","",'Outturn ex VAT'!CE32*'Global Constants'!BX$59)</f>
        <v/>
      </c>
      <c r="CF32" s="26" t="str">
        <f>IF($C32="","",'Outturn ex VAT'!CF32*'Global Constants'!BY$59)</f>
        <v/>
      </c>
      <c r="CG32" s="26" t="str">
        <f>IF($C32="","",'Outturn ex VAT'!CG32*'Global Constants'!BZ$59)</f>
        <v/>
      </c>
      <c r="CH32" s="26" t="str">
        <f>IF($C32="","",'Outturn ex VAT'!CH32*'Global Constants'!CA$59)</f>
        <v/>
      </c>
      <c r="CI32" s="26" t="str">
        <f>IF($C32="","",'Outturn ex VAT'!CI32*'Global Constants'!CB$59)</f>
        <v/>
      </c>
      <c r="CJ32" s="26" t="str">
        <f>IF($C32="","",'Outturn ex VAT'!CJ32*'Global Constants'!CC$59)</f>
        <v/>
      </c>
      <c r="CK32" s="26" t="str">
        <f>IF($C32="","",'Outturn ex VAT'!CK32*'Global Constants'!CD$59)</f>
        <v/>
      </c>
      <c r="CL32" s="26" t="str">
        <f>IF($C32="","",'Outturn ex VAT'!CL32*'Global Constants'!CE$59)</f>
        <v/>
      </c>
      <c r="CM32" s="26" t="str">
        <f>IF($C32="","",'Outturn ex VAT'!CM32*'Global Constants'!CF$59)</f>
        <v/>
      </c>
      <c r="CN32" s="26" t="str">
        <f>IF($C32="","",'Outturn ex VAT'!CN32*'Global Constants'!CG$59)</f>
        <v/>
      </c>
      <c r="CO32" s="26" t="str">
        <f>IF($C32="","",'Outturn ex VAT'!CO32*'Global Constants'!CH$59)</f>
        <v/>
      </c>
      <c r="CP32" s="26" t="str">
        <f>IF($C32="","",'Outturn ex VAT'!CP32*'Global Constants'!CI$59)</f>
        <v/>
      </c>
      <c r="CQ32" s="26" t="str">
        <f>IF($C32="","",'Outturn ex VAT'!CQ32*'Global Constants'!CJ$59)</f>
        <v/>
      </c>
      <c r="CR32" s="26" t="str">
        <f>IF($C32="","",'Outturn ex VAT'!CR32*'Global Constants'!CK$59)</f>
        <v/>
      </c>
      <c r="CS32" s="26" t="str">
        <f>IF($C32="","",'Outturn ex VAT'!CS32*'Global Constants'!CL$59)</f>
        <v/>
      </c>
      <c r="CT32" s="26" t="str">
        <f>IF($C32="","",'Outturn ex VAT'!CT32*'Global Constants'!CM$59)</f>
        <v/>
      </c>
      <c r="CU32" s="26" t="str">
        <f>IF($C32="","",'Outturn ex VAT'!CU32*'Global Constants'!CN$59)</f>
        <v/>
      </c>
      <c r="CV32" s="26" t="str">
        <f>IF($C32="","",'Outturn ex VAT'!CV32*'Global Constants'!CO$59)</f>
        <v/>
      </c>
      <c r="CW32" s="26" t="str">
        <f>IF($C32="","",'Outturn ex VAT'!CW32*'Global Constants'!CP$59)</f>
        <v/>
      </c>
      <c r="CX32" s="26" t="str">
        <f>IF($C32="","",'Outturn ex VAT'!CX32*'Global Constants'!CQ$59)</f>
        <v/>
      </c>
      <c r="CZ32" s="26">
        <f t="shared" ca="1" si="0"/>
        <v>0</v>
      </c>
      <c r="DA32" s="26">
        <f t="shared" si="1"/>
        <v>0</v>
      </c>
    </row>
    <row r="33" spans="3:105" x14ac:dyDescent="0.3">
      <c r="C33" s="4" t="str">
        <f>IF('Cost &amp; Risk Inputs'!C34="","",'Cost &amp; Risk Inputs'!C34)</f>
        <v/>
      </c>
      <c r="D33" s="4" t="str">
        <f>IF(C33="","",'Cost &amp; Risk Inputs'!H34)</f>
        <v/>
      </c>
      <c r="E33" s="4" t="str">
        <f>IF(C33="","",'Cost &amp; Risk Inputs'!I34)</f>
        <v/>
      </c>
      <c r="M33" s="26" t="str">
        <f>IF($C33="","",'Outturn ex VAT'!M33*'Global Constants'!F$59)</f>
        <v/>
      </c>
      <c r="N33" s="26" t="str">
        <f>IF($C33="","",'Outturn ex VAT'!N33*'Global Constants'!G$59)</f>
        <v/>
      </c>
      <c r="O33" s="26" t="str">
        <f>IF($C33="","",'Outturn ex VAT'!O33*'Global Constants'!H$59)</f>
        <v/>
      </c>
      <c r="P33" s="26" t="str">
        <f>IF($C33="","",'Outturn ex VAT'!P33*'Global Constants'!I$59)</f>
        <v/>
      </c>
      <c r="Q33" s="26" t="str">
        <f>IF($C33="","",'Outturn ex VAT'!Q33*'Global Constants'!J$59)</f>
        <v/>
      </c>
      <c r="R33" s="26" t="str">
        <f>IF($C33="","",'Outturn ex VAT'!R33*'Global Constants'!K$59)</f>
        <v/>
      </c>
      <c r="S33" s="26" t="str">
        <f>IF($C33="","",'Outturn ex VAT'!S33*'Global Constants'!L$59)</f>
        <v/>
      </c>
      <c r="T33" s="26" t="str">
        <f>IF($C33="","",'Outturn ex VAT'!T33*'Global Constants'!M$59)</f>
        <v/>
      </c>
      <c r="U33" s="26" t="str">
        <f>IF($C33="","",'Outturn ex VAT'!U33*'Global Constants'!N$59)</f>
        <v/>
      </c>
      <c r="V33" s="26" t="str">
        <f>IF($C33="","",'Outturn ex VAT'!V33*'Global Constants'!O$59)</f>
        <v/>
      </c>
      <c r="W33" s="26" t="str">
        <f>IF($C33="","",'Outturn ex VAT'!W33*'Global Constants'!P$59)</f>
        <v/>
      </c>
      <c r="X33" s="26" t="str">
        <f>IF($C33="","",'Outturn ex VAT'!X33*'Global Constants'!Q$59)</f>
        <v/>
      </c>
      <c r="Y33" s="26" t="str">
        <f>IF($C33="","",'Outturn ex VAT'!Y33*'Global Constants'!R$59)</f>
        <v/>
      </c>
      <c r="Z33" s="26" t="str">
        <f>IF($C33="","",'Outturn ex VAT'!Z33*'Global Constants'!S$59)</f>
        <v/>
      </c>
      <c r="AA33" s="26" t="str">
        <f>IF($C33="","",'Outturn ex VAT'!AA33*'Global Constants'!T$59)</f>
        <v/>
      </c>
      <c r="AB33" s="26" t="str">
        <f>IF($C33="","",'Outturn ex VAT'!AB33*'Global Constants'!U$59)</f>
        <v/>
      </c>
      <c r="AC33" s="26" t="str">
        <f>IF($C33="","",'Outturn ex VAT'!AC33*'Global Constants'!V$59)</f>
        <v/>
      </c>
      <c r="AD33" s="26" t="str">
        <f>IF($C33="","",'Outturn ex VAT'!AD33*'Global Constants'!W$59)</f>
        <v/>
      </c>
      <c r="AE33" s="26" t="str">
        <f>IF($C33="","",'Outturn ex VAT'!AE33*'Global Constants'!X$59)</f>
        <v/>
      </c>
      <c r="AF33" s="26" t="str">
        <f>IF($C33="","",'Outturn ex VAT'!AF33*'Global Constants'!Y$59)</f>
        <v/>
      </c>
      <c r="AG33" s="26" t="str">
        <f>IF($C33="","",'Outturn ex VAT'!AG33*'Global Constants'!Z$59)</f>
        <v/>
      </c>
      <c r="AH33" s="26" t="str">
        <f>IF($C33="","",'Outturn ex VAT'!AH33*'Global Constants'!AA$59)</f>
        <v/>
      </c>
      <c r="AI33" s="26" t="str">
        <f>IF($C33="","",'Outturn ex VAT'!AI33*'Global Constants'!AB$59)</f>
        <v/>
      </c>
      <c r="AJ33" s="26" t="str">
        <f>IF($C33="","",'Outturn ex VAT'!AJ33*'Global Constants'!AC$59)</f>
        <v/>
      </c>
      <c r="AK33" s="26" t="str">
        <f>IF($C33="","",'Outturn ex VAT'!AK33*'Global Constants'!AD$59)</f>
        <v/>
      </c>
      <c r="AL33" s="26" t="str">
        <f>IF($C33="","",'Outturn ex VAT'!AL33*'Global Constants'!AE$59)</f>
        <v/>
      </c>
      <c r="AM33" s="26" t="str">
        <f>IF($C33="","",'Outturn ex VAT'!AM33*'Global Constants'!AF$59)</f>
        <v/>
      </c>
      <c r="AN33" s="26" t="str">
        <f>IF($C33="","",'Outturn ex VAT'!AN33*'Global Constants'!AG$59)</f>
        <v/>
      </c>
      <c r="AO33" s="26" t="str">
        <f>IF($C33="","",'Outturn ex VAT'!AO33*'Global Constants'!AH$59)</f>
        <v/>
      </c>
      <c r="AP33" s="26" t="str">
        <f>IF($C33="","",'Outturn ex VAT'!AP33*'Global Constants'!AI$59)</f>
        <v/>
      </c>
      <c r="AQ33" s="26" t="str">
        <f>IF($C33="","",'Outturn ex VAT'!AQ33*'Global Constants'!AJ$59)</f>
        <v/>
      </c>
      <c r="AR33" s="26" t="str">
        <f>IF($C33="","",'Outturn ex VAT'!AR33*'Global Constants'!AK$59)</f>
        <v/>
      </c>
      <c r="AS33" s="26" t="str">
        <f>IF($C33="","",'Outturn ex VAT'!AS33*'Global Constants'!AL$59)</f>
        <v/>
      </c>
      <c r="AT33" s="26" t="str">
        <f>IF($C33="","",'Outturn ex VAT'!AT33*'Global Constants'!AM$59)</f>
        <v/>
      </c>
      <c r="AU33" s="26" t="str">
        <f>IF($C33="","",'Outturn ex VAT'!AU33*'Global Constants'!AN$59)</f>
        <v/>
      </c>
      <c r="AV33" s="26" t="str">
        <f>IF($C33="","",'Outturn ex VAT'!AV33*'Global Constants'!AO$59)</f>
        <v/>
      </c>
      <c r="AW33" s="26" t="str">
        <f>IF($C33="","",'Outturn ex VAT'!AW33*'Global Constants'!AP$59)</f>
        <v/>
      </c>
      <c r="AX33" s="26" t="str">
        <f>IF($C33="","",'Outturn ex VAT'!AX33*'Global Constants'!AQ$59)</f>
        <v/>
      </c>
      <c r="AY33" s="26" t="str">
        <f>IF($C33="","",'Outturn ex VAT'!AY33*'Global Constants'!AR$59)</f>
        <v/>
      </c>
      <c r="AZ33" s="26" t="str">
        <f>IF($C33="","",'Outturn ex VAT'!AZ33*'Global Constants'!AS$59)</f>
        <v/>
      </c>
      <c r="BA33" s="26" t="str">
        <f>IF($C33="","",'Outturn ex VAT'!BA33*'Global Constants'!AT$59)</f>
        <v/>
      </c>
      <c r="BB33" s="26" t="str">
        <f>IF($C33="","",'Outturn ex VAT'!BB33*'Global Constants'!AU$59)</f>
        <v/>
      </c>
      <c r="BC33" s="26" t="str">
        <f>IF($C33="","",'Outturn ex VAT'!BC33*'Global Constants'!AV$59)</f>
        <v/>
      </c>
      <c r="BD33" s="26" t="str">
        <f>IF($C33="","",'Outturn ex VAT'!BD33*'Global Constants'!AW$59)</f>
        <v/>
      </c>
      <c r="BE33" s="26" t="str">
        <f>IF($C33="","",'Outturn ex VAT'!BE33*'Global Constants'!AX$59)</f>
        <v/>
      </c>
      <c r="BF33" s="26" t="str">
        <f>IF($C33="","",'Outturn ex VAT'!BF33*'Global Constants'!AY$59)</f>
        <v/>
      </c>
      <c r="BG33" s="26" t="str">
        <f>IF($C33="","",'Outturn ex VAT'!BG33*'Global Constants'!AZ$59)</f>
        <v/>
      </c>
      <c r="BH33" s="26" t="str">
        <f>IF($C33="","",'Outturn ex VAT'!BH33*'Global Constants'!BA$59)</f>
        <v/>
      </c>
      <c r="BI33" s="26" t="str">
        <f>IF($C33="","",'Outturn ex VAT'!BI33*'Global Constants'!BB$59)</f>
        <v/>
      </c>
      <c r="BJ33" s="26" t="str">
        <f>IF($C33="","",'Outturn ex VAT'!BJ33*'Global Constants'!BC$59)</f>
        <v/>
      </c>
      <c r="BK33" s="26" t="str">
        <f>IF($C33="","",'Outturn ex VAT'!BK33*'Global Constants'!BD$59)</f>
        <v/>
      </c>
      <c r="BL33" s="26" t="str">
        <f>IF($C33="","",'Outturn ex VAT'!BL33*'Global Constants'!BE$59)</f>
        <v/>
      </c>
      <c r="BM33" s="26" t="str">
        <f>IF($C33="","",'Outturn ex VAT'!BM33*'Global Constants'!BF$59)</f>
        <v/>
      </c>
      <c r="BN33" s="26" t="str">
        <f>IF($C33="","",'Outturn ex VAT'!BN33*'Global Constants'!BG$59)</f>
        <v/>
      </c>
      <c r="BO33" s="26" t="str">
        <f>IF($C33="","",'Outturn ex VAT'!BO33*'Global Constants'!BH$59)</f>
        <v/>
      </c>
      <c r="BP33" s="26" t="str">
        <f>IF($C33="","",'Outturn ex VAT'!BP33*'Global Constants'!BI$59)</f>
        <v/>
      </c>
      <c r="BQ33" s="26" t="str">
        <f>IF($C33="","",'Outturn ex VAT'!BQ33*'Global Constants'!BJ$59)</f>
        <v/>
      </c>
      <c r="BR33" s="26" t="str">
        <f>IF($C33="","",'Outturn ex VAT'!BR33*'Global Constants'!BK$59)</f>
        <v/>
      </c>
      <c r="BS33" s="26" t="str">
        <f>IF($C33="","",'Outturn ex VAT'!BS33*'Global Constants'!BL$59)</f>
        <v/>
      </c>
      <c r="BT33" s="26" t="str">
        <f>IF($C33="","",'Outturn ex VAT'!BT33*'Global Constants'!BM$59)</f>
        <v/>
      </c>
      <c r="BU33" s="26" t="str">
        <f>IF($C33="","",'Outturn ex VAT'!BU33*'Global Constants'!BN$59)</f>
        <v/>
      </c>
      <c r="BV33" s="26" t="str">
        <f>IF($C33="","",'Outturn ex VAT'!BV33*'Global Constants'!BO$59)</f>
        <v/>
      </c>
      <c r="BW33" s="26" t="str">
        <f>IF($C33="","",'Outturn ex VAT'!BW33*'Global Constants'!BP$59)</f>
        <v/>
      </c>
      <c r="BX33" s="26" t="str">
        <f>IF($C33="","",'Outturn ex VAT'!BX33*'Global Constants'!BQ$59)</f>
        <v/>
      </c>
      <c r="BY33" s="26" t="str">
        <f>IF($C33="","",'Outturn ex VAT'!BY33*'Global Constants'!BR$59)</f>
        <v/>
      </c>
      <c r="BZ33" s="26" t="str">
        <f>IF($C33="","",'Outturn ex VAT'!BZ33*'Global Constants'!BS$59)</f>
        <v/>
      </c>
      <c r="CA33" s="26" t="str">
        <f>IF($C33="","",'Outturn ex VAT'!CA33*'Global Constants'!BT$59)</f>
        <v/>
      </c>
      <c r="CB33" s="26" t="str">
        <f>IF($C33="","",'Outturn ex VAT'!CB33*'Global Constants'!BU$59)</f>
        <v/>
      </c>
      <c r="CC33" s="26" t="str">
        <f>IF($C33="","",'Outturn ex VAT'!CC33*'Global Constants'!BV$59)</f>
        <v/>
      </c>
      <c r="CD33" s="26" t="str">
        <f>IF($C33="","",'Outturn ex VAT'!CD33*'Global Constants'!BW$59)</f>
        <v/>
      </c>
      <c r="CE33" s="26" t="str">
        <f>IF($C33="","",'Outturn ex VAT'!CE33*'Global Constants'!BX$59)</f>
        <v/>
      </c>
      <c r="CF33" s="26" t="str">
        <f>IF($C33="","",'Outturn ex VAT'!CF33*'Global Constants'!BY$59)</f>
        <v/>
      </c>
      <c r="CG33" s="26" t="str">
        <f>IF($C33="","",'Outturn ex VAT'!CG33*'Global Constants'!BZ$59)</f>
        <v/>
      </c>
      <c r="CH33" s="26" t="str">
        <f>IF($C33="","",'Outturn ex VAT'!CH33*'Global Constants'!CA$59)</f>
        <v/>
      </c>
      <c r="CI33" s="26" t="str">
        <f>IF($C33="","",'Outturn ex VAT'!CI33*'Global Constants'!CB$59)</f>
        <v/>
      </c>
      <c r="CJ33" s="26" t="str">
        <f>IF($C33="","",'Outturn ex VAT'!CJ33*'Global Constants'!CC$59)</f>
        <v/>
      </c>
      <c r="CK33" s="26" t="str">
        <f>IF($C33="","",'Outturn ex VAT'!CK33*'Global Constants'!CD$59)</f>
        <v/>
      </c>
      <c r="CL33" s="26" t="str">
        <f>IF($C33="","",'Outturn ex VAT'!CL33*'Global Constants'!CE$59)</f>
        <v/>
      </c>
      <c r="CM33" s="26" t="str">
        <f>IF($C33="","",'Outturn ex VAT'!CM33*'Global Constants'!CF$59)</f>
        <v/>
      </c>
      <c r="CN33" s="26" t="str">
        <f>IF($C33="","",'Outturn ex VAT'!CN33*'Global Constants'!CG$59)</f>
        <v/>
      </c>
      <c r="CO33" s="26" t="str">
        <f>IF($C33="","",'Outturn ex VAT'!CO33*'Global Constants'!CH$59)</f>
        <v/>
      </c>
      <c r="CP33" s="26" t="str">
        <f>IF($C33="","",'Outturn ex VAT'!CP33*'Global Constants'!CI$59)</f>
        <v/>
      </c>
      <c r="CQ33" s="26" t="str">
        <f>IF($C33="","",'Outturn ex VAT'!CQ33*'Global Constants'!CJ$59)</f>
        <v/>
      </c>
      <c r="CR33" s="26" t="str">
        <f>IF($C33="","",'Outturn ex VAT'!CR33*'Global Constants'!CK$59)</f>
        <v/>
      </c>
      <c r="CS33" s="26" t="str">
        <f>IF($C33="","",'Outturn ex VAT'!CS33*'Global Constants'!CL$59)</f>
        <v/>
      </c>
      <c r="CT33" s="26" t="str">
        <f>IF($C33="","",'Outturn ex VAT'!CT33*'Global Constants'!CM$59)</f>
        <v/>
      </c>
      <c r="CU33" s="26" t="str">
        <f>IF($C33="","",'Outturn ex VAT'!CU33*'Global Constants'!CN$59)</f>
        <v/>
      </c>
      <c r="CV33" s="26" t="str">
        <f>IF($C33="","",'Outturn ex VAT'!CV33*'Global Constants'!CO$59)</f>
        <v/>
      </c>
      <c r="CW33" s="26" t="str">
        <f>IF($C33="","",'Outturn ex VAT'!CW33*'Global Constants'!CP$59)</f>
        <v/>
      </c>
      <c r="CX33" s="26" t="str">
        <f>IF($C33="","",'Outturn ex VAT'!CX33*'Global Constants'!CQ$59)</f>
        <v/>
      </c>
      <c r="CZ33" s="26">
        <f t="shared" ca="1" si="0"/>
        <v>0</v>
      </c>
      <c r="DA33" s="26">
        <f t="shared" si="1"/>
        <v>0</v>
      </c>
    </row>
    <row r="34" spans="3:105" x14ac:dyDescent="0.3">
      <c r="C34" s="4" t="str">
        <f>IF('Cost &amp; Risk Inputs'!C35="","",'Cost &amp; Risk Inputs'!C35)</f>
        <v/>
      </c>
      <c r="D34" s="4" t="str">
        <f>IF(C34="","",'Cost &amp; Risk Inputs'!H35)</f>
        <v/>
      </c>
      <c r="E34" s="4" t="str">
        <f>IF(C34="","",'Cost &amp; Risk Inputs'!I35)</f>
        <v/>
      </c>
      <c r="M34" s="26" t="str">
        <f>IF($C34="","",'Outturn ex VAT'!M34*'Global Constants'!F$59)</f>
        <v/>
      </c>
      <c r="N34" s="26" t="str">
        <f>IF($C34="","",'Outturn ex VAT'!N34*'Global Constants'!G$59)</f>
        <v/>
      </c>
      <c r="O34" s="26" t="str">
        <f>IF($C34="","",'Outturn ex VAT'!O34*'Global Constants'!H$59)</f>
        <v/>
      </c>
      <c r="P34" s="26" t="str">
        <f>IF($C34="","",'Outturn ex VAT'!P34*'Global Constants'!I$59)</f>
        <v/>
      </c>
      <c r="Q34" s="26" t="str">
        <f>IF($C34="","",'Outturn ex VAT'!Q34*'Global Constants'!J$59)</f>
        <v/>
      </c>
      <c r="R34" s="26" t="str">
        <f>IF($C34="","",'Outturn ex VAT'!R34*'Global Constants'!K$59)</f>
        <v/>
      </c>
      <c r="S34" s="26" t="str">
        <f>IF($C34="","",'Outturn ex VAT'!S34*'Global Constants'!L$59)</f>
        <v/>
      </c>
      <c r="T34" s="26" t="str">
        <f>IF($C34="","",'Outturn ex VAT'!T34*'Global Constants'!M$59)</f>
        <v/>
      </c>
      <c r="U34" s="26" t="str">
        <f>IF($C34="","",'Outturn ex VAT'!U34*'Global Constants'!N$59)</f>
        <v/>
      </c>
      <c r="V34" s="26" t="str">
        <f>IF($C34="","",'Outturn ex VAT'!V34*'Global Constants'!O$59)</f>
        <v/>
      </c>
      <c r="W34" s="26" t="str">
        <f>IF($C34="","",'Outturn ex VAT'!W34*'Global Constants'!P$59)</f>
        <v/>
      </c>
      <c r="X34" s="26" t="str">
        <f>IF($C34="","",'Outturn ex VAT'!X34*'Global Constants'!Q$59)</f>
        <v/>
      </c>
      <c r="Y34" s="26" t="str">
        <f>IF($C34="","",'Outturn ex VAT'!Y34*'Global Constants'!R$59)</f>
        <v/>
      </c>
      <c r="Z34" s="26" t="str">
        <f>IF($C34="","",'Outturn ex VAT'!Z34*'Global Constants'!S$59)</f>
        <v/>
      </c>
      <c r="AA34" s="26" t="str">
        <f>IF($C34="","",'Outturn ex VAT'!AA34*'Global Constants'!T$59)</f>
        <v/>
      </c>
      <c r="AB34" s="26" t="str">
        <f>IF($C34="","",'Outturn ex VAT'!AB34*'Global Constants'!U$59)</f>
        <v/>
      </c>
      <c r="AC34" s="26" t="str">
        <f>IF($C34="","",'Outturn ex VAT'!AC34*'Global Constants'!V$59)</f>
        <v/>
      </c>
      <c r="AD34" s="26" t="str">
        <f>IF($C34="","",'Outturn ex VAT'!AD34*'Global Constants'!W$59)</f>
        <v/>
      </c>
      <c r="AE34" s="26" t="str">
        <f>IF($C34="","",'Outturn ex VAT'!AE34*'Global Constants'!X$59)</f>
        <v/>
      </c>
      <c r="AF34" s="26" t="str">
        <f>IF($C34="","",'Outturn ex VAT'!AF34*'Global Constants'!Y$59)</f>
        <v/>
      </c>
      <c r="AG34" s="26" t="str">
        <f>IF($C34="","",'Outturn ex VAT'!AG34*'Global Constants'!Z$59)</f>
        <v/>
      </c>
      <c r="AH34" s="26" t="str">
        <f>IF($C34="","",'Outturn ex VAT'!AH34*'Global Constants'!AA$59)</f>
        <v/>
      </c>
      <c r="AI34" s="26" t="str">
        <f>IF($C34="","",'Outturn ex VAT'!AI34*'Global Constants'!AB$59)</f>
        <v/>
      </c>
      <c r="AJ34" s="26" t="str">
        <f>IF($C34="","",'Outturn ex VAT'!AJ34*'Global Constants'!AC$59)</f>
        <v/>
      </c>
      <c r="AK34" s="26" t="str">
        <f>IF($C34="","",'Outturn ex VAT'!AK34*'Global Constants'!AD$59)</f>
        <v/>
      </c>
      <c r="AL34" s="26" t="str">
        <f>IF($C34="","",'Outturn ex VAT'!AL34*'Global Constants'!AE$59)</f>
        <v/>
      </c>
      <c r="AM34" s="26" t="str">
        <f>IF($C34="","",'Outturn ex VAT'!AM34*'Global Constants'!AF$59)</f>
        <v/>
      </c>
      <c r="AN34" s="26" t="str">
        <f>IF($C34="","",'Outturn ex VAT'!AN34*'Global Constants'!AG$59)</f>
        <v/>
      </c>
      <c r="AO34" s="26" t="str">
        <f>IF($C34="","",'Outturn ex VAT'!AO34*'Global Constants'!AH$59)</f>
        <v/>
      </c>
      <c r="AP34" s="26" t="str">
        <f>IF($C34="","",'Outturn ex VAT'!AP34*'Global Constants'!AI$59)</f>
        <v/>
      </c>
      <c r="AQ34" s="26" t="str">
        <f>IF($C34="","",'Outturn ex VAT'!AQ34*'Global Constants'!AJ$59)</f>
        <v/>
      </c>
      <c r="AR34" s="26" t="str">
        <f>IF($C34="","",'Outturn ex VAT'!AR34*'Global Constants'!AK$59)</f>
        <v/>
      </c>
      <c r="AS34" s="26" t="str">
        <f>IF($C34="","",'Outturn ex VAT'!AS34*'Global Constants'!AL$59)</f>
        <v/>
      </c>
      <c r="AT34" s="26" t="str">
        <f>IF($C34="","",'Outturn ex VAT'!AT34*'Global Constants'!AM$59)</f>
        <v/>
      </c>
      <c r="AU34" s="26" t="str">
        <f>IF($C34="","",'Outturn ex VAT'!AU34*'Global Constants'!AN$59)</f>
        <v/>
      </c>
      <c r="AV34" s="26" t="str">
        <f>IF($C34="","",'Outturn ex VAT'!AV34*'Global Constants'!AO$59)</f>
        <v/>
      </c>
      <c r="AW34" s="26" t="str">
        <f>IF($C34="","",'Outturn ex VAT'!AW34*'Global Constants'!AP$59)</f>
        <v/>
      </c>
      <c r="AX34" s="26" t="str">
        <f>IF($C34="","",'Outturn ex VAT'!AX34*'Global Constants'!AQ$59)</f>
        <v/>
      </c>
      <c r="AY34" s="26" t="str">
        <f>IF($C34="","",'Outturn ex VAT'!AY34*'Global Constants'!AR$59)</f>
        <v/>
      </c>
      <c r="AZ34" s="26" t="str">
        <f>IF($C34="","",'Outturn ex VAT'!AZ34*'Global Constants'!AS$59)</f>
        <v/>
      </c>
      <c r="BA34" s="26" t="str">
        <f>IF($C34="","",'Outturn ex VAT'!BA34*'Global Constants'!AT$59)</f>
        <v/>
      </c>
      <c r="BB34" s="26" t="str">
        <f>IF($C34="","",'Outturn ex VAT'!BB34*'Global Constants'!AU$59)</f>
        <v/>
      </c>
      <c r="BC34" s="26" t="str">
        <f>IF($C34="","",'Outturn ex VAT'!BC34*'Global Constants'!AV$59)</f>
        <v/>
      </c>
      <c r="BD34" s="26" t="str">
        <f>IF($C34="","",'Outturn ex VAT'!BD34*'Global Constants'!AW$59)</f>
        <v/>
      </c>
      <c r="BE34" s="26" t="str">
        <f>IF($C34="","",'Outturn ex VAT'!BE34*'Global Constants'!AX$59)</f>
        <v/>
      </c>
      <c r="BF34" s="26" t="str">
        <f>IF($C34="","",'Outturn ex VAT'!BF34*'Global Constants'!AY$59)</f>
        <v/>
      </c>
      <c r="BG34" s="26" t="str">
        <f>IF($C34="","",'Outturn ex VAT'!BG34*'Global Constants'!AZ$59)</f>
        <v/>
      </c>
      <c r="BH34" s="26" t="str">
        <f>IF($C34="","",'Outturn ex VAT'!BH34*'Global Constants'!BA$59)</f>
        <v/>
      </c>
      <c r="BI34" s="26" t="str">
        <f>IF($C34="","",'Outturn ex VAT'!BI34*'Global Constants'!BB$59)</f>
        <v/>
      </c>
      <c r="BJ34" s="26" t="str">
        <f>IF($C34="","",'Outturn ex VAT'!BJ34*'Global Constants'!BC$59)</f>
        <v/>
      </c>
      <c r="BK34" s="26" t="str">
        <f>IF($C34="","",'Outturn ex VAT'!BK34*'Global Constants'!BD$59)</f>
        <v/>
      </c>
      <c r="BL34" s="26" t="str">
        <f>IF($C34="","",'Outturn ex VAT'!BL34*'Global Constants'!BE$59)</f>
        <v/>
      </c>
      <c r="BM34" s="26" t="str">
        <f>IF($C34="","",'Outturn ex VAT'!BM34*'Global Constants'!BF$59)</f>
        <v/>
      </c>
      <c r="BN34" s="26" t="str">
        <f>IF($C34="","",'Outturn ex VAT'!BN34*'Global Constants'!BG$59)</f>
        <v/>
      </c>
      <c r="BO34" s="26" t="str">
        <f>IF($C34="","",'Outturn ex VAT'!BO34*'Global Constants'!BH$59)</f>
        <v/>
      </c>
      <c r="BP34" s="26" t="str">
        <f>IF($C34="","",'Outturn ex VAT'!BP34*'Global Constants'!BI$59)</f>
        <v/>
      </c>
      <c r="BQ34" s="26" t="str">
        <f>IF($C34="","",'Outturn ex VAT'!BQ34*'Global Constants'!BJ$59)</f>
        <v/>
      </c>
      <c r="BR34" s="26" t="str">
        <f>IF($C34="","",'Outturn ex VAT'!BR34*'Global Constants'!BK$59)</f>
        <v/>
      </c>
      <c r="BS34" s="26" t="str">
        <f>IF($C34="","",'Outturn ex VAT'!BS34*'Global Constants'!BL$59)</f>
        <v/>
      </c>
      <c r="BT34" s="26" t="str">
        <f>IF($C34="","",'Outturn ex VAT'!BT34*'Global Constants'!BM$59)</f>
        <v/>
      </c>
      <c r="BU34" s="26" t="str">
        <f>IF($C34="","",'Outturn ex VAT'!BU34*'Global Constants'!BN$59)</f>
        <v/>
      </c>
      <c r="BV34" s="26" t="str">
        <f>IF($C34="","",'Outturn ex VAT'!BV34*'Global Constants'!BO$59)</f>
        <v/>
      </c>
      <c r="BW34" s="26" t="str">
        <f>IF($C34="","",'Outturn ex VAT'!BW34*'Global Constants'!BP$59)</f>
        <v/>
      </c>
      <c r="BX34" s="26" t="str">
        <f>IF($C34="","",'Outturn ex VAT'!BX34*'Global Constants'!BQ$59)</f>
        <v/>
      </c>
      <c r="BY34" s="26" t="str">
        <f>IF($C34="","",'Outturn ex VAT'!BY34*'Global Constants'!BR$59)</f>
        <v/>
      </c>
      <c r="BZ34" s="26" t="str">
        <f>IF($C34="","",'Outturn ex VAT'!BZ34*'Global Constants'!BS$59)</f>
        <v/>
      </c>
      <c r="CA34" s="26" t="str">
        <f>IF($C34="","",'Outturn ex VAT'!CA34*'Global Constants'!BT$59)</f>
        <v/>
      </c>
      <c r="CB34" s="26" t="str">
        <f>IF($C34="","",'Outturn ex VAT'!CB34*'Global Constants'!BU$59)</f>
        <v/>
      </c>
      <c r="CC34" s="26" t="str">
        <f>IF($C34="","",'Outturn ex VAT'!CC34*'Global Constants'!BV$59)</f>
        <v/>
      </c>
      <c r="CD34" s="26" t="str">
        <f>IF($C34="","",'Outturn ex VAT'!CD34*'Global Constants'!BW$59)</f>
        <v/>
      </c>
      <c r="CE34" s="26" t="str">
        <f>IF($C34="","",'Outturn ex VAT'!CE34*'Global Constants'!BX$59)</f>
        <v/>
      </c>
      <c r="CF34" s="26" t="str">
        <f>IF($C34="","",'Outturn ex VAT'!CF34*'Global Constants'!BY$59)</f>
        <v/>
      </c>
      <c r="CG34" s="26" t="str">
        <f>IF($C34="","",'Outturn ex VAT'!CG34*'Global Constants'!BZ$59)</f>
        <v/>
      </c>
      <c r="CH34" s="26" t="str">
        <f>IF($C34="","",'Outturn ex VAT'!CH34*'Global Constants'!CA$59)</f>
        <v/>
      </c>
      <c r="CI34" s="26" t="str">
        <f>IF($C34="","",'Outturn ex VAT'!CI34*'Global Constants'!CB$59)</f>
        <v/>
      </c>
      <c r="CJ34" s="26" t="str">
        <f>IF($C34="","",'Outturn ex VAT'!CJ34*'Global Constants'!CC$59)</f>
        <v/>
      </c>
      <c r="CK34" s="26" t="str">
        <f>IF($C34="","",'Outturn ex VAT'!CK34*'Global Constants'!CD$59)</f>
        <v/>
      </c>
      <c r="CL34" s="26" t="str">
        <f>IF($C34="","",'Outturn ex VAT'!CL34*'Global Constants'!CE$59)</f>
        <v/>
      </c>
      <c r="CM34" s="26" t="str">
        <f>IF($C34="","",'Outturn ex VAT'!CM34*'Global Constants'!CF$59)</f>
        <v/>
      </c>
      <c r="CN34" s="26" t="str">
        <f>IF($C34="","",'Outturn ex VAT'!CN34*'Global Constants'!CG$59)</f>
        <v/>
      </c>
      <c r="CO34" s="26" t="str">
        <f>IF($C34="","",'Outturn ex VAT'!CO34*'Global Constants'!CH$59)</f>
        <v/>
      </c>
      <c r="CP34" s="26" t="str">
        <f>IF($C34="","",'Outturn ex VAT'!CP34*'Global Constants'!CI$59)</f>
        <v/>
      </c>
      <c r="CQ34" s="26" t="str">
        <f>IF($C34="","",'Outturn ex VAT'!CQ34*'Global Constants'!CJ$59)</f>
        <v/>
      </c>
      <c r="CR34" s="26" t="str">
        <f>IF($C34="","",'Outturn ex VAT'!CR34*'Global Constants'!CK$59)</f>
        <v/>
      </c>
      <c r="CS34" s="26" t="str">
        <f>IF($C34="","",'Outturn ex VAT'!CS34*'Global Constants'!CL$59)</f>
        <v/>
      </c>
      <c r="CT34" s="26" t="str">
        <f>IF($C34="","",'Outturn ex VAT'!CT34*'Global Constants'!CM$59)</f>
        <v/>
      </c>
      <c r="CU34" s="26" t="str">
        <f>IF($C34="","",'Outturn ex VAT'!CU34*'Global Constants'!CN$59)</f>
        <v/>
      </c>
      <c r="CV34" s="26" t="str">
        <f>IF($C34="","",'Outturn ex VAT'!CV34*'Global Constants'!CO$59)</f>
        <v/>
      </c>
      <c r="CW34" s="26" t="str">
        <f>IF($C34="","",'Outturn ex VAT'!CW34*'Global Constants'!CP$59)</f>
        <v/>
      </c>
      <c r="CX34" s="26" t="str">
        <f>IF($C34="","",'Outturn ex VAT'!CX34*'Global Constants'!CQ$59)</f>
        <v/>
      </c>
      <c r="CZ34" s="26">
        <f t="shared" ca="1" si="0"/>
        <v>0</v>
      </c>
      <c r="DA34" s="26">
        <f t="shared" si="1"/>
        <v>0</v>
      </c>
    </row>
    <row r="35" spans="3:105" x14ac:dyDescent="0.3">
      <c r="C35" s="4" t="str">
        <f>IF('Cost &amp; Risk Inputs'!C36="","",'Cost &amp; Risk Inputs'!C36)</f>
        <v/>
      </c>
      <c r="D35" s="4" t="str">
        <f>IF(C35="","",'Cost &amp; Risk Inputs'!H36)</f>
        <v/>
      </c>
      <c r="E35" s="4" t="str">
        <f>IF(C35="","",'Cost &amp; Risk Inputs'!I36)</f>
        <v/>
      </c>
      <c r="M35" s="26" t="str">
        <f>IF($C35="","",'Outturn ex VAT'!M35*'Global Constants'!F$59)</f>
        <v/>
      </c>
      <c r="N35" s="26" t="str">
        <f>IF($C35="","",'Outturn ex VAT'!N35*'Global Constants'!G$59)</f>
        <v/>
      </c>
      <c r="O35" s="26" t="str">
        <f>IF($C35="","",'Outturn ex VAT'!O35*'Global Constants'!H$59)</f>
        <v/>
      </c>
      <c r="P35" s="26" t="str">
        <f>IF($C35="","",'Outturn ex VAT'!P35*'Global Constants'!I$59)</f>
        <v/>
      </c>
      <c r="Q35" s="26" t="str">
        <f>IF($C35="","",'Outturn ex VAT'!Q35*'Global Constants'!J$59)</f>
        <v/>
      </c>
      <c r="R35" s="26" t="str">
        <f>IF($C35="","",'Outturn ex VAT'!R35*'Global Constants'!K$59)</f>
        <v/>
      </c>
      <c r="S35" s="26" t="str">
        <f>IF($C35="","",'Outturn ex VAT'!S35*'Global Constants'!L$59)</f>
        <v/>
      </c>
      <c r="T35" s="26" t="str">
        <f>IF($C35="","",'Outturn ex VAT'!T35*'Global Constants'!M$59)</f>
        <v/>
      </c>
      <c r="U35" s="26" t="str">
        <f>IF($C35="","",'Outturn ex VAT'!U35*'Global Constants'!N$59)</f>
        <v/>
      </c>
      <c r="V35" s="26" t="str">
        <f>IF($C35="","",'Outturn ex VAT'!V35*'Global Constants'!O$59)</f>
        <v/>
      </c>
      <c r="W35" s="26" t="str">
        <f>IF($C35="","",'Outturn ex VAT'!W35*'Global Constants'!P$59)</f>
        <v/>
      </c>
      <c r="X35" s="26" t="str">
        <f>IF($C35="","",'Outturn ex VAT'!X35*'Global Constants'!Q$59)</f>
        <v/>
      </c>
      <c r="Y35" s="26" t="str">
        <f>IF($C35="","",'Outturn ex VAT'!Y35*'Global Constants'!R$59)</f>
        <v/>
      </c>
      <c r="Z35" s="26" t="str">
        <f>IF($C35="","",'Outturn ex VAT'!Z35*'Global Constants'!S$59)</f>
        <v/>
      </c>
      <c r="AA35" s="26" t="str">
        <f>IF($C35="","",'Outturn ex VAT'!AA35*'Global Constants'!T$59)</f>
        <v/>
      </c>
      <c r="AB35" s="26" t="str">
        <f>IF($C35="","",'Outturn ex VAT'!AB35*'Global Constants'!U$59)</f>
        <v/>
      </c>
      <c r="AC35" s="26" t="str">
        <f>IF($C35="","",'Outturn ex VAT'!AC35*'Global Constants'!V$59)</f>
        <v/>
      </c>
      <c r="AD35" s="26" t="str">
        <f>IF($C35="","",'Outturn ex VAT'!AD35*'Global Constants'!W$59)</f>
        <v/>
      </c>
      <c r="AE35" s="26" t="str">
        <f>IF($C35="","",'Outturn ex VAT'!AE35*'Global Constants'!X$59)</f>
        <v/>
      </c>
      <c r="AF35" s="26" t="str">
        <f>IF($C35="","",'Outturn ex VAT'!AF35*'Global Constants'!Y$59)</f>
        <v/>
      </c>
      <c r="AG35" s="26" t="str">
        <f>IF($C35="","",'Outturn ex VAT'!AG35*'Global Constants'!Z$59)</f>
        <v/>
      </c>
      <c r="AH35" s="26" t="str">
        <f>IF($C35="","",'Outturn ex VAT'!AH35*'Global Constants'!AA$59)</f>
        <v/>
      </c>
      <c r="AI35" s="26" t="str">
        <f>IF($C35="","",'Outturn ex VAT'!AI35*'Global Constants'!AB$59)</f>
        <v/>
      </c>
      <c r="AJ35" s="26" t="str">
        <f>IF($C35="","",'Outturn ex VAT'!AJ35*'Global Constants'!AC$59)</f>
        <v/>
      </c>
      <c r="AK35" s="26" t="str">
        <f>IF($C35="","",'Outturn ex VAT'!AK35*'Global Constants'!AD$59)</f>
        <v/>
      </c>
      <c r="AL35" s="26" t="str">
        <f>IF($C35="","",'Outturn ex VAT'!AL35*'Global Constants'!AE$59)</f>
        <v/>
      </c>
      <c r="AM35" s="26" t="str">
        <f>IF($C35="","",'Outturn ex VAT'!AM35*'Global Constants'!AF$59)</f>
        <v/>
      </c>
      <c r="AN35" s="26" t="str">
        <f>IF($C35="","",'Outturn ex VAT'!AN35*'Global Constants'!AG$59)</f>
        <v/>
      </c>
      <c r="AO35" s="26" t="str">
        <f>IF($C35="","",'Outturn ex VAT'!AO35*'Global Constants'!AH$59)</f>
        <v/>
      </c>
      <c r="AP35" s="26" t="str">
        <f>IF($C35="","",'Outturn ex VAT'!AP35*'Global Constants'!AI$59)</f>
        <v/>
      </c>
      <c r="AQ35" s="26" t="str">
        <f>IF($C35="","",'Outturn ex VAT'!AQ35*'Global Constants'!AJ$59)</f>
        <v/>
      </c>
      <c r="AR35" s="26" t="str">
        <f>IF($C35="","",'Outturn ex VAT'!AR35*'Global Constants'!AK$59)</f>
        <v/>
      </c>
      <c r="AS35" s="26" t="str">
        <f>IF($C35="","",'Outturn ex VAT'!AS35*'Global Constants'!AL$59)</f>
        <v/>
      </c>
      <c r="AT35" s="26" t="str">
        <f>IF($C35="","",'Outturn ex VAT'!AT35*'Global Constants'!AM$59)</f>
        <v/>
      </c>
      <c r="AU35" s="26" t="str">
        <f>IF($C35="","",'Outturn ex VAT'!AU35*'Global Constants'!AN$59)</f>
        <v/>
      </c>
      <c r="AV35" s="26" t="str">
        <f>IF($C35="","",'Outturn ex VAT'!AV35*'Global Constants'!AO$59)</f>
        <v/>
      </c>
      <c r="AW35" s="26" t="str">
        <f>IF($C35="","",'Outturn ex VAT'!AW35*'Global Constants'!AP$59)</f>
        <v/>
      </c>
      <c r="AX35" s="26" t="str">
        <f>IF($C35="","",'Outturn ex VAT'!AX35*'Global Constants'!AQ$59)</f>
        <v/>
      </c>
      <c r="AY35" s="26" t="str">
        <f>IF($C35="","",'Outturn ex VAT'!AY35*'Global Constants'!AR$59)</f>
        <v/>
      </c>
      <c r="AZ35" s="26" t="str">
        <f>IF($C35="","",'Outturn ex VAT'!AZ35*'Global Constants'!AS$59)</f>
        <v/>
      </c>
      <c r="BA35" s="26" t="str">
        <f>IF($C35="","",'Outturn ex VAT'!BA35*'Global Constants'!AT$59)</f>
        <v/>
      </c>
      <c r="BB35" s="26" t="str">
        <f>IF($C35="","",'Outturn ex VAT'!BB35*'Global Constants'!AU$59)</f>
        <v/>
      </c>
      <c r="BC35" s="26" t="str">
        <f>IF($C35="","",'Outturn ex VAT'!BC35*'Global Constants'!AV$59)</f>
        <v/>
      </c>
      <c r="BD35" s="26" t="str">
        <f>IF($C35="","",'Outturn ex VAT'!BD35*'Global Constants'!AW$59)</f>
        <v/>
      </c>
      <c r="BE35" s="26" t="str">
        <f>IF($C35="","",'Outturn ex VAT'!BE35*'Global Constants'!AX$59)</f>
        <v/>
      </c>
      <c r="BF35" s="26" t="str">
        <f>IF($C35="","",'Outturn ex VAT'!BF35*'Global Constants'!AY$59)</f>
        <v/>
      </c>
      <c r="BG35" s="26" t="str">
        <f>IF($C35="","",'Outturn ex VAT'!BG35*'Global Constants'!AZ$59)</f>
        <v/>
      </c>
      <c r="BH35" s="26" t="str">
        <f>IF($C35="","",'Outturn ex VAT'!BH35*'Global Constants'!BA$59)</f>
        <v/>
      </c>
      <c r="BI35" s="26" t="str">
        <f>IF($C35="","",'Outturn ex VAT'!BI35*'Global Constants'!BB$59)</f>
        <v/>
      </c>
      <c r="BJ35" s="26" t="str">
        <f>IF($C35="","",'Outturn ex VAT'!BJ35*'Global Constants'!BC$59)</f>
        <v/>
      </c>
      <c r="BK35" s="26" t="str">
        <f>IF($C35="","",'Outturn ex VAT'!BK35*'Global Constants'!BD$59)</f>
        <v/>
      </c>
      <c r="BL35" s="26" t="str">
        <f>IF($C35="","",'Outturn ex VAT'!BL35*'Global Constants'!BE$59)</f>
        <v/>
      </c>
      <c r="BM35" s="26" t="str">
        <f>IF($C35="","",'Outturn ex VAT'!BM35*'Global Constants'!BF$59)</f>
        <v/>
      </c>
      <c r="BN35" s="26" t="str">
        <f>IF($C35="","",'Outturn ex VAT'!BN35*'Global Constants'!BG$59)</f>
        <v/>
      </c>
      <c r="BO35" s="26" t="str">
        <f>IF($C35="","",'Outturn ex VAT'!BO35*'Global Constants'!BH$59)</f>
        <v/>
      </c>
      <c r="BP35" s="26" t="str">
        <f>IF($C35="","",'Outturn ex VAT'!BP35*'Global Constants'!BI$59)</f>
        <v/>
      </c>
      <c r="BQ35" s="26" t="str">
        <f>IF($C35="","",'Outturn ex VAT'!BQ35*'Global Constants'!BJ$59)</f>
        <v/>
      </c>
      <c r="BR35" s="26" t="str">
        <f>IF($C35="","",'Outturn ex VAT'!BR35*'Global Constants'!BK$59)</f>
        <v/>
      </c>
      <c r="BS35" s="26" t="str">
        <f>IF($C35="","",'Outturn ex VAT'!BS35*'Global Constants'!BL$59)</f>
        <v/>
      </c>
      <c r="BT35" s="26" t="str">
        <f>IF($C35="","",'Outturn ex VAT'!BT35*'Global Constants'!BM$59)</f>
        <v/>
      </c>
      <c r="BU35" s="26" t="str">
        <f>IF($C35="","",'Outturn ex VAT'!BU35*'Global Constants'!BN$59)</f>
        <v/>
      </c>
      <c r="BV35" s="26" t="str">
        <f>IF($C35="","",'Outturn ex VAT'!BV35*'Global Constants'!BO$59)</f>
        <v/>
      </c>
      <c r="BW35" s="26" t="str">
        <f>IF($C35="","",'Outturn ex VAT'!BW35*'Global Constants'!BP$59)</f>
        <v/>
      </c>
      <c r="BX35" s="26" t="str">
        <f>IF($C35="","",'Outturn ex VAT'!BX35*'Global Constants'!BQ$59)</f>
        <v/>
      </c>
      <c r="BY35" s="26" t="str">
        <f>IF($C35="","",'Outturn ex VAT'!BY35*'Global Constants'!BR$59)</f>
        <v/>
      </c>
      <c r="BZ35" s="26" t="str">
        <f>IF($C35="","",'Outturn ex VAT'!BZ35*'Global Constants'!BS$59)</f>
        <v/>
      </c>
      <c r="CA35" s="26" t="str">
        <f>IF($C35="","",'Outturn ex VAT'!CA35*'Global Constants'!BT$59)</f>
        <v/>
      </c>
      <c r="CB35" s="26" t="str">
        <f>IF($C35="","",'Outturn ex VAT'!CB35*'Global Constants'!BU$59)</f>
        <v/>
      </c>
      <c r="CC35" s="26" t="str">
        <f>IF($C35="","",'Outturn ex VAT'!CC35*'Global Constants'!BV$59)</f>
        <v/>
      </c>
      <c r="CD35" s="26" t="str">
        <f>IF($C35="","",'Outturn ex VAT'!CD35*'Global Constants'!BW$59)</f>
        <v/>
      </c>
      <c r="CE35" s="26" t="str">
        <f>IF($C35="","",'Outturn ex VAT'!CE35*'Global Constants'!BX$59)</f>
        <v/>
      </c>
      <c r="CF35" s="26" t="str">
        <f>IF($C35="","",'Outturn ex VAT'!CF35*'Global Constants'!BY$59)</f>
        <v/>
      </c>
      <c r="CG35" s="26" t="str">
        <f>IF($C35="","",'Outturn ex VAT'!CG35*'Global Constants'!BZ$59)</f>
        <v/>
      </c>
      <c r="CH35" s="26" t="str">
        <f>IF($C35="","",'Outturn ex VAT'!CH35*'Global Constants'!CA$59)</f>
        <v/>
      </c>
      <c r="CI35" s="26" t="str">
        <f>IF($C35="","",'Outturn ex VAT'!CI35*'Global Constants'!CB$59)</f>
        <v/>
      </c>
      <c r="CJ35" s="26" t="str">
        <f>IF($C35="","",'Outturn ex VAT'!CJ35*'Global Constants'!CC$59)</f>
        <v/>
      </c>
      <c r="CK35" s="26" t="str">
        <f>IF($C35="","",'Outturn ex VAT'!CK35*'Global Constants'!CD$59)</f>
        <v/>
      </c>
      <c r="CL35" s="26" t="str">
        <f>IF($C35="","",'Outturn ex VAT'!CL35*'Global Constants'!CE$59)</f>
        <v/>
      </c>
      <c r="CM35" s="26" t="str">
        <f>IF($C35="","",'Outturn ex VAT'!CM35*'Global Constants'!CF$59)</f>
        <v/>
      </c>
      <c r="CN35" s="26" t="str">
        <f>IF($C35="","",'Outturn ex VAT'!CN35*'Global Constants'!CG$59)</f>
        <v/>
      </c>
      <c r="CO35" s="26" t="str">
        <f>IF($C35="","",'Outturn ex VAT'!CO35*'Global Constants'!CH$59)</f>
        <v/>
      </c>
      <c r="CP35" s="26" t="str">
        <f>IF($C35="","",'Outturn ex VAT'!CP35*'Global Constants'!CI$59)</f>
        <v/>
      </c>
      <c r="CQ35" s="26" t="str">
        <f>IF($C35="","",'Outturn ex VAT'!CQ35*'Global Constants'!CJ$59)</f>
        <v/>
      </c>
      <c r="CR35" s="26" t="str">
        <f>IF($C35="","",'Outturn ex VAT'!CR35*'Global Constants'!CK$59)</f>
        <v/>
      </c>
      <c r="CS35" s="26" t="str">
        <f>IF($C35="","",'Outturn ex VAT'!CS35*'Global Constants'!CL$59)</f>
        <v/>
      </c>
      <c r="CT35" s="26" t="str">
        <f>IF($C35="","",'Outturn ex VAT'!CT35*'Global Constants'!CM$59)</f>
        <v/>
      </c>
      <c r="CU35" s="26" t="str">
        <f>IF($C35="","",'Outturn ex VAT'!CU35*'Global Constants'!CN$59)</f>
        <v/>
      </c>
      <c r="CV35" s="26" t="str">
        <f>IF($C35="","",'Outturn ex VAT'!CV35*'Global Constants'!CO$59)</f>
        <v/>
      </c>
      <c r="CW35" s="26" t="str">
        <f>IF($C35="","",'Outturn ex VAT'!CW35*'Global Constants'!CP$59)</f>
        <v/>
      </c>
      <c r="CX35" s="26" t="str">
        <f>IF($C35="","",'Outturn ex VAT'!CX35*'Global Constants'!CQ$59)</f>
        <v/>
      </c>
      <c r="CZ35" s="26">
        <f t="shared" ca="1" si="0"/>
        <v>0</v>
      </c>
      <c r="DA35" s="26">
        <f t="shared" si="1"/>
        <v>0</v>
      </c>
    </row>
    <row r="36" spans="3:105" x14ac:dyDescent="0.3">
      <c r="C36" s="4" t="str">
        <f>IF('Cost &amp; Risk Inputs'!C37="","",'Cost &amp; Risk Inputs'!C37)</f>
        <v/>
      </c>
      <c r="D36" s="4" t="str">
        <f>IF(C36="","",'Cost &amp; Risk Inputs'!H37)</f>
        <v/>
      </c>
      <c r="E36" s="4" t="str">
        <f>IF(C36="","",'Cost &amp; Risk Inputs'!I37)</f>
        <v/>
      </c>
      <c r="M36" s="26" t="str">
        <f>IF($C36="","",'Outturn ex VAT'!M36*'Global Constants'!F$59)</f>
        <v/>
      </c>
      <c r="N36" s="26" t="str">
        <f>IF($C36="","",'Outturn ex VAT'!N36*'Global Constants'!G$59)</f>
        <v/>
      </c>
      <c r="O36" s="26" t="str">
        <f>IF($C36="","",'Outturn ex VAT'!O36*'Global Constants'!H$59)</f>
        <v/>
      </c>
      <c r="P36" s="26" t="str">
        <f>IF($C36="","",'Outturn ex VAT'!P36*'Global Constants'!I$59)</f>
        <v/>
      </c>
      <c r="Q36" s="26" t="str">
        <f>IF($C36="","",'Outturn ex VAT'!Q36*'Global Constants'!J$59)</f>
        <v/>
      </c>
      <c r="R36" s="26" t="str">
        <f>IF($C36="","",'Outturn ex VAT'!R36*'Global Constants'!K$59)</f>
        <v/>
      </c>
      <c r="S36" s="26" t="str">
        <f>IF($C36="","",'Outturn ex VAT'!S36*'Global Constants'!L$59)</f>
        <v/>
      </c>
      <c r="T36" s="26" t="str">
        <f>IF($C36="","",'Outturn ex VAT'!T36*'Global Constants'!M$59)</f>
        <v/>
      </c>
      <c r="U36" s="26" t="str">
        <f>IF($C36="","",'Outturn ex VAT'!U36*'Global Constants'!N$59)</f>
        <v/>
      </c>
      <c r="V36" s="26" t="str">
        <f>IF($C36="","",'Outturn ex VAT'!V36*'Global Constants'!O$59)</f>
        <v/>
      </c>
      <c r="W36" s="26" t="str">
        <f>IF($C36="","",'Outturn ex VAT'!W36*'Global Constants'!P$59)</f>
        <v/>
      </c>
      <c r="X36" s="26" t="str">
        <f>IF($C36="","",'Outturn ex VAT'!X36*'Global Constants'!Q$59)</f>
        <v/>
      </c>
      <c r="Y36" s="26" t="str">
        <f>IF($C36="","",'Outturn ex VAT'!Y36*'Global Constants'!R$59)</f>
        <v/>
      </c>
      <c r="Z36" s="26" t="str">
        <f>IF($C36="","",'Outturn ex VAT'!Z36*'Global Constants'!S$59)</f>
        <v/>
      </c>
      <c r="AA36" s="26" t="str">
        <f>IF($C36="","",'Outturn ex VAT'!AA36*'Global Constants'!T$59)</f>
        <v/>
      </c>
      <c r="AB36" s="26" t="str">
        <f>IF($C36="","",'Outturn ex VAT'!AB36*'Global Constants'!U$59)</f>
        <v/>
      </c>
      <c r="AC36" s="26" t="str">
        <f>IF($C36="","",'Outturn ex VAT'!AC36*'Global Constants'!V$59)</f>
        <v/>
      </c>
      <c r="AD36" s="26" t="str">
        <f>IF($C36="","",'Outturn ex VAT'!AD36*'Global Constants'!W$59)</f>
        <v/>
      </c>
      <c r="AE36" s="26" t="str">
        <f>IF($C36="","",'Outturn ex VAT'!AE36*'Global Constants'!X$59)</f>
        <v/>
      </c>
      <c r="AF36" s="26" t="str">
        <f>IF($C36="","",'Outturn ex VAT'!AF36*'Global Constants'!Y$59)</f>
        <v/>
      </c>
      <c r="AG36" s="26" t="str">
        <f>IF($C36="","",'Outturn ex VAT'!AG36*'Global Constants'!Z$59)</f>
        <v/>
      </c>
      <c r="AH36" s="26" t="str">
        <f>IF($C36="","",'Outturn ex VAT'!AH36*'Global Constants'!AA$59)</f>
        <v/>
      </c>
      <c r="AI36" s="26" t="str">
        <f>IF($C36="","",'Outturn ex VAT'!AI36*'Global Constants'!AB$59)</f>
        <v/>
      </c>
      <c r="AJ36" s="26" t="str">
        <f>IF($C36="","",'Outturn ex VAT'!AJ36*'Global Constants'!AC$59)</f>
        <v/>
      </c>
      <c r="AK36" s="26" t="str">
        <f>IF($C36="","",'Outturn ex VAT'!AK36*'Global Constants'!AD$59)</f>
        <v/>
      </c>
      <c r="AL36" s="26" t="str">
        <f>IF($C36="","",'Outturn ex VAT'!AL36*'Global Constants'!AE$59)</f>
        <v/>
      </c>
      <c r="AM36" s="26" t="str">
        <f>IF($C36="","",'Outturn ex VAT'!AM36*'Global Constants'!AF$59)</f>
        <v/>
      </c>
      <c r="AN36" s="26" t="str">
        <f>IF($C36="","",'Outturn ex VAT'!AN36*'Global Constants'!AG$59)</f>
        <v/>
      </c>
      <c r="AO36" s="26" t="str">
        <f>IF($C36="","",'Outturn ex VAT'!AO36*'Global Constants'!AH$59)</f>
        <v/>
      </c>
      <c r="AP36" s="26" t="str">
        <f>IF($C36="","",'Outturn ex VAT'!AP36*'Global Constants'!AI$59)</f>
        <v/>
      </c>
      <c r="AQ36" s="26" t="str">
        <f>IF($C36="","",'Outturn ex VAT'!AQ36*'Global Constants'!AJ$59)</f>
        <v/>
      </c>
      <c r="AR36" s="26" t="str">
        <f>IF($C36="","",'Outturn ex VAT'!AR36*'Global Constants'!AK$59)</f>
        <v/>
      </c>
      <c r="AS36" s="26" t="str">
        <f>IF($C36="","",'Outturn ex VAT'!AS36*'Global Constants'!AL$59)</f>
        <v/>
      </c>
      <c r="AT36" s="26" t="str">
        <f>IF($C36="","",'Outturn ex VAT'!AT36*'Global Constants'!AM$59)</f>
        <v/>
      </c>
      <c r="AU36" s="26" t="str">
        <f>IF($C36="","",'Outturn ex VAT'!AU36*'Global Constants'!AN$59)</f>
        <v/>
      </c>
      <c r="AV36" s="26" t="str">
        <f>IF($C36="","",'Outturn ex VAT'!AV36*'Global Constants'!AO$59)</f>
        <v/>
      </c>
      <c r="AW36" s="26" t="str">
        <f>IF($C36="","",'Outturn ex VAT'!AW36*'Global Constants'!AP$59)</f>
        <v/>
      </c>
      <c r="AX36" s="26" t="str">
        <f>IF($C36="","",'Outturn ex VAT'!AX36*'Global Constants'!AQ$59)</f>
        <v/>
      </c>
      <c r="AY36" s="26" t="str">
        <f>IF($C36="","",'Outturn ex VAT'!AY36*'Global Constants'!AR$59)</f>
        <v/>
      </c>
      <c r="AZ36" s="26" t="str">
        <f>IF($C36="","",'Outturn ex VAT'!AZ36*'Global Constants'!AS$59)</f>
        <v/>
      </c>
      <c r="BA36" s="26" t="str">
        <f>IF($C36="","",'Outturn ex VAT'!BA36*'Global Constants'!AT$59)</f>
        <v/>
      </c>
      <c r="BB36" s="26" t="str">
        <f>IF($C36="","",'Outturn ex VAT'!BB36*'Global Constants'!AU$59)</f>
        <v/>
      </c>
      <c r="BC36" s="26" t="str">
        <f>IF($C36="","",'Outturn ex VAT'!BC36*'Global Constants'!AV$59)</f>
        <v/>
      </c>
      <c r="BD36" s="26" t="str">
        <f>IF($C36="","",'Outturn ex VAT'!BD36*'Global Constants'!AW$59)</f>
        <v/>
      </c>
      <c r="BE36" s="26" t="str">
        <f>IF($C36="","",'Outturn ex VAT'!BE36*'Global Constants'!AX$59)</f>
        <v/>
      </c>
      <c r="BF36" s="26" t="str">
        <f>IF($C36="","",'Outturn ex VAT'!BF36*'Global Constants'!AY$59)</f>
        <v/>
      </c>
      <c r="BG36" s="26" t="str">
        <f>IF($C36="","",'Outturn ex VAT'!BG36*'Global Constants'!AZ$59)</f>
        <v/>
      </c>
      <c r="BH36" s="26" t="str">
        <f>IF($C36="","",'Outturn ex VAT'!BH36*'Global Constants'!BA$59)</f>
        <v/>
      </c>
      <c r="BI36" s="26" t="str">
        <f>IF($C36="","",'Outturn ex VAT'!BI36*'Global Constants'!BB$59)</f>
        <v/>
      </c>
      <c r="BJ36" s="26" t="str">
        <f>IF($C36="","",'Outturn ex VAT'!BJ36*'Global Constants'!BC$59)</f>
        <v/>
      </c>
      <c r="BK36" s="26" t="str">
        <f>IF($C36="","",'Outturn ex VAT'!BK36*'Global Constants'!BD$59)</f>
        <v/>
      </c>
      <c r="BL36" s="26" t="str">
        <f>IF($C36="","",'Outturn ex VAT'!BL36*'Global Constants'!BE$59)</f>
        <v/>
      </c>
      <c r="BM36" s="26" t="str">
        <f>IF($C36="","",'Outturn ex VAT'!BM36*'Global Constants'!BF$59)</f>
        <v/>
      </c>
      <c r="BN36" s="26" t="str">
        <f>IF($C36="","",'Outturn ex VAT'!BN36*'Global Constants'!BG$59)</f>
        <v/>
      </c>
      <c r="BO36" s="26" t="str">
        <f>IF($C36="","",'Outturn ex VAT'!BO36*'Global Constants'!BH$59)</f>
        <v/>
      </c>
      <c r="BP36" s="26" t="str">
        <f>IF($C36="","",'Outturn ex VAT'!BP36*'Global Constants'!BI$59)</f>
        <v/>
      </c>
      <c r="BQ36" s="26" t="str">
        <f>IF($C36="","",'Outturn ex VAT'!BQ36*'Global Constants'!BJ$59)</f>
        <v/>
      </c>
      <c r="BR36" s="26" t="str">
        <f>IF($C36="","",'Outturn ex VAT'!BR36*'Global Constants'!BK$59)</f>
        <v/>
      </c>
      <c r="BS36" s="26" t="str">
        <f>IF($C36="","",'Outturn ex VAT'!BS36*'Global Constants'!BL$59)</f>
        <v/>
      </c>
      <c r="BT36" s="26" t="str">
        <f>IF($C36="","",'Outturn ex VAT'!BT36*'Global Constants'!BM$59)</f>
        <v/>
      </c>
      <c r="BU36" s="26" t="str">
        <f>IF($C36="","",'Outturn ex VAT'!BU36*'Global Constants'!BN$59)</f>
        <v/>
      </c>
      <c r="BV36" s="26" t="str">
        <f>IF($C36="","",'Outturn ex VAT'!BV36*'Global Constants'!BO$59)</f>
        <v/>
      </c>
      <c r="BW36" s="26" t="str">
        <f>IF($C36="","",'Outturn ex VAT'!BW36*'Global Constants'!BP$59)</f>
        <v/>
      </c>
      <c r="BX36" s="26" t="str">
        <f>IF($C36="","",'Outturn ex VAT'!BX36*'Global Constants'!BQ$59)</f>
        <v/>
      </c>
      <c r="BY36" s="26" t="str">
        <f>IF($C36="","",'Outturn ex VAT'!BY36*'Global Constants'!BR$59)</f>
        <v/>
      </c>
      <c r="BZ36" s="26" t="str">
        <f>IF($C36="","",'Outturn ex VAT'!BZ36*'Global Constants'!BS$59)</f>
        <v/>
      </c>
      <c r="CA36" s="26" t="str">
        <f>IF($C36="","",'Outturn ex VAT'!CA36*'Global Constants'!BT$59)</f>
        <v/>
      </c>
      <c r="CB36" s="26" t="str">
        <f>IF($C36="","",'Outturn ex VAT'!CB36*'Global Constants'!BU$59)</f>
        <v/>
      </c>
      <c r="CC36" s="26" t="str">
        <f>IF($C36="","",'Outturn ex VAT'!CC36*'Global Constants'!BV$59)</f>
        <v/>
      </c>
      <c r="CD36" s="26" t="str">
        <f>IF($C36="","",'Outturn ex VAT'!CD36*'Global Constants'!BW$59)</f>
        <v/>
      </c>
      <c r="CE36" s="26" t="str">
        <f>IF($C36="","",'Outturn ex VAT'!CE36*'Global Constants'!BX$59)</f>
        <v/>
      </c>
      <c r="CF36" s="26" t="str">
        <f>IF($C36="","",'Outturn ex VAT'!CF36*'Global Constants'!BY$59)</f>
        <v/>
      </c>
      <c r="CG36" s="26" t="str">
        <f>IF($C36="","",'Outturn ex VAT'!CG36*'Global Constants'!BZ$59)</f>
        <v/>
      </c>
      <c r="CH36" s="26" t="str">
        <f>IF($C36="","",'Outturn ex VAT'!CH36*'Global Constants'!CA$59)</f>
        <v/>
      </c>
      <c r="CI36" s="26" t="str">
        <f>IF($C36="","",'Outturn ex VAT'!CI36*'Global Constants'!CB$59)</f>
        <v/>
      </c>
      <c r="CJ36" s="26" t="str">
        <f>IF($C36="","",'Outturn ex VAT'!CJ36*'Global Constants'!CC$59)</f>
        <v/>
      </c>
      <c r="CK36" s="26" t="str">
        <f>IF($C36="","",'Outturn ex VAT'!CK36*'Global Constants'!CD$59)</f>
        <v/>
      </c>
      <c r="CL36" s="26" t="str">
        <f>IF($C36="","",'Outturn ex VAT'!CL36*'Global Constants'!CE$59)</f>
        <v/>
      </c>
      <c r="CM36" s="26" t="str">
        <f>IF($C36="","",'Outturn ex VAT'!CM36*'Global Constants'!CF$59)</f>
        <v/>
      </c>
      <c r="CN36" s="26" t="str">
        <f>IF($C36="","",'Outturn ex VAT'!CN36*'Global Constants'!CG$59)</f>
        <v/>
      </c>
      <c r="CO36" s="26" t="str">
        <f>IF($C36="","",'Outturn ex VAT'!CO36*'Global Constants'!CH$59)</f>
        <v/>
      </c>
      <c r="CP36" s="26" t="str">
        <f>IF($C36="","",'Outturn ex VAT'!CP36*'Global Constants'!CI$59)</f>
        <v/>
      </c>
      <c r="CQ36" s="26" t="str">
        <f>IF($C36="","",'Outturn ex VAT'!CQ36*'Global Constants'!CJ$59)</f>
        <v/>
      </c>
      <c r="CR36" s="26" t="str">
        <f>IF($C36="","",'Outturn ex VAT'!CR36*'Global Constants'!CK$59)</f>
        <v/>
      </c>
      <c r="CS36" s="26" t="str">
        <f>IF($C36="","",'Outturn ex VAT'!CS36*'Global Constants'!CL$59)</f>
        <v/>
      </c>
      <c r="CT36" s="26" t="str">
        <f>IF($C36="","",'Outturn ex VAT'!CT36*'Global Constants'!CM$59)</f>
        <v/>
      </c>
      <c r="CU36" s="26" t="str">
        <f>IF($C36="","",'Outturn ex VAT'!CU36*'Global Constants'!CN$59)</f>
        <v/>
      </c>
      <c r="CV36" s="26" t="str">
        <f>IF($C36="","",'Outturn ex VAT'!CV36*'Global Constants'!CO$59)</f>
        <v/>
      </c>
      <c r="CW36" s="26" t="str">
        <f>IF($C36="","",'Outturn ex VAT'!CW36*'Global Constants'!CP$59)</f>
        <v/>
      </c>
      <c r="CX36" s="26" t="str">
        <f>IF($C36="","",'Outturn ex VAT'!CX36*'Global Constants'!CQ$59)</f>
        <v/>
      </c>
      <c r="CZ36" s="26">
        <f t="shared" ca="1" si="0"/>
        <v>0</v>
      </c>
      <c r="DA36" s="26">
        <f t="shared" si="1"/>
        <v>0</v>
      </c>
    </row>
    <row r="37" spans="3:105" x14ac:dyDescent="0.3">
      <c r="C37" s="4" t="str">
        <f>IF('Cost &amp; Risk Inputs'!C38="","",'Cost &amp; Risk Inputs'!C38)</f>
        <v/>
      </c>
      <c r="D37" s="4" t="str">
        <f>IF(C37="","",'Cost &amp; Risk Inputs'!H38)</f>
        <v/>
      </c>
      <c r="E37" s="4" t="str">
        <f>IF(C37="","",'Cost &amp; Risk Inputs'!I38)</f>
        <v/>
      </c>
      <c r="M37" s="26" t="str">
        <f>IF($C37="","",'Outturn ex VAT'!M37*'Global Constants'!F$59)</f>
        <v/>
      </c>
      <c r="N37" s="26" t="str">
        <f>IF($C37="","",'Outturn ex VAT'!N37*'Global Constants'!G$59)</f>
        <v/>
      </c>
      <c r="O37" s="26" t="str">
        <f>IF($C37="","",'Outturn ex VAT'!O37*'Global Constants'!H$59)</f>
        <v/>
      </c>
      <c r="P37" s="26" t="str">
        <f>IF($C37="","",'Outturn ex VAT'!P37*'Global Constants'!I$59)</f>
        <v/>
      </c>
      <c r="Q37" s="26" t="str">
        <f>IF($C37="","",'Outturn ex VAT'!Q37*'Global Constants'!J$59)</f>
        <v/>
      </c>
      <c r="R37" s="26" t="str">
        <f>IF($C37="","",'Outturn ex VAT'!R37*'Global Constants'!K$59)</f>
        <v/>
      </c>
      <c r="S37" s="26" t="str">
        <f>IF($C37="","",'Outturn ex VAT'!S37*'Global Constants'!L$59)</f>
        <v/>
      </c>
      <c r="T37" s="26" t="str">
        <f>IF($C37="","",'Outturn ex VAT'!T37*'Global Constants'!M$59)</f>
        <v/>
      </c>
      <c r="U37" s="26" t="str">
        <f>IF($C37="","",'Outturn ex VAT'!U37*'Global Constants'!N$59)</f>
        <v/>
      </c>
      <c r="V37" s="26" t="str">
        <f>IF($C37="","",'Outturn ex VAT'!V37*'Global Constants'!O$59)</f>
        <v/>
      </c>
      <c r="W37" s="26" t="str">
        <f>IF($C37="","",'Outturn ex VAT'!W37*'Global Constants'!P$59)</f>
        <v/>
      </c>
      <c r="X37" s="26" t="str">
        <f>IF($C37="","",'Outturn ex VAT'!X37*'Global Constants'!Q$59)</f>
        <v/>
      </c>
      <c r="Y37" s="26" t="str">
        <f>IF($C37="","",'Outturn ex VAT'!Y37*'Global Constants'!R$59)</f>
        <v/>
      </c>
      <c r="Z37" s="26" t="str">
        <f>IF($C37="","",'Outturn ex VAT'!Z37*'Global Constants'!S$59)</f>
        <v/>
      </c>
      <c r="AA37" s="26" t="str">
        <f>IF($C37="","",'Outturn ex VAT'!AA37*'Global Constants'!T$59)</f>
        <v/>
      </c>
      <c r="AB37" s="26" t="str">
        <f>IF($C37="","",'Outturn ex VAT'!AB37*'Global Constants'!U$59)</f>
        <v/>
      </c>
      <c r="AC37" s="26" t="str">
        <f>IF($C37="","",'Outturn ex VAT'!AC37*'Global Constants'!V$59)</f>
        <v/>
      </c>
      <c r="AD37" s="26" t="str">
        <f>IF($C37="","",'Outturn ex VAT'!AD37*'Global Constants'!W$59)</f>
        <v/>
      </c>
      <c r="AE37" s="26" t="str">
        <f>IF($C37="","",'Outturn ex VAT'!AE37*'Global Constants'!X$59)</f>
        <v/>
      </c>
      <c r="AF37" s="26" t="str">
        <f>IF($C37="","",'Outturn ex VAT'!AF37*'Global Constants'!Y$59)</f>
        <v/>
      </c>
      <c r="AG37" s="26" t="str">
        <f>IF($C37="","",'Outturn ex VAT'!AG37*'Global Constants'!Z$59)</f>
        <v/>
      </c>
      <c r="AH37" s="26" t="str">
        <f>IF($C37="","",'Outturn ex VAT'!AH37*'Global Constants'!AA$59)</f>
        <v/>
      </c>
      <c r="AI37" s="26" t="str">
        <f>IF($C37="","",'Outturn ex VAT'!AI37*'Global Constants'!AB$59)</f>
        <v/>
      </c>
      <c r="AJ37" s="26" t="str">
        <f>IF($C37="","",'Outturn ex VAT'!AJ37*'Global Constants'!AC$59)</f>
        <v/>
      </c>
      <c r="AK37" s="26" t="str">
        <f>IF($C37="","",'Outturn ex VAT'!AK37*'Global Constants'!AD$59)</f>
        <v/>
      </c>
      <c r="AL37" s="26" t="str">
        <f>IF($C37="","",'Outturn ex VAT'!AL37*'Global Constants'!AE$59)</f>
        <v/>
      </c>
      <c r="AM37" s="26" t="str">
        <f>IF($C37="","",'Outturn ex VAT'!AM37*'Global Constants'!AF$59)</f>
        <v/>
      </c>
      <c r="AN37" s="26" t="str">
        <f>IF($C37="","",'Outturn ex VAT'!AN37*'Global Constants'!AG$59)</f>
        <v/>
      </c>
      <c r="AO37" s="26" t="str">
        <f>IF($C37="","",'Outturn ex VAT'!AO37*'Global Constants'!AH$59)</f>
        <v/>
      </c>
      <c r="AP37" s="26" t="str">
        <f>IF($C37="","",'Outturn ex VAT'!AP37*'Global Constants'!AI$59)</f>
        <v/>
      </c>
      <c r="AQ37" s="26" t="str">
        <f>IF($C37="","",'Outturn ex VAT'!AQ37*'Global Constants'!AJ$59)</f>
        <v/>
      </c>
      <c r="AR37" s="26" t="str">
        <f>IF($C37="","",'Outturn ex VAT'!AR37*'Global Constants'!AK$59)</f>
        <v/>
      </c>
      <c r="AS37" s="26" t="str">
        <f>IF($C37="","",'Outturn ex VAT'!AS37*'Global Constants'!AL$59)</f>
        <v/>
      </c>
      <c r="AT37" s="26" t="str">
        <f>IF($C37="","",'Outturn ex VAT'!AT37*'Global Constants'!AM$59)</f>
        <v/>
      </c>
      <c r="AU37" s="26" t="str">
        <f>IF($C37="","",'Outturn ex VAT'!AU37*'Global Constants'!AN$59)</f>
        <v/>
      </c>
      <c r="AV37" s="26" t="str">
        <f>IF($C37="","",'Outturn ex VAT'!AV37*'Global Constants'!AO$59)</f>
        <v/>
      </c>
      <c r="AW37" s="26" t="str">
        <f>IF($C37="","",'Outturn ex VAT'!AW37*'Global Constants'!AP$59)</f>
        <v/>
      </c>
      <c r="AX37" s="26" t="str">
        <f>IF($C37="","",'Outturn ex VAT'!AX37*'Global Constants'!AQ$59)</f>
        <v/>
      </c>
      <c r="AY37" s="26" t="str">
        <f>IF($C37="","",'Outturn ex VAT'!AY37*'Global Constants'!AR$59)</f>
        <v/>
      </c>
      <c r="AZ37" s="26" t="str">
        <f>IF($C37="","",'Outturn ex VAT'!AZ37*'Global Constants'!AS$59)</f>
        <v/>
      </c>
      <c r="BA37" s="26" t="str">
        <f>IF($C37="","",'Outturn ex VAT'!BA37*'Global Constants'!AT$59)</f>
        <v/>
      </c>
      <c r="BB37" s="26" t="str">
        <f>IF($C37="","",'Outturn ex VAT'!BB37*'Global Constants'!AU$59)</f>
        <v/>
      </c>
      <c r="BC37" s="26" t="str">
        <f>IF($C37="","",'Outturn ex VAT'!BC37*'Global Constants'!AV$59)</f>
        <v/>
      </c>
      <c r="BD37" s="26" t="str">
        <f>IF($C37="","",'Outturn ex VAT'!BD37*'Global Constants'!AW$59)</f>
        <v/>
      </c>
      <c r="BE37" s="26" t="str">
        <f>IF($C37="","",'Outturn ex VAT'!BE37*'Global Constants'!AX$59)</f>
        <v/>
      </c>
      <c r="BF37" s="26" t="str">
        <f>IF($C37="","",'Outturn ex VAT'!BF37*'Global Constants'!AY$59)</f>
        <v/>
      </c>
      <c r="BG37" s="26" t="str">
        <f>IF($C37="","",'Outturn ex VAT'!BG37*'Global Constants'!AZ$59)</f>
        <v/>
      </c>
      <c r="BH37" s="26" t="str">
        <f>IF($C37="","",'Outturn ex VAT'!BH37*'Global Constants'!BA$59)</f>
        <v/>
      </c>
      <c r="BI37" s="26" t="str">
        <f>IF($C37="","",'Outturn ex VAT'!BI37*'Global Constants'!BB$59)</f>
        <v/>
      </c>
      <c r="BJ37" s="26" t="str">
        <f>IF($C37="","",'Outturn ex VAT'!BJ37*'Global Constants'!BC$59)</f>
        <v/>
      </c>
      <c r="BK37" s="26" t="str">
        <f>IF($C37="","",'Outturn ex VAT'!BK37*'Global Constants'!BD$59)</f>
        <v/>
      </c>
      <c r="BL37" s="26" t="str">
        <f>IF($C37="","",'Outturn ex VAT'!BL37*'Global Constants'!BE$59)</f>
        <v/>
      </c>
      <c r="BM37" s="26" t="str">
        <f>IF($C37="","",'Outturn ex VAT'!BM37*'Global Constants'!BF$59)</f>
        <v/>
      </c>
      <c r="BN37" s="26" t="str">
        <f>IF($C37="","",'Outturn ex VAT'!BN37*'Global Constants'!BG$59)</f>
        <v/>
      </c>
      <c r="BO37" s="26" t="str">
        <f>IF($C37="","",'Outturn ex VAT'!BO37*'Global Constants'!BH$59)</f>
        <v/>
      </c>
      <c r="BP37" s="26" t="str">
        <f>IF($C37="","",'Outturn ex VAT'!BP37*'Global Constants'!BI$59)</f>
        <v/>
      </c>
      <c r="BQ37" s="26" t="str">
        <f>IF($C37="","",'Outturn ex VAT'!BQ37*'Global Constants'!BJ$59)</f>
        <v/>
      </c>
      <c r="BR37" s="26" t="str">
        <f>IF($C37="","",'Outturn ex VAT'!BR37*'Global Constants'!BK$59)</f>
        <v/>
      </c>
      <c r="BS37" s="26" t="str">
        <f>IF($C37="","",'Outturn ex VAT'!BS37*'Global Constants'!BL$59)</f>
        <v/>
      </c>
      <c r="BT37" s="26" t="str">
        <f>IF($C37="","",'Outturn ex VAT'!BT37*'Global Constants'!BM$59)</f>
        <v/>
      </c>
      <c r="BU37" s="26" t="str">
        <f>IF($C37="","",'Outturn ex VAT'!BU37*'Global Constants'!BN$59)</f>
        <v/>
      </c>
      <c r="BV37" s="26" t="str">
        <f>IF($C37="","",'Outturn ex VAT'!BV37*'Global Constants'!BO$59)</f>
        <v/>
      </c>
      <c r="BW37" s="26" t="str">
        <f>IF($C37="","",'Outturn ex VAT'!BW37*'Global Constants'!BP$59)</f>
        <v/>
      </c>
      <c r="BX37" s="26" t="str">
        <f>IF($C37="","",'Outturn ex VAT'!BX37*'Global Constants'!BQ$59)</f>
        <v/>
      </c>
      <c r="BY37" s="26" t="str">
        <f>IF($C37="","",'Outturn ex VAT'!BY37*'Global Constants'!BR$59)</f>
        <v/>
      </c>
      <c r="BZ37" s="26" t="str">
        <f>IF($C37="","",'Outturn ex VAT'!BZ37*'Global Constants'!BS$59)</f>
        <v/>
      </c>
      <c r="CA37" s="26" t="str">
        <f>IF($C37="","",'Outturn ex VAT'!CA37*'Global Constants'!BT$59)</f>
        <v/>
      </c>
      <c r="CB37" s="26" t="str">
        <f>IF($C37="","",'Outturn ex VAT'!CB37*'Global Constants'!BU$59)</f>
        <v/>
      </c>
      <c r="CC37" s="26" t="str">
        <f>IF($C37="","",'Outturn ex VAT'!CC37*'Global Constants'!BV$59)</f>
        <v/>
      </c>
      <c r="CD37" s="26" t="str">
        <f>IF($C37="","",'Outturn ex VAT'!CD37*'Global Constants'!BW$59)</f>
        <v/>
      </c>
      <c r="CE37" s="26" t="str">
        <f>IF($C37="","",'Outturn ex VAT'!CE37*'Global Constants'!BX$59)</f>
        <v/>
      </c>
      <c r="CF37" s="26" t="str">
        <f>IF($C37="","",'Outturn ex VAT'!CF37*'Global Constants'!BY$59)</f>
        <v/>
      </c>
      <c r="CG37" s="26" t="str">
        <f>IF($C37="","",'Outturn ex VAT'!CG37*'Global Constants'!BZ$59)</f>
        <v/>
      </c>
      <c r="CH37" s="26" t="str">
        <f>IF($C37="","",'Outturn ex VAT'!CH37*'Global Constants'!CA$59)</f>
        <v/>
      </c>
      <c r="CI37" s="26" t="str">
        <f>IF($C37="","",'Outturn ex VAT'!CI37*'Global Constants'!CB$59)</f>
        <v/>
      </c>
      <c r="CJ37" s="26" t="str">
        <f>IF($C37="","",'Outturn ex VAT'!CJ37*'Global Constants'!CC$59)</f>
        <v/>
      </c>
      <c r="CK37" s="26" t="str">
        <f>IF($C37="","",'Outturn ex VAT'!CK37*'Global Constants'!CD$59)</f>
        <v/>
      </c>
      <c r="CL37" s="26" t="str">
        <f>IF($C37="","",'Outturn ex VAT'!CL37*'Global Constants'!CE$59)</f>
        <v/>
      </c>
      <c r="CM37" s="26" t="str">
        <f>IF($C37="","",'Outturn ex VAT'!CM37*'Global Constants'!CF$59)</f>
        <v/>
      </c>
      <c r="CN37" s="26" t="str">
        <f>IF($C37="","",'Outturn ex VAT'!CN37*'Global Constants'!CG$59)</f>
        <v/>
      </c>
      <c r="CO37" s="26" t="str">
        <f>IF($C37="","",'Outturn ex VAT'!CO37*'Global Constants'!CH$59)</f>
        <v/>
      </c>
      <c r="CP37" s="26" t="str">
        <f>IF($C37="","",'Outturn ex VAT'!CP37*'Global Constants'!CI$59)</f>
        <v/>
      </c>
      <c r="CQ37" s="26" t="str">
        <f>IF($C37="","",'Outturn ex VAT'!CQ37*'Global Constants'!CJ$59)</f>
        <v/>
      </c>
      <c r="CR37" s="26" t="str">
        <f>IF($C37="","",'Outturn ex VAT'!CR37*'Global Constants'!CK$59)</f>
        <v/>
      </c>
      <c r="CS37" s="26" t="str">
        <f>IF($C37="","",'Outturn ex VAT'!CS37*'Global Constants'!CL$59)</f>
        <v/>
      </c>
      <c r="CT37" s="26" t="str">
        <f>IF($C37="","",'Outturn ex VAT'!CT37*'Global Constants'!CM$59)</f>
        <v/>
      </c>
      <c r="CU37" s="26" t="str">
        <f>IF($C37="","",'Outturn ex VAT'!CU37*'Global Constants'!CN$59)</f>
        <v/>
      </c>
      <c r="CV37" s="26" t="str">
        <f>IF($C37="","",'Outturn ex VAT'!CV37*'Global Constants'!CO$59)</f>
        <v/>
      </c>
      <c r="CW37" s="26" t="str">
        <f>IF($C37="","",'Outturn ex VAT'!CW37*'Global Constants'!CP$59)</f>
        <v/>
      </c>
      <c r="CX37" s="26" t="str">
        <f>IF($C37="","",'Outturn ex VAT'!CX37*'Global Constants'!CQ$59)</f>
        <v/>
      </c>
      <c r="CZ37" s="26">
        <f t="shared" ca="1" si="0"/>
        <v>0</v>
      </c>
      <c r="DA37" s="26">
        <f t="shared" si="1"/>
        <v>0</v>
      </c>
    </row>
    <row r="38" spans="3:105" x14ac:dyDescent="0.3">
      <c r="C38" s="4" t="str">
        <f>IF('Cost &amp; Risk Inputs'!C39="","",'Cost &amp; Risk Inputs'!C39)</f>
        <v/>
      </c>
      <c r="D38" s="4" t="str">
        <f>IF(C38="","",'Cost &amp; Risk Inputs'!H39)</f>
        <v/>
      </c>
      <c r="E38" s="4" t="str">
        <f>IF(C38="","",'Cost &amp; Risk Inputs'!I39)</f>
        <v/>
      </c>
      <c r="M38" s="26" t="str">
        <f>IF($C38="","",'Outturn ex VAT'!M38*'Global Constants'!F$59)</f>
        <v/>
      </c>
      <c r="N38" s="26" t="str">
        <f>IF($C38="","",'Outturn ex VAT'!N38*'Global Constants'!G$59)</f>
        <v/>
      </c>
      <c r="O38" s="26" t="str">
        <f>IF($C38="","",'Outturn ex VAT'!O38*'Global Constants'!H$59)</f>
        <v/>
      </c>
      <c r="P38" s="26" t="str">
        <f>IF($C38="","",'Outturn ex VAT'!P38*'Global Constants'!I$59)</f>
        <v/>
      </c>
      <c r="Q38" s="26" t="str">
        <f>IF($C38="","",'Outturn ex VAT'!Q38*'Global Constants'!J$59)</f>
        <v/>
      </c>
      <c r="R38" s="26" t="str">
        <f>IF($C38="","",'Outturn ex VAT'!R38*'Global Constants'!K$59)</f>
        <v/>
      </c>
      <c r="S38" s="26" t="str">
        <f>IF($C38="","",'Outturn ex VAT'!S38*'Global Constants'!L$59)</f>
        <v/>
      </c>
      <c r="T38" s="26" t="str">
        <f>IF($C38="","",'Outturn ex VAT'!T38*'Global Constants'!M$59)</f>
        <v/>
      </c>
      <c r="U38" s="26" t="str">
        <f>IF($C38="","",'Outturn ex VAT'!U38*'Global Constants'!N$59)</f>
        <v/>
      </c>
      <c r="V38" s="26" t="str">
        <f>IF($C38="","",'Outturn ex VAT'!V38*'Global Constants'!O$59)</f>
        <v/>
      </c>
      <c r="W38" s="26" t="str">
        <f>IF($C38="","",'Outturn ex VAT'!W38*'Global Constants'!P$59)</f>
        <v/>
      </c>
      <c r="X38" s="26" t="str">
        <f>IF($C38="","",'Outturn ex VAT'!X38*'Global Constants'!Q$59)</f>
        <v/>
      </c>
      <c r="Y38" s="26" t="str">
        <f>IF($C38="","",'Outturn ex VAT'!Y38*'Global Constants'!R$59)</f>
        <v/>
      </c>
      <c r="Z38" s="26" t="str">
        <f>IF($C38="","",'Outturn ex VAT'!Z38*'Global Constants'!S$59)</f>
        <v/>
      </c>
      <c r="AA38" s="26" t="str">
        <f>IF($C38="","",'Outturn ex VAT'!AA38*'Global Constants'!T$59)</f>
        <v/>
      </c>
      <c r="AB38" s="26" t="str">
        <f>IF($C38="","",'Outturn ex VAT'!AB38*'Global Constants'!U$59)</f>
        <v/>
      </c>
      <c r="AC38" s="26" t="str">
        <f>IF($C38="","",'Outturn ex VAT'!AC38*'Global Constants'!V$59)</f>
        <v/>
      </c>
      <c r="AD38" s="26" t="str">
        <f>IF($C38="","",'Outturn ex VAT'!AD38*'Global Constants'!W$59)</f>
        <v/>
      </c>
      <c r="AE38" s="26" t="str">
        <f>IF($C38="","",'Outturn ex VAT'!AE38*'Global Constants'!X$59)</f>
        <v/>
      </c>
      <c r="AF38" s="26" t="str">
        <f>IF($C38="","",'Outturn ex VAT'!AF38*'Global Constants'!Y$59)</f>
        <v/>
      </c>
      <c r="AG38" s="26" t="str">
        <f>IF($C38="","",'Outturn ex VAT'!AG38*'Global Constants'!Z$59)</f>
        <v/>
      </c>
      <c r="AH38" s="26" t="str">
        <f>IF($C38="","",'Outturn ex VAT'!AH38*'Global Constants'!AA$59)</f>
        <v/>
      </c>
      <c r="AI38" s="26" t="str">
        <f>IF($C38="","",'Outturn ex VAT'!AI38*'Global Constants'!AB$59)</f>
        <v/>
      </c>
      <c r="AJ38" s="26" t="str">
        <f>IF($C38="","",'Outturn ex VAT'!AJ38*'Global Constants'!AC$59)</f>
        <v/>
      </c>
      <c r="AK38" s="26" t="str">
        <f>IF($C38="","",'Outturn ex VAT'!AK38*'Global Constants'!AD$59)</f>
        <v/>
      </c>
      <c r="AL38" s="26" t="str">
        <f>IF($C38="","",'Outturn ex VAT'!AL38*'Global Constants'!AE$59)</f>
        <v/>
      </c>
      <c r="AM38" s="26" t="str">
        <f>IF($C38="","",'Outturn ex VAT'!AM38*'Global Constants'!AF$59)</f>
        <v/>
      </c>
      <c r="AN38" s="26" t="str">
        <f>IF($C38="","",'Outturn ex VAT'!AN38*'Global Constants'!AG$59)</f>
        <v/>
      </c>
      <c r="AO38" s="26" t="str">
        <f>IF($C38="","",'Outturn ex VAT'!AO38*'Global Constants'!AH$59)</f>
        <v/>
      </c>
      <c r="AP38" s="26" t="str">
        <f>IF($C38="","",'Outturn ex VAT'!AP38*'Global Constants'!AI$59)</f>
        <v/>
      </c>
      <c r="AQ38" s="26" t="str">
        <f>IF($C38="","",'Outturn ex VAT'!AQ38*'Global Constants'!AJ$59)</f>
        <v/>
      </c>
      <c r="AR38" s="26" t="str">
        <f>IF($C38="","",'Outturn ex VAT'!AR38*'Global Constants'!AK$59)</f>
        <v/>
      </c>
      <c r="AS38" s="26" t="str">
        <f>IF($C38="","",'Outturn ex VAT'!AS38*'Global Constants'!AL$59)</f>
        <v/>
      </c>
      <c r="AT38" s="26" t="str">
        <f>IF($C38="","",'Outturn ex VAT'!AT38*'Global Constants'!AM$59)</f>
        <v/>
      </c>
      <c r="AU38" s="26" t="str">
        <f>IF($C38="","",'Outturn ex VAT'!AU38*'Global Constants'!AN$59)</f>
        <v/>
      </c>
      <c r="AV38" s="26" t="str">
        <f>IF($C38="","",'Outturn ex VAT'!AV38*'Global Constants'!AO$59)</f>
        <v/>
      </c>
      <c r="AW38" s="26" t="str">
        <f>IF($C38="","",'Outturn ex VAT'!AW38*'Global Constants'!AP$59)</f>
        <v/>
      </c>
      <c r="AX38" s="26" t="str">
        <f>IF($C38="","",'Outturn ex VAT'!AX38*'Global Constants'!AQ$59)</f>
        <v/>
      </c>
      <c r="AY38" s="26" t="str">
        <f>IF($C38="","",'Outturn ex VAT'!AY38*'Global Constants'!AR$59)</f>
        <v/>
      </c>
      <c r="AZ38" s="26" t="str">
        <f>IF($C38="","",'Outturn ex VAT'!AZ38*'Global Constants'!AS$59)</f>
        <v/>
      </c>
      <c r="BA38" s="26" t="str">
        <f>IF($C38="","",'Outturn ex VAT'!BA38*'Global Constants'!AT$59)</f>
        <v/>
      </c>
      <c r="BB38" s="26" t="str">
        <f>IF($C38="","",'Outturn ex VAT'!BB38*'Global Constants'!AU$59)</f>
        <v/>
      </c>
      <c r="BC38" s="26" t="str">
        <f>IF($C38="","",'Outturn ex VAT'!BC38*'Global Constants'!AV$59)</f>
        <v/>
      </c>
      <c r="BD38" s="26" t="str">
        <f>IF($C38="","",'Outturn ex VAT'!BD38*'Global Constants'!AW$59)</f>
        <v/>
      </c>
      <c r="BE38" s="26" t="str">
        <f>IF($C38="","",'Outturn ex VAT'!BE38*'Global Constants'!AX$59)</f>
        <v/>
      </c>
      <c r="BF38" s="26" t="str">
        <f>IF($C38="","",'Outturn ex VAT'!BF38*'Global Constants'!AY$59)</f>
        <v/>
      </c>
      <c r="BG38" s="26" t="str">
        <f>IF($C38="","",'Outturn ex VAT'!BG38*'Global Constants'!AZ$59)</f>
        <v/>
      </c>
      <c r="BH38" s="26" t="str">
        <f>IF($C38="","",'Outturn ex VAT'!BH38*'Global Constants'!BA$59)</f>
        <v/>
      </c>
      <c r="BI38" s="26" t="str">
        <f>IF($C38="","",'Outturn ex VAT'!BI38*'Global Constants'!BB$59)</f>
        <v/>
      </c>
      <c r="BJ38" s="26" t="str">
        <f>IF($C38="","",'Outturn ex VAT'!BJ38*'Global Constants'!BC$59)</f>
        <v/>
      </c>
      <c r="BK38" s="26" t="str">
        <f>IF($C38="","",'Outturn ex VAT'!BK38*'Global Constants'!BD$59)</f>
        <v/>
      </c>
      <c r="BL38" s="26" t="str">
        <f>IF($C38="","",'Outturn ex VAT'!BL38*'Global Constants'!BE$59)</f>
        <v/>
      </c>
      <c r="BM38" s="26" t="str">
        <f>IF($C38="","",'Outturn ex VAT'!BM38*'Global Constants'!BF$59)</f>
        <v/>
      </c>
      <c r="BN38" s="26" t="str">
        <f>IF($C38="","",'Outturn ex VAT'!BN38*'Global Constants'!BG$59)</f>
        <v/>
      </c>
      <c r="BO38" s="26" t="str">
        <f>IF($C38="","",'Outturn ex VAT'!BO38*'Global Constants'!BH$59)</f>
        <v/>
      </c>
      <c r="BP38" s="26" t="str">
        <f>IF($C38="","",'Outturn ex VAT'!BP38*'Global Constants'!BI$59)</f>
        <v/>
      </c>
      <c r="BQ38" s="26" t="str">
        <f>IF($C38="","",'Outturn ex VAT'!BQ38*'Global Constants'!BJ$59)</f>
        <v/>
      </c>
      <c r="BR38" s="26" t="str">
        <f>IF($C38="","",'Outturn ex VAT'!BR38*'Global Constants'!BK$59)</f>
        <v/>
      </c>
      <c r="BS38" s="26" t="str">
        <f>IF($C38="","",'Outturn ex VAT'!BS38*'Global Constants'!BL$59)</f>
        <v/>
      </c>
      <c r="BT38" s="26" t="str">
        <f>IF($C38="","",'Outturn ex VAT'!BT38*'Global Constants'!BM$59)</f>
        <v/>
      </c>
      <c r="BU38" s="26" t="str">
        <f>IF($C38="","",'Outturn ex VAT'!BU38*'Global Constants'!BN$59)</f>
        <v/>
      </c>
      <c r="BV38" s="26" t="str">
        <f>IF($C38="","",'Outturn ex VAT'!BV38*'Global Constants'!BO$59)</f>
        <v/>
      </c>
      <c r="BW38" s="26" t="str">
        <f>IF($C38="","",'Outturn ex VAT'!BW38*'Global Constants'!BP$59)</f>
        <v/>
      </c>
      <c r="BX38" s="26" t="str">
        <f>IF($C38="","",'Outturn ex VAT'!BX38*'Global Constants'!BQ$59)</f>
        <v/>
      </c>
      <c r="BY38" s="26" t="str">
        <f>IF($C38="","",'Outturn ex VAT'!BY38*'Global Constants'!BR$59)</f>
        <v/>
      </c>
      <c r="BZ38" s="26" t="str">
        <f>IF($C38="","",'Outturn ex VAT'!BZ38*'Global Constants'!BS$59)</f>
        <v/>
      </c>
      <c r="CA38" s="26" t="str">
        <f>IF($C38="","",'Outturn ex VAT'!CA38*'Global Constants'!BT$59)</f>
        <v/>
      </c>
      <c r="CB38" s="26" t="str">
        <f>IF($C38="","",'Outturn ex VAT'!CB38*'Global Constants'!BU$59)</f>
        <v/>
      </c>
      <c r="CC38" s="26" t="str">
        <f>IF($C38="","",'Outturn ex VAT'!CC38*'Global Constants'!BV$59)</f>
        <v/>
      </c>
      <c r="CD38" s="26" t="str">
        <f>IF($C38="","",'Outturn ex VAT'!CD38*'Global Constants'!BW$59)</f>
        <v/>
      </c>
      <c r="CE38" s="26" t="str">
        <f>IF($C38="","",'Outturn ex VAT'!CE38*'Global Constants'!BX$59)</f>
        <v/>
      </c>
      <c r="CF38" s="26" t="str">
        <f>IF($C38="","",'Outturn ex VAT'!CF38*'Global Constants'!BY$59)</f>
        <v/>
      </c>
      <c r="CG38" s="26" t="str">
        <f>IF($C38="","",'Outturn ex VAT'!CG38*'Global Constants'!BZ$59)</f>
        <v/>
      </c>
      <c r="CH38" s="26" t="str">
        <f>IF($C38="","",'Outturn ex VAT'!CH38*'Global Constants'!CA$59)</f>
        <v/>
      </c>
      <c r="CI38" s="26" t="str">
        <f>IF($C38="","",'Outturn ex VAT'!CI38*'Global Constants'!CB$59)</f>
        <v/>
      </c>
      <c r="CJ38" s="26" t="str">
        <f>IF($C38="","",'Outturn ex VAT'!CJ38*'Global Constants'!CC$59)</f>
        <v/>
      </c>
      <c r="CK38" s="26" t="str">
        <f>IF($C38="","",'Outturn ex VAT'!CK38*'Global Constants'!CD$59)</f>
        <v/>
      </c>
      <c r="CL38" s="26" t="str">
        <f>IF($C38="","",'Outturn ex VAT'!CL38*'Global Constants'!CE$59)</f>
        <v/>
      </c>
      <c r="CM38" s="26" t="str">
        <f>IF($C38="","",'Outturn ex VAT'!CM38*'Global Constants'!CF$59)</f>
        <v/>
      </c>
      <c r="CN38" s="26" t="str">
        <f>IF($C38="","",'Outturn ex VAT'!CN38*'Global Constants'!CG$59)</f>
        <v/>
      </c>
      <c r="CO38" s="26" t="str">
        <f>IF($C38="","",'Outturn ex VAT'!CO38*'Global Constants'!CH$59)</f>
        <v/>
      </c>
      <c r="CP38" s="26" t="str">
        <f>IF($C38="","",'Outturn ex VAT'!CP38*'Global Constants'!CI$59)</f>
        <v/>
      </c>
      <c r="CQ38" s="26" t="str">
        <f>IF($C38="","",'Outturn ex VAT'!CQ38*'Global Constants'!CJ$59)</f>
        <v/>
      </c>
      <c r="CR38" s="26" t="str">
        <f>IF($C38="","",'Outturn ex VAT'!CR38*'Global Constants'!CK$59)</f>
        <v/>
      </c>
      <c r="CS38" s="26" t="str">
        <f>IF($C38="","",'Outturn ex VAT'!CS38*'Global Constants'!CL$59)</f>
        <v/>
      </c>
      <c r="CT38" s="26" t="str">
        <f>IF($C38="","",'Outturn ex VAT'!CT38*'Global Constants'!CM$59)</f>
        <v/>
      </c>
      <c r="CU38" s="26" t="str">
        <f>IF($C38="","",'Outturn ex VAT'!CU38*'Global Constants'!CN$59)</f>
        <v/>
      </c>
      <c r="CV38" s="26" t="str">
        <f>IF($C38="","",'Outturn ex VAT'!CV38*'Global Constants'!CO$59)</f>
        <v/>
      </c>
      <c r="CW38" s="26" t="str">
        <f>IF($C38="","",'Outturn ex VAT'!CW38*'Global Constants'!CP$59)</f>
        <v/>
      </c>
      <c r="CX38" s="26" t="str">
        <f>IF($C38="","",'Outturn ex VAT'!CX38*'Global Constants'!CQ$59)</f>
        <v/>
      </c>
      <c r="CZ38" s="26">
        <f t="shared" ca="1" si="0"/>
        <v>0</v>
      </c>
      <c r="DA38" s="26">
        <f t="shared" si="1"/>
        <v>0</v>
      </c>
    </row>
  </sheetData>
  <conditionalFormatting sqref="A1">
    <cfRule type="cellIs" dxfId="7" priority="2" operator="equal">
      <formula>1</formula>
    </cfRule>
  </conditionalFormatting>
  <conditionalFormatting sqref="D1">
    <cfRule type="cellIs" dxfId="6" priority="1" operator="equal">
      <formula>"Error"</formula>
    </cfRule>
  </conditionalFormatting>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79998168889431442"/>
  </sheetPr>
  <dimension ref="A1:CO36"/>
  <sheetViews>
    <sheetView showGridLines="0" workbookViewId="0"/>
  </sheetViews>
  <sheetFormatPr defaultRowHeight="14.4" x14ac:dyDescent="0.3"/>
  <cols>
    <col min="1" max="1" width="2.77734375" customWidth="1"/>
    <col min="2" max="2" width="13.77734375" bestFit="1" customWidth="1"/>
    <col min="3" max="3" width="16.33203125" bestFit="1" customWidth="1"/>
    <col min="4" max="4" width="11.88671875" bestFit="1" customWidth="1"/>
    <col min="5" max="5" width="13.44140625" bestFit="1" customWidth="1"/>
    <col min="6" max="6" width="11.88671875" bestFit="1" customWidth="1"/>
    <col min="8" max="8" width="11.5546875" bestFit="1" customWidth="1"/>
    <col min="10" max="11" width="11.5546875" bestFit="1" customWidth="1"/>
    <col min="13" max="13" width="11.5546875" bestFit="1" customWidth="1"/>
    <col min="17" max="17" width="11.5546875" bestFit="1" customWidth="1"/>
  </cols>
  <sheetData>
    <row r="1" spans="1:6" x14ac:dyDescent="0.3">
      <c r="A1" s="33">
        <f ca="1">IF(ISERROR(SUM(C3:CO36)),1,0)</f>
        <v>0</v>
      </c>
      <c r="C1" t="s">
        <v>79</v>
      </c>
      <c r="D1" s="33" t="str">
        <f ca="1">Model_Health</f>
        <v>OK</v>
      </c>
    </row>
    <row r="3" spans="1:6" ht="18" x14ac:dyDescent="0.35">
      <c r="C3" s="2" t="s">
        <v>110</v>
      </c>
    </row>
    <row r="4" spans="1:6" x14ac:dyDescent="0.3">
      <c r="C4" s="65" t="s">
        <v>171</v>
      </c>
    </row>
    <row r="6" spans="1:6" x14ac:dyDescent="0.3">
      <c r="D6" s="11" t="s">
        <v>61</v>
      </c>
      <c r="E6" s="11" t="s">
        <v>62</v>
      </c>
      <c r="F6" s="11" t="s">
        <v>53</v>
      </c>
    </row>
    <row r="7" spans="1:6" x14ac:dyDescent="0.3">
      <c r="C7" s="6" t="str">
        <f>Lookups!C5</f>
        <v>Concept</v>
      </c>
      <c r="D7" s="52">
        <f ca="1">SUMIF('Constant Ecs GBP'!$D$9:$D$38,$C7,'Constant Ecs GBP'!$DA$9:$DA$38)</f>
        <v>11614.818029994658</v>
      </c>
      <c r="E7" s="26">
        <f ca="1">SUMIF('Outturn incl. VAT'!$D$9:$D$38,$C7,'Outturn incl. VAT'!$DA$9:$DA$38)</f>
        <v>13937.78163599359</v>
      </c>
      <c r="F7" s="26">
        <f ca="1">SUMIF(NPV!$D$9:$D$38,$C7,NPV!$DA$9:$DA$38)</f>
        <v>4052.3980180685767</v>
      </c>
    </row>
    <row r="8" spans="1:6" x14ac:dyDescent="0.3">
      <c r="C8" s="6" t="str">
        <f>Lookups!C6</f>
        <v>Assessment</v>
      </c>
      <c r="D8" s="52">
        <f ca="1">SUMIF('Constant Ecs GBP'!$D$9:$D$38,$C8,'Constant Ecs GBP'!$DA$9:$DA$38)</f>
        <v>52299.242263326589</v>
      </c>
      <c r="E8" s="26">
        <f ca="1">SUMIF('Outturn incl. VAT'!$D$9:$D$38,$C8,'Outturn incl. VAT'!$DA$9:$DA$38)</f>
        <v>62759.090715991901</v>
      </c>
      <c r="F8" s="26">
        <f ca="1">SUMIF(NPV!$D$9:$D$38,$C8,NPV!$DA$9:$DA$38)</f>
        <v>18000.348908235585</v>
      </c>
    </row>
    <row r="9" spans="1:6" x14ac:dyDescent="0.3">
      <c r="C9" s="6" t="str">
        <f>Lookups!C7</f>
        <v>Design</v>
      </c>
      <c r="D9" s="26">
        <f ca="1">SUMIF('Constant Ecs GBP'!$D$9:$D$38,$C9,'Constant Ecs GBP'!$DA$9:$DA$38)</f>
        <v>62763.647518764665</v>
      </c>
      <c r="E9" s="26">
        <f ca="1">SUMIF('Outturn incl. VAT'!$D$9:$D$38,$C9,'Outturn incl. VAT'!$DA$9:$DA$38)</f>
        <v>75316.377022517598</v>
      </c>
      <c r="F9" s="26">
        <f ca="1">SUMIF(NPV!$D$9:$D$38,$C9,NPV!$DA$9:$DA$38)</f>
        <v>21554.116957004368</v>
      </c>
    </row>
    <row r="10" spans="1:6" x14ac:dyDescent="0.3">
      <c r="C10" s="6" t="str">
        <f>Lookups!C8</f>
        <v>Manufacture</v>
      </c>
      <c r="D10" s="26">
        <f ca="1">SUMIF('Constant Ecs GBP'!$D$9:$D$38,$C10,'Constant Ecs GBP'!$DA$9:$DA$38)</f>
        <v>2000</v>
      </c>
      <c r="E10" s="26">
        <f ca="1">SUMIF('Outturn incl. VAT'!$D$9:$D$38,$C10,'Outturn incl. VAT'!$DA$9:$DA$38)</f>
        <v>2400</v>
      </c>
      <c r="F10" s="26">
        <f ca="1">SUMIF(NPV!$D$9:$D$38,$C10,NPV!$DA$9:$DA$38)</f>
        <v>646.64235712639027</v>
      </c>
    </row>
    <row r="11" spans="1:6" x14ac:dyDescent="0.3">
      <c r="C11" s="6" t="str">
        <f>Lookups!C9</f>
        <v>In-Service</v>
      </c>
      <c r="D11" s="26">
        <f ca="1">SUMIF('Constant Ecs GBP'!$D$9:$D$38,$C11,'Constant Ecs GBP'!$DA$9:$DA$38)</f>
        <v>1489.5801483092866</v>
      </c>
      <c r="E11" s="26">
        <f ca="1">SUMIF('Outturn incl. VAT'!$D$9:$D$38,$C11,'Outturn incl. VAT'!$DA$9:$DA$38)</f>
        <v>1787.4961779711439</v>
      </c>
      <c r="F11" s="26">
        <f ca="1">SUMIF(NPV!$D$9:$D$38,$C11,NPV!$DA$9:$DA$38)</f>
        <v>454.86450207138961</v>
      </c>
    </row>
    <row r="13" spans="1:6" x14ac:dyDescent="0.3">
      <c r="C13" s="6" t="s">
        <v>65</v>
      </c>
      <c r="D13" s="31">
        <f ca="1">SUM(D7:D11)</f>
        <v>130167.2879603952</v>
      </c>
      <c r="E13" s="31">
        <f ca="1">SUM(E7:E11)</f>
        <v>156200.74555247423</v>
      </c>
      <c r="F13" s="31">
        <f ca="1">SUM(F7:F11)</f>
        <v>44708.370742506304</v>
      </c>
    </row>
    <row r="15" spans="1:6" ht="18" x14ac:dyDescent="0.35">
      <c r="C15" s="2" t="s">
        <v>102</v>
      </c>
    </row>
    <row r="17" spans="3:93" x14ac:dyDescent="0.3">
      <c r="D17" s="11" t="s">
        <v>61</v>
      </c>
      <c r="E17" s="11" t="s">
        <v>62</v>
      </c>
      <c r="F17" s="11" t="s">
        <v>53</v>
      </c>
    </row>
    <row r="18" spans="3:93" x14ac:dyDescent="0.3">
      <c r="C18" s="6" t="str">
        <f>Lookups!G5</f>
        <v>Training</v>
      </c>
      <c r="D18" s="26">
        <f ca="1">SUMIF('Constant Ecs GBP'!$E$9:$E$38,$C18,'Constant Ecs GBP'!$DA$9:$DA$38)</f>
        <v>62332.214687555825</v>
      </c>
      <c r="E18" s="26">
        <f ca="1">SUMIF('Outturn incl. VAT'!$E$9:$E$38,$C18,'Outturn incl. VAT'!$DA$9:$DA$38)</f>
        <v>74798.65762506699</v>
      </c>
      <c r="F18" s="26">
        <f ca="1">SUMIF(NPV!$E$9:$E$38,$C18,NPV!$DA$9:$DA$38)</f>
        <v>21471.433178654323</v>
      </c>
    </row>
    <row r="19" spans="3:93" x14ac:dyDescent="0.3">
      <c r="C19" s="6" t="str">
        <f>Lookups!G6</f>
        <v>Equipment</v>
      </c>
      <c r="D19" s="26">
        <f ca="1">SUMIF('Constant Ecs GBP'!$E$9:$E$38,$C19,'Constant Ecs GBP'!$DA$9:$DA$38)</f>
        <v>2000</v>
      </c>
      <c r="E19" s="26">
        <f ca="1">SUMIF('Outturn incl. VAT'!$E$9:$E$38,$C19,'Outturn incl. VAT'!$DA$9:$DA$38)</f>
        <v>2400</v>
      </c>
      <c r="F19" s="26">
        <f ca="1">SUMIF('Constant Ecs GBP'!$E$9:$E$38,$C19,NPV!$DA$9:$DA$38)</f>
        <v>724.93007214111981</v>
      </c>
    </row>
    <row r="20" spans="3:93" x14ac:dyDescent="0.3">
      <c r="C20" s="6" t="str">
        <f>Lookups!G7</f>
        <v>Personnel</v>
      </c>
      <c r="D20" s="26">
        <f ca="1">SUMIF('Constant Ecs GBP'!$E$9:$E$38,$C20,'Constant Ecs GBP'!$DA$9:$DA$38)</f>
        <v>2000</v>
      </c>
      <c r="E20" s="26">
        <f ca="1">SUMIF('Outturn incl. VAT'!$E$9:$E$38,$C20,'Outturn incl. VAT'!$DA$9:$DA$38)</f>
        <v>2400</v>
      </c>
      <c r="F20" s="26">
        <f ca="1">SUMIF('Constant Ecs GBP'!$E$9:$E$38,$C20,NPV!$DA$9:$DA$38)</f>
        <v>684.66816093720752</v>
      </c>
    </row>
    <row r="21" spans="3:93" x14ac:dyDescent="0.3">
      <c r="C21" s="6" t="str">
        <f>Lookups!G8</f>
        <v>Information</v>
      </c>
      <c r="D21" s="26">
        <f ca="1">SUMIF('Constant Ecs GBP'!$E$9:$E$38,$C21,'Constant Ecs GBP'!$DA$9:$DA$38)</f>
        <v>2000</v>
      </c>
      <c r="E21" s="26">
        <f ca="1">SUMIF('Outturn incl. VAT'!$E$9:$E$38,$C21,'Outturn incl. VAT'!$DA$9:$DA$38)</f>
        <v>2400</v>
      </c>
      <c r="F21" s="26">
        <f ca="1">SUMIF('Constant Ecs GBP'!$E$9:$E$38,$C21,NPV!$DA$9:$DA$38)</f>
        <v>646.64235712639027</v>
      </c>
    </row>
    <row r="22" spans="3:93" x14ac:dyDescent="0.3">
      <c r="C22" s="6" t="str">
        <f>Lookups!G9</f>
        <v>Concepts and Doctrine</v>
      </c>
      <c r="D22" s="26">
        <f ca="1">SUMIF('Constant Ecs GBP'!$E$9:$E$38,$C22,'Constant Ecs GBP'!$DA$9:$DA$38)</f>
        <v>1489.5801483092866</v>
      </c>
      <c r="E22" s="26">
        <f ca="1">SUMIF('Outturn incl. VAT'!$E$9:$E$38,$C22,'Outturn incl. VAT'!$DA$9:$DA$38)</f>
        <v>1787.4961779711439</v>
      </c>
      <c r="F22" s="26">
        <f ca="1">SUMIF('Constant Ecs GBP'!$E$9:$E$38,$C22,NPV!$DA$9:$DA$38)</f>
        <v>454.86450207138961</v>
      </c>
    </row>
    <row r="23" spans="3:93" x14ac:dyDescent="0.3">
      <c r="C23" s="6" t="str">
        <f>Lookups!G10</f>
        <v>Organisation</v>
      </c>
      <c r="D23" s="26">
        <f ca="1">SUMIF('Constant Ecs GBP'!$E$9:$E$38,$C23,'Constant Ecs GBP'!$DA$9:$DA$38)</f>
        <v>11150.114204075808</v>
      </c>
      <c r="E23" s="26">
        <f ca="1">SUMIF('Outturn incl. VAT'!$E$9:$E$38,$C23,'Outturn incl. VAT'!$DA$9:$DA$38)</f>
        <v>13380.137044890969</v>
      </c>
      <c r="F23" s="26">
        <f ca="1">SUMIF('Constant Ecs GBP'!$E$9:$E$38,$C23,NPV!$DA$9:$DA$38)</f>
        <v>3829.5386625761935</v>
      </c>
    </row>
    <row r="24" spans="3:93" x14ac:dyDescent="0.3">
      <c r="C24" s="6" t="str">
        <f>Lookups!G11</f>
        <v>Infrastructure</v>
      </c>
      <c r="D24" s="26">
        <f ca="1">SUMIF('Constant Ecs GBP'!$E$9:$E$38,$C24,'Constant Ecs GBP'!$DA$9:$DA$38)</f>
        <v>10046.250861203498</v>
      </c>
      <c r="E24" s="26">
        <f ca="1">SUMIF('Outturn incl. VAT'!$E$9:$E$38,$C24,'Outturn incl. VAT'!$DA$9:$DA$38)</f>
        <v>12055.501033444198</v>
      </c>
      <c r="F24" s="26">
        <f ca="1">SUMIF('Constant Ecs GBP'!$E$9:$E$38,$C24,NPV!$DA$9:$DA$38)</f>
        <v>3450.413635481415</v>
      </c>
    </row>
    <row r="25" spans="3:93" x14ac:dyDescent="0.3">
      <c r="C25" s="6" t="str">
        <f>Lookups!G12</f>
        <v>Logistics</v>
      </c>
      <c r="D25" s="26">
        <f ca="1">SUMIF('Constant Ecs GBP'!$E$9:$E$38,$C25,'Constant Ecs GBP'!$DA$9:$DA$38)</f>
        <v>39149.128059250783</v>
      </c>
      <c r="E25" s="26">
        <f ca="1">SUMIF('Outturn incl. VAT'!$E$9:$E$38,$C25,'Outturn incl. VAT'!$DA$9:$DA$38)</f>
        <v>46978.953671100935</v>
      </c>
      <c r="F25" s="26">
        <f ca="1">SUMIF('Constant Ecs GBP'!$E$9:$E$38,$C25,NPV!$DA$9:$DA$38)</f>
        <v>13445.880173518271</v>
      </c>
    </row>
    <row r="27" spans="3:93" ht="18" x14ac:dyDescent="0.35">
      <c r="C27" s="2" t="s">
        <v>69</v>
      </c>
    </row>
    <row r="29" spans="3:93" x14ac:dyDescent="0.3">
      <c r="D29" s="6" t="str">
        <f>Timeline!F14</f>
        <v>19/20</v>
      </c>
      <c r="E29" s="6" t="str">
        <f>Timeline!G14</f>
        <v>20/21</v>
      </c>
      <c r="F29" s="6" t="str">
        <f>Timeline!H14</f>
        <v>21/22</v>
      </c>
      <c r="G29" s="6" t="str">
        <f>Timeline!I14</f>
        <v>22/23</v>
      </c>
      <c r="H29" s="6" t="str">
        <f>Timeline!J14</f>
        <v>23/24</v>
      </c>
      <c r="I29" s="6" t="str">
        <f>Timeline!K14</f>
        <v>24/25</v>
      </c>
      <c r="J29" s="6" t="str">
        <f>Timeline!L14</f>
        <v>25/26</v>
      </c>
      <c r="K29" s="6" t="str">
        <f>Timeline!M14</f>
        <v>26/27</v>
      </c>
      <c r="L29" s="6" t="str">
        <f>Timeline!N14</f>
        <v>27/28</v>
      </c>
      <c r="M29" s="6" t="str">
        <f>Timeline!O14</f>
        <v>28/29</v>
      </c>
      <c r="N29" s="6" t="str">
        <f>Timeline!P14</f>
        <v>29/30</v>
      </c>
      <c r="O29" s="6" t="str">
        <f>Timeline!Q14</f>
        <v>30/31</v>
      </c>
      <c r="P29" s="6" t="str">
        <f>Timeline!R14</f>
        <v>31/32</v>
      </c>
      <c r="Q29" s="6" t="str">
        <f>Timeline!S14</f>
        <v>32/33</v>
      </c>
      <c r="R29" s="6" t="str">
        <f>Timeline!T14</f>
        <v>33/34</v>
      </c>
      <c r="S29" s="6" t="str">
        <f>Timeline!U14</f>
        <v>34/35</v>
      </c>
      <c r="T29" s="6" t="str">
        <f>Timeline!V14</f>
        <v>35/36</v>
      </c>
      <c r="U29" s="6" t="str">
        <f>Timeline!W14</f>
        <v>36/37</v>
      </c>
      <c r="V29" s="6" t="str">
        <f>Timeline!X14</f>
        <v>37/38</v>
      </c>
      <c r="W29" s="6" t="str">
        <f>Timeline!Y14</f>
        <v>38/39</v>
      </c>
      <c r="X29" s="6" t="str">
        <f>Timeline!Z14</f>
        <v>39/40</v>
      </c>
      <c r="Y29" s="6" t="str">
        <f>Timeline!AA14</f>
        <v>40/41</v>
      </c>
      <c r="Z29" s="6" t="str">
        <f>Timeline!AB14</f>
        <v>41/42</v>
      </c>
      <c r="AA29" s="6" t="str">
        <f>Timeline!AC14</f>
        <v>42/43</v>
      </c>
      <c r="AB29" s="6" t="str">
        <f>Timeline!AD14</f>
        <v>43/44</v>
      </c>
      <c r="AC29" s="6" t="str">
        <f>Timeline!AE14</f>
        <v>44/45</v>
      </c>
      <c r="AD29" s="6" t="str">
        <f>Timeline!AF14</f>
        <v>45/46</v>
      </c>
      <c r="AE29" s="6" t="str">
        <f>Timeline!AG14</f>
        <v>46/47</v>
      </c>
      <c r="AF29" s="6" t="str">
        <f>Timeline!AH14</f>
        <v>47/48</v>
      </c>
      <c r="AG29" s="6" t="str">
        <f>Timeline!AI14</f>
        <v>48/49</v>
      </c>
      <c r="AH29" s="6" t="str">
        <f>Timeline!AJ14</f>
        <v>49/50</v>
      </c>
      <c r="AI29" s="6" t="str">
        <f>Timeline!AK14</f>
        <v>50/51</v>
      </c>
      <c r="AJ29" s="6" t="str">
        <f>Timeline!AL14</f>
        <v>51/52</v>
      </c>
      <c r="AK29" s="6" t="str">
        <f>Timeline!AM14</f>
        <v>52/53</v>
      </c>
      <c r="AL29" s="6" t="str">
        <f>Timeline!AN14</f>
        <v>53/54</v>
      </c>
      <c r="AM29" s="6" t="str">
        <f>Timeline!AO14</f>
        <v>54/55</v>
      </c>
      <c r="AN29" s="6" t="str">
        <f>Timeline!AP14</f>
        <v>55/56</v>
      </c>
      <c r="AO29" s="6" t="str">
        <f>Timeline!AQ14</f>
        <v>56/57</v>
      </c>
      <c r="AP29" s="6" t="str">
        <f>Timeline!AR14</f>
        <v>57/58</v>
      </c>
      <c r="AQ29" s="6" t="str">
        <f>Timeline!AS14</f>
        <v>58/59</v>
      </c>
      <c r="AR29" s="6" t="str">
        <f>Timeline!AT14</f>
        <v>59/60</v>
      </c>
      <c r="AS29" s="6" t="str">
        <f>Timeline!AU14</f>
        <v>60/61</v>
      </c>
      <c r="AT29" s="6" t="str">
        <f>Timeline!AV14</f>
        <v>61/62</v>
      </c>
      <c r="AU29" s="6" t="str">
        <f>Timeline!AW14</f>
        <v>62/63</v>
      </c>
      <c r="AV29" s="6" t="str">
        <f>Timeline!AX14</f>
        <v>63/64</v>
      </c>
      <c r="AW29" s="6" t="str">
        <f>Timeline!AY14</f>
        <v>64/65</v>
      </c>
      <c r="AX29" s="6" t="str">
        <f>Timeline!AZ14</f>
        <v>65/66</v>
      </c>
      <c r="AY29" s="6" t="str">
        <f>Timeline!BA14</f>
        <v>66/67</v>
      </c>
      <c r="AZ29" s="6" t="str">
        <f>Timeline!BB14</f>
        <v>67/68</v>
      </c>
      <c r="BA29" s="6" t="str">
        <f>Timeline!BC14</f>
        <v>68/69</v>
      </c>
      <c r="BB29" s="6" t="str">
        <f>Timeline!BD14</f>
        <v>69/70</v>
      </c>
      <c r="BC29" s="6" t="str">
        <f>Timeline!BE14</f>
        <v>70/71</v>
      </c>
      <c r="BD29" s="6" t="str">
        <f>Timeline!BF14</f>
        <v>71/72</v>
      </c>
      <c r="BE29" s="6" t="str">
        <f>Timeline!BG14</f>
        <v>72/73</v>
      </c>
      <c r="BF29" s="6" t="str">
        <f>Timeline!BH14</f>
        <v>73/74</v>
      </c>
      <c r="BG29" s="6" t="str">
        <f>Timeline!BI14</f>
        <v>74/75</v>
      </c>
      <c r="BH29" s="6" t="str">
        <f>Timeline!BJ14</f>
        <v>75/76</v>
      </c>
      <c r="BI29" s="6" t="str">
        <f>Timeline!BK14</f>
        <v>76/77</v>
      </c>
      <c r="BJ29" s="6" t="str">
        <f>Timeline!BL14</f>
        <v>77/78</v>
      </c>
      <c r="BK29" s="6" t="str">
        <f>Timeline!BM14</f>
        <v>78/79</v>
      </c>
      <c r="BL29" s="6" t="str">
        <f>Timeline!BN14</f>
        <v>79/80</v>
      </c>
      <c r="BM29" s="6" t="str">
        <f>Timeline!BO14</f>
        <v>80/81</v>
      </c>
      <c r="BN29" s="6" t="str">
        <f>Timeline!BP14</f>
        <v>81/82</v>
      </c>
      <c r="BO29" s="6" t="str">
        <f>Timeline!BQ14</f>
        <v>82/83</v>
      </c>
      <c r="BP29" s="6" t="str">
        <f>Timeline!BR14</f>
        <v>83/84</v>
      </c>
      <c r="BQ29" s="6" t="str">
        <f>Timeline!BS14</f>
        <v>84/85</v>
      </c>
      <c r="BR29" s="6" t="str">
        <f>Timeline!BT14</f>
        <v>85/86</v>
      </c>
      <c r="BS29" s="6" t="str">
        <f>Timeline!BU14</f>
        <v>86/87</v>
      </c>
      <c r="BT29" s="6" t="str">
        <f>Timeline!BV14</f>
        <v>87/88</v>
      </c>
      <c r="BU29" s="6" t="str">
        <f>Timeline!BW14</f>
        <v>88/89</v>
      </c>
      <c r="BV29" s="6" t="str">
        <f>Timeline!BX14</f>
        <v>89/90</v>
      </c>
      <c r="BW29" s="6" t="str">
        <f>Timeline!BY14</f>
        <v>90/91</v>
      </c>
      <c r="BX29" s="6" t="str">
        <f>Timeline!BZ14</f>
        <v>91/92</v>
      </c>
      <c r="BY29" s="6" t="str">
        <f>Timeline!CA14</f>
        <v>92/93</v>
      </c>
      <c r="BZ29" s="6" t="str">
        <f>Timeline!CB14</f>
        <v>93/94</v>
      </c>
      <c r="CA29" s="6" t="str">
        <f>Timeline!CC14</f>
        <v>94/95</v>
      </c>
      <c r="CB29" s="6" t="str">
        <f>Timeline!CD14</f>
        <v>95/96</v>
      </c>
      <c r="CC29" s="6" t="str">
        <f>Timeline!CE14</f>
        <v>96/97</v>
      </c>
      <c r="CD29" s="6" t="str">
        <f>Timeline!CF14</f>
        <v>97/98</v>
      </c>
      <c r="CE29" s="6" t="str">
        <f>Timeline!CG14</f>
        <v>98/99</v>
      </c>
      <c r="CF29" s="6" t="str">
        <f>Timeline!CH14</f>
        <v>99/00</v>
      </c>
      <c r="CG29" s="6" t="str">
        <f>Timeline!CI14</f>
        <v>00/01</v>
      </c>
      <c r="CH29" s="6" t="str">
        <f>Timeline!CJ14</f>
        <v>01/02</v>
      </c>
      <c r="CI29" s="6" t="str">
        <f>Timeline!CK14</f>
        <v>02/03</v>
      </c>
      <c r="CJ29" s="6" t="str">
        <f>Timeline!CL14</f>
        <v>03/04</v>
      </c>
      <c r="CK29" s="6" t="str">
        <f>Timeline!CM14</f>
        <v>04/05</v>
      </c>
      <c r="CL29" s="6" t="str">
        <f>Timeline!CN14</f>
        <v>05/06</v>
      </c>
      <c r="CM29" s="6" t="str">
        <f>Timeline!CO14</f>
        <v>06/07</v>
      </c>
      <c r="CN29" s="6" t="str">
        <f>Timeline!CP14</f>
        <v>07/08</v>
      </c>
      <c r="CO29" s="6" t="str">
        <f>Timeline!CQ14</f>
        <v>08/09</v>
      </c>
    </row>
    <row r="30" spans="3:93" x14ac:dyDescent="0.3">
      <c r="C30" s="6" t="str">
        <f>Lookups!C5</f>
        <v>Concept</v>
      </c>
      <c r="D30" s="26">
        <f ca="1">SUMIF('Outturn incl. VAT'!$D$9:$D$38,'Calc Feeder'!$C30,'Outturn incl. VAT'!M$9:M$38)</f>
        <v>0</v>
      </c>
      <c r="E30" s="26">
        <f ca="1">SUMIF('Outturn incl. VAT'!$D$9:$D$38,'Calc Feeder'!$C30,'Outturn incl. VAT'!N$9:N$38)</f>
        <v>0</v>
      </c>
      <c r="F30" s="26">
        <f ca="1">SUMIF('Outturn incl. VAT'!$D$9:$D$38,'Calc Feeder'!$C30,'Outturn incl. VAT'!O$9:O$38)</f>
        <v>0</v>
      </c>
      <c r="G30" s="26">
        <f ca="1">SUMIF('Outturn incl. VAT'!$D$9:$D$38,'Calc Feeder'!$C30,'Outturn incl. VAT'!P$9:P$38)</f>
        <v>0</v>
      </c>
      <c r="H30" s="26">
        <f ca="1">SUMIF('Outturn incl. VAT'!$D$9:$D$38,'Calc Feeder'!$C30,'Outturn incl. VAT'!Q$9:Q$38)</f>
        <v>0</v>
      </c>
      <c r="I30" s="26">
        <f ca="1">SUMIF('Outturn incl. VAT'!$D$9:$D$38,'Calc Feeder'!$C30,'Outturn incl. VAT'!R$9:R$38)</f>
        <v>0</v>
      </c>
      <c r="J30" s="26">
        <f ca="1">SUMIF('Outturn incl. VAT'!$D$9:$D$38,'Calc Feeder'!$C30,'Outturn incl. VAT'!S$9:S$38)</f>
        <v>0</v>
      </c>
      <c r="K30" s="26">
        <f ca="1">SUMIF('Outturn incl. VAT'!$D$9:$D$38,'Calc Feeder'!$C30,'Outturn incl. VAT'!T$9:T$38)</f>
        <v>0</v>
      </c>
      <c r="L30" s="26">
        <f ca="1">SUMIF('Outturn incl. VAT'!$D$9:$D$38,'Calc Feeder'!$C30,'Outturn incl. VAT'!U$9:U$38)</f>
        <v>0</v>
      </c>
      <c r="M30" s="26">
        <f ca="1">SUMIF('Outturn incl. VAT'!$D$9:$D$38,'Calc Feeder'!$C30,'Outturn incl. VAT'!V$9:V$38)</f>
        <v>0</v>
      </c>
      <c r="N30" s="26">
        <f ca="1">SUMIF('Outturn incl. VAT'!$D$9:$D$38,'Calc Feeder'!$C30,'Outturn incl. VAT'!W$9:W$38)</f>
        <v>0</v>
      </c>
      <c r="O30" s="26">
        <f ca="1">SUMIF('Outturn incl. VAT'!$D$9:$D$38,'Calc Feeder'!$C30,'Outturn incl. VAT'!X$9:X$38)</f>
        <v>0</v>
      </c>
      <c r="P30" s="26">
        <f ca="1">SUMIF('Outturn incl. VAT'!$D$9:$D$38,'Calc Feeder'!$C30,'Outturn incl. VAT'!Y$9:Y$38)</f>
        <v>0</v>
      </c>
      <c r="Q30" s="26">
        <f ca="1">SUMIF('Outturn incl. VAT'!$D$9:$D$38,'Calc Feeder'!$C30,'Outturn incl. VAT'!Z$9:Z$38)</f>
        <v>0</v>
      </c>
      <c r="R30" s="26">
        <f ca="1">SUMIF('Outturn incl. VAT'!$D$9:$D$38,'Calc Feeder'!$C30,'Outturn incl. VAT'!AA$9:AA$38)</f>
        <v>0</v>
      </c>
      <c r="S30" s="26">
        <f ca="1">SUMIF('Outturn incl. VAT'!$D$9:$D$38,'Calc Feeder'!$C30,'Outturn incl. VAT'!AB$9:AB$38)</f>
        <v>0</v>
      </c>
      <c r="T30" s="26">
        <f ca="1">SUMIF('Outturn incl. VAT'!$D$9:$D$38,'Calc Feeder'!$C30,'Outturn incl. VAT'!AC$9:AC$38)</f>
        <v>0</v>
      </c>
      <c r="U30" s="26">
        <f ca="1">SUMIF('Outturn incl. VAT'!$D$9:$D$38,'Calc Feeder'!$C30,'Outturn incl. VAT'!AD$9:AD$38)</f>
        <v>4293.3808092382314</v>
      </c>
      <c r="V30" s="26">
        <f ca="1">SUMIF('Outturn incl. VAT'!$D$9:$D$38,'Calc Feeder'!$C30,'Outturn incl. VAT'!AE$9:AE$38)</f>
        <v>2411.1002066888395</v>
      </c>
      <c r="W30" s="26">
        <f ca="1">SUMIF('Outturn incl. VAT'!$D$9:$D$38,'Calc Feeder'!$C30,'Outturn incl. VAT'!AF$9:AF$38)</f>
        <v>2411.1002066888395</v>
      </c>
      <c r="X30" s="26">
        <f ca="1">SUMIF('Outturn incl. VAT'!$D$9:$D$38,'Calc Feeder'!$C30,'Outturn incl. VAT'!AG$9:AG$38)</f>
        <v>2411.1002066888395</v>
      </c>
      <c r="Y30" s="26">
        <f ca="1">SUMIF('Outturn incl. VAT'!$D$9:$D$38,'Calc Feeder'!$C30,'Outturn incl. VAT'!AH$9:AH$38)</f>
        <v>2411.1002066888395</v>
      </c>
      <c r="Z30" s="26">
        <f ca="1">SUMIF('Outturn incl. VAT'!$D$9:$D$38,'Calc Feeder'!$C30,'Outturn incl. VAT'!AI$9:AI$38)</f>
        <v>0</v>
      </c>
      <c r="AA30" s="26">
        <f ca="1">SUMIF('Outturn incl. VAT'!$D$9:$D$38,'Calc Feeder'!$C30,'Outturn incl. VAT'!AJ$9:AJ$38)</f>
        <v>0</v>
      </c>
      <c r="AB30" s="26">
        <f ca="1">SUMIF('Outturn incl. VAT'!$D$9:$D$38,'Calc Feeder'!$C30,'Outturn incl. VAT'!AK$9:AK$38)</f>
        <v>0</v>
      </c>
      <c r="AC30" s="26">
        <f ca="1">SUMIF('Outturn incl. VAT'!$D$9:$D$38,'Calc Feeder'!$C30,'Outturn incl. VAT'!AL$9:AL$38)</f>
        <v>0</v>
      </c>
      <c r="AD30" s="26">
        <f ca="1">SUMIF('Outturn incl. VAT'!$D$9:$D$38,'Calc Feeder'!$C30,'Outturn incl. VAT'!AM$9:AM$38)</f>
        <v>0</v>
      </c>
      <c r="AE30" s="26">
        <f ca="1">SUMIF('Outturn incl. VAT'!$D$9:$D$38,'Calc Feeder'!$C30,'Outturn incl. VAT'!AN$9:AN$38)</f>
        <v>0</v>
      </c>
      <c r="AF30" s="26">
        <f ca="1">SUMIF('Outturn incl. VAT'!$D$9:$D$38,'Calc Feeder'!$C30,'Outturn incl. VAT'!AO$9:AO$38)</f>
        <v>0</v>
      </c>
      <c r="AG30" s="26">
        <f ca="1">SUMIF('Outturn incl. VAT'!$D$9:$D$38,'Calc Feeder'!$C30,'Outturn incl. VAT'!AP$9:AP$38)</f>
        <v>0</v>
      </c>
      <c r="AH30" s="26">
        <f ca="1">SUMIF('Outturn incl. VAT'!$D$9:$D$38,'Calc Feeder'!$C30,'Outturn incl. VAT'!AQ$9:AQ$38)</f>
        <v>0</v>
      </c>
      <c r="AI30" s="26">
        <f ca="1">SUMIF('Outturn incl. VAT'!$D$9:$D$38,'Calc Feeder'!$C30,'Outturn incl. VAT'!AR$9:AR$38)</f>
        <v>0</v>
      </c>
      <c r="AJ30" s="26">
        <f ca="1">SUMIF('Outturn incl. VAT'!$D$9:$D$38,'Calc Feeder'!$C30,'Outturn incl. VAT'!AS$9:AS$38)</f>
        <v>0</v>
      </c>
      <c r="AK30" s="26">
        <f ca="1">SUMIF('Outturn incl. VAT'!$D$9:$D$38,'Calc Feeder'!$C30,'Outturn incl. VAT'!AT$9:AT$38)</f>
        <v>0</v>
      </c>
      <c r="AL30" s="26">
        <f ca="1">SUMIF('Outturn incl. VAT'!$D$9:$D$38,'Calc Feeder'!$C30,'Outturn incl. VAT'!AU$9:AU$38)</f>
        <v>0</v>
      </c>
      <c r="AM30" s="26">
        <f ca="1">SUMIF('Outturn incl. VAT'!$D$9:$D$38,'Calc Feeder'!$C30,'Outturn incl. VAT'!AV$9:AV$38)</f>
        <v>0</v>
      </c>
      <c r="AN30" s="26">
        <f ca="1">SUMIF('Outturn incl. VAT'!$D$9:$D$38,'Calc Feeder'!$C30,'Outturn incl. VAT'!AW$9:AW$38)</f>
        <v>0</v>
      </c>
      <c r="AO30" s="26">
        <f ca="1">SUMIF('Outturn incl. VAT'!$D$9:$D$38,'Calc Feeder'!$C30,'Outturn incl. VAT'!AX$9:AX$38)</f>
        <v>0</v>
      </c>
      <c r="AP30" s="26">
        <f ca="1">SUMIF('Outturn incl. VAT'!$D$9:$D$38,'Calc Feeder'!$C30,'Outturn incl. VAT'!AY$9:AY$38)</f>
        <v>0</v>
      </c>
      <c r="AQ30" s="26">
        <f ca="1">SUMIF('Outturn incl. VAT'!$D$9:$D$38,'Calc Feeder'!$C30,'Outturn incl. VAT'!AZ$9:AZ$38)</f>
        <v>0</v>
      </c>
      <c r="AR30" s="26">
        <f ca="1">SUMIF('Outturn incl. VAT'!$D$9:$D$38,'Calc Feeder'!$C30,'Outturn incl. VAT'!BA$9:BA$38)</f>
        <v>0</v>
      </c>
      <c r="AS30" s="26">
        <f ca="1">SUMIF('Outturn incl. VAT'!$D$9:$D$38,'Calc Feeder'!$C30,'Outturn incl. VAT'!BB$9:BB$38)</f>
        <v>0</v>
      </c>
      <c r="AT30" s="26">
        <f ca="1">SUMIF('Outturn incl. VAT'!$D$9:$D$38,'Calc Feeder'!$C30,'Outturn incl. VAT'!BC$9:BC$38)</f>
        <v>0</v>
      </c>
      <c r="AU30" s="26">
        <f ca="1">SUMIF('Outturn incl. VAT'!$D$9:$D$38,'Calc Feeder'!$C30,'Outturn incl. VAT'!BD$9:BD$38)</f>
        <v>0</v>
      </c>
      <c r="AV30" s="26">
        <f ca="1">SUMIF('Outturn incl. VAT'!$D$9:$D$38,'Calc Feeder'!$C30,'Outturn incl. VAT'!BE$9:BE$38)</f>
        <v>0</v>
      </c>
      <c r="AW30" s="26">
        <f ca="1">SUMIF('Outturn incl. VAT'!$D$9:$D$38,'Calc Feeder'!$C30,'Outturn incl. VAT'!BF$9:BF$38)</f>
        <v>0</v>
      </c>
      <c r="AX30" s="26">
        <f ca="1">SUMIF('Outturn incl. VAT'!$D$9:$D$38,'Calc Feeder'!$C30,'Outturn incl. VAT'!BG$9:BG$38)</f>
        <v>0</v>
      </c>
      <c r="AY30" s="26">
        <f ca="1">SUMIF('Outturn incl. VAT'!$D$9:$D$38,'Calc Feeder'!$C30,'Outturn incl. VAT'!BH$9:BH$38)</f>
        <v>0</v>
      </c>
      <c r="AZ30" s="26">
        <f ca="1">SUMIF('Outturn incl. VAT'!$D$9:$D$38,'Calc Feeder'!$C30,'Outturn incl. VAT'!BI$9:BI$38)</f>
        <v>0</v>
      </c>
      <c r="BA30" s="26">
        <f ca="1">SUMIF('Outturn incl. VAT'!$D$9:$D$38,'Calc Feeder'!$C30,'Outturn incl. VAT'!BJ$9:BJ$38)</f>
        <v>0</v>
      </c>
      <c r="BB30" s="26">
        <f ca="1">SUMIF('Outturn incl. VAT'!$D$9:$D$38,'Calc Feeder'!$C30,'Outturn incl. VAT'!BK$9:BK$38)</f>
        <v>0</v>
      </c>
      <c r="BC30" s="26">
        <f ca="1">SUMIF('Outturn incl. VAT'!$D$9:$D$38,'Calc Feeder'!$C30,'Outturn incl. VAT'!BL$9:BL$38)</f>
        <v>0</v>
      </c>
      <c r="BD30" s="26">
        <f ca="1">SUMIF('Outturn incl. VAT'!$D$9:$D$38,'Calc Feeder'!$C30,'Outturn incl. VAT'!BM$9:BM$38)</f>
        <v>0</v>
      </c>
      <c r="BE30" s="26">
        <f ca="1">SUMIF('Outturn incl. VAT'!$D$9:$D$38,'Calc Feeder'!$C30,'Outturn incl. VAT'!BN$9:BN$38)</f>
        <v>0</v>
      </c>
      <c r="BF30" s="26">
        <f ca="1">SUMIF('Outturn incl. VAT'!$D$9:$D$38,'Calc Feeder'!$C30,'Outturn incl. VAT'!BO$9:BO$38)</f>
        <v>0</v>
      </c>
      <c r="BG30" s="26">
        <f ca="1">SUMIF('Outturn incl. VAT'!$D$9:$D$38,'Calc Feeder'!$C30,'Outturn incl. VAT'!BP$9:BP$38)</f>
        <v>0</v>
      </c>
      <c r="BH30" s="26">
        <f ca="1">SUMIF('Outturn incl. VAT'!$D$9:$D$38,'Calc Feeder'!$C30,'Outturn incl. VAT'!BQ$9:BQ$38)</f>
        <v>0</v>
      </c>
      <c r="BI30" s="26">
        <f ca="1">SUMIF('Outturn incl. VAT'!$D$9:$D$38,'Calc Feeder'!$C30,'Outturn incl. VAT'!BR$9:BR$38)</f>
        <v>0</v>
      </c>
      <c r="BJ30" s="26">
        <f ca="1">SUMIF('Outturn incl. VAT'!$D$9:$D$38,'Calc Feeder'!$C30,'Outturn incl. VAT'!BS$9:BS$38)</f>
        <v>0</v>
      </c>
      <c r="BK30" s="26">
        <f ca="1">SUMIF('Outturn incl. VAT'!$D$9:$D$38,'Calc Feeder'!$C30,'Outturn incl. VAT'!BT$9:BT$38)</f>
        <v>0</v>
      </c>
      <c r="BL30" s="26">
        <f ca="1">SUMIF('Outturn incl. VAT'!$D$9:$D$38,'Calc Feeder'!$C30,'Outturn incl. VAT'!BU$9:BU$38)</f>
        <v>0</v>
      </c>
      <c r="BM30" s="26">
        <f ca="1">SUMIF('Outturn incl. VAT'!$D$9:$D$38,'Calc Feeder'!$C30,'Outturn incl. VAT'!BV$9:BV$38)</f>
        <v>0</v>
      </c>
      <c r="BN30" s="26">
        <f ca="1">SUMIF('Outturn incl. VAT'!$D$9:$D$38,'Calc Feeder'!$C30,'Outturn incl. VAT'!BW$9:BW$38)</f>
        <v>0</v>
      </c>
      <c r="BO30" s="26">
        <f ca="1">SUMIF('Outturn incl. VAT'!$D$9:$D$38,'Calc Feeder'!$C30,'Outturn incl. VAT'!BX$9:BX$38)</f>
        <v>0</v>
      </c>
      <c r="BP30" s="26">
        <f ca="1">SUMIF('Outturn incl. VAT'!$D$9:$D$38,'Calc Feeder'!$C30,'Outturn incl. VAT'!BY$9:BY$38)</f>
        <v>0</v>
      </c>
      <c r="BQ30" s="26">
        <f ca="1">SUMIF('Outturn incl. VAT'!$D$9:$D$38,'Calc Feeder'!$C30,'Outturn incl. VAT'!BZ$9:BZ$38)</f>
        <v>0</v>
      </c>
      <c r="BR30" s="26">
        <f ca="1">SUMIF('Outturn incl. VAT'!$D$9:$D$38,'Calc Feeder'!$C30,'Outturn incl. VAT'!CA$9:CA$38)</f>
        <v>0</v>
      </c>
      <c r="BS30" s="26">
        <f ca="1">SUMIF('Outturn incl. VAT'!$D$9:$D$38,'Calc Feeder'!$C30,'Outturn incl. VAT'!CB$9:CB$38)</f>
        <v>0</v>
      </c>
      <c r="BT30" s="26">
        <f ca="1">SUMIF('Outturn incl. VAT'!$D$9:$D$38,'Calc Feeder'!$C30,'Outturn incl. VAT'!CC$9:CC$38)</f>
        <v>0</v>
      </c>
      <c r="BU30" s="26">
        <f ca="1">SUMIF('Outturn incl. VAT'!$D$9:$D$38,'Calc Feeder'!$C30,'Outturn incl. VAT'!CD$9:CD$38)</f>
        <v>0</v>
      </c>
      <c r="BV30" s="26">
        <f ca="1">SUMIF('Outturn incl. VAT'!$D$9:$D$38,'Calc Feeder'!$C30,'Outturn incl. VAT'!CE$9:CE$38)</f>
        <v>0</v>
      </c>
      <c r="BW30" s="26">
        <f ca="1">SUMIF('Outturn incl. VAT'!$D$9:$D$38,'Calc Feeder'!$C30,'Outturn incl. VAT'!CF$9:CF$38)</f>
        <v>0</v>
      </c>
      <c r="BX30" s="26">
        <f ca="1">SUMIF('Outturn incl. VAT'!$D$9:$D$38,'Calc Feeder'!$C30,'Outturn incl. VAT'!CG$9:CG$38)</f>
        <v>0</v>
      </c>
      <c r="BY30" s="26">
        <f ca="1">SUMIF('Outturn incl. VAT'!$D$9:$D$38,'Calc Feeder'!$C30,'Outturn incl. VAT'!CH$9:CH$38)</f>
        <v>0</v>
      </c>
      <c r="BZ30" s="26">
        <f ca="1">SUMIF('Outturn incl. VAT'!$D$9:$D$38,'Calc Feeder'!$C30,'Outturn incl. VAT'!CI$9:CI$38)</f>
        <v>0</v>
      </c>
      <c r="CA30" s="26">
        <f ca="1">SUMIF('Outturn incl. VAT'!$D$9:$D$38,'Calc Feeder'!$C30,'Outturn incl. VAT'!CJ$9:CJ$38)</f>
        <v>0</v>
      </c>
      <c r="CB30" s="26">
        <f ca="1">SUMIF('Outturn incl. VAT'!$D$9:$D$38,'Calc Feeder'!$C30,'Outturn incl. VAT'!CK$9:CK$38)</f>
        <v>0</v>
      </c>
      <c r="CC30" s="26">
        <f ca="1">SUMIF('Outturn incl. VAT'!$D$9:$D$38,'Calc Feeder'!$C30,'Outturn incl. VAT'!CL$9:CL$38)</f>
        <v>0</v>
      </c>
      <c r="CD30" s="26">
        <f ca="1">SUMIF('Outturn incl. VAT'!$D$9:$D$38,'Calc Feeder'!$C30,'Outturn incl. VAT'!CM$9:CM$38)</f>
        <v>0</v>
      </c>
      <c r="CE30" s="26">
        <f ca="1">SUMIF('Outturn incl. VAT'!$D$9:$D$38,'Calc Feeder'!$C30,'Outturn incl. VAT'!CN$9:CN$38)</f>
        <v>0</v>
      </c>
      <c r="CF30" s="26">
        <f ca="1">SUMIF('Outturn incl. VAT'!$D$9:$D$38,'Calc Feeder'!$C30,'Outturn incl. VAT'!CO$9:CO$38)</f>
        <v>0</v>
      </c>
      <c r="CG30" s="26">
        <f ca="1">SUMIF('Outturn incl. VAT'!$D$9:$D$38,'Calc Feeder'!$C30,'Outturn incl. VAT'!CP$9:CP$38)</f>
        <v>0</v>
      </c>
      <c r="CH30" s="26">
        <f ca="1">SUMIF('Outturn incl. VAT'!$D$9:$D$38,'Calc Feeder'!$C30,'Outturn incl. VAT'!CQ$9:CQ$38)</f>
        <v>0</v>
      </c>
      <c r="CI30" s="26">
        <f ca="1">SUMIF('Outturn incl. VAT'!$D$9:$D$38,'Calc Feeder'!$C30,'Outturn incl. VAT'!CR$9:CR$38)</f>
        <v>0</v>
      </c>
      <c r="CJ30" s="26">
        <f ca="1">SUMIF('Outturn incl. VAT'!$D$9:$D$38,'Calc Feeder'!$C30,'Outturn incl. VAT'!CS$9:CS$38)</f>
        <v>0</v>
      </c>
      <c r="CK30" s="26">
        <f ca="1">SUMIF('Outturn incl. VAT'!$D$9:$D$38,'Calc Feeder'!$C30,'Outturn incl. VAT'!CT$9:CT$38)</f>
        <v>0</v>
      </c>
      <c r="CL30" s="26">
        <f ca="1">SUMIF('Outturn incl. VAT'!$D$9:$D$38,'Calc Feeder'!$C30,'Outturn incl. VAT'!CU$9:CU$38)</f>
        <v>0</v>
      </c>
      <c r="CM30" s="26">
        <f ca="1">SUMIF('Outturn incl. VAT'!$D$9:$D$38,'Calc Feeder'!$C30,'Outturn incl. VAT'!CV$9:CV$38)</f>
        <v>0</v>
      </c>
      <c r="CN30" s="26">
        <f ca="1">SUMIF('Outturn incl. VAT'!$D$9:$D$38,'Calc Feeder'!$C30,'Outturn incl. VAT'!CW$9:CW$38)</f>
        <v>0</v>
      </c>
      <c r="CO30" s="26">
        <f ca="1">SUMIF('Outturn incl. VAT'!$D$9:$D$38,'Calc Feeder'!$C30,'Outturn incl. VAT'!CX$9:CX$38)</f>
        <v>0</v>
      </c>
    </row>
    <row r="31" spans="3:93" x14ac:dyDescent="0.3">
      <c r="C31" s="6" t="str">
        <f>Lookups!C6</f>
        <v>Assessment</v>
      </c>
      <c r="D31" s="26">
        <f ca="1">SUMIF('Outturn incl. VAT'!$D$9:$D$38,'Calc Feeder'!$C31,'Outturn incl. VAT'!M$9:M$38)</f>
        <v>0</v>
      </c>
      <c r="E31" s="26">
        <f ca="1">SUMIF('Outturn incl. VAT'!$D$9:$D$38,'Calc Feeder'!$C31,'Outturn incl. VAT'!N$9:N$38)</f>
        <v>0</v>
      </c>
      <c r="F31" s="26">
        <f ca="1">SUMIF('Outturn incl. VAT'!$D$9:$D$38,'Calc Feeder'!$C31,'Outturn incl. VAT'!O$9:O$38)</f>
        <v>0</v>
      </c>
      <c r="G31" s="26">
        <f ca="1">SUMIF('Outturn incl. VAT'!$D$9:$D$38,'Calc Feeder'!$C31,'Outturn incl. VAT'!P$9:P$38)</f>
        <v>0</v>
      </c>
      <c r="H31" s="26">
        <f ca="1">SUMIF('Outturn incl. VAT'!$D$9:$D$38,'Calc Feeder'!$C31,'Outturn incl. VAT'!Q$9:Q$38)</f>
        <v>0</v>
      </c>
      <c r="I31" s="26">
        <f ca="1">SUMIF('Outturn incl. VAT'!$D$9:$D$38,'Calc Feeder'!$C31,'Outturn incl. VAT'!R$9:R$38)</f>
        <v>0</v>
      </c>
      <c r="J31" s="26">
        <f ca="1">SUMIF('Outturn incl. VAT'!$D$9:$D$38,'Calc Feeder'!$C31,'Outturn incl. VAT'!S$9:S$38)</f>
        <v>0</v>
      </c>
      <c r="K31" s="26">
        <f ca="1">SUMIF('Outturn incl. VAT'!$D$9:$D$38,'Calc Feeder'!$C31,'Outturn incl. VAT'!T$9:T$38)</f>
        <v>0</v>
      </c>
      <c r="L31" s="26">
        <f ca="1">SUMIF('Outturn incl. VAT'!$D$9:$D$38,'Calc Feeder'!$C31,'Outturn incl. VAT'!U$9:U$38)</f>
        <v>0</v>
      </c>
      <c r="M31" s="26">
        <f ca="1">SUMIF('Outturn incl. VAT'!$D$9:$D$38,'Calc Feeder'!$C31,'Outturn incl. VAT'!V$9:V$38)</f>
        <v>0</v>
      </c>
      <c r="N31" s="26">
        <f ca="1">SUMIF('Outturn incl. VAT'!$D$9:$D$38,'Calc Feeder'!$C31,'Outturn incl. VAT'!W$9:W$38)</f>
        <v>0</v>
      </c>
      <c r="O31" s="26">
        <f ca="1">SUMIF('Outturn incl. VAT'!$D$9:$D$38,'Calc Feeder'!$C31,'Outturn incl. VAT'!X$9:X$38)</f>
        <v>0</v>
      </c>
      <c r="P31" s="26">
        <f ca="1">SUMIF('Outturn incl. VAT'!$D$9:$D$38,'Calc Feeder'!$C31,'Outturn incl. VAT'!Y$9:Y$38)</f>
        <v>0</v>
      </c>
      <c r="Q31" s="26">
        <f ca="1">SUMIF('Outturn incl. VAT'!$D$9:$D$38,'Calc Feeder'!$C31,'Outturn incl. VAT'!Z$9:Z$38)</f>
        <v>0</v>
      </c>
      <c r="R31" s="26">
        <f ca="1">SUMIF('Outturn incl. VAT'!$D$9:$D$38,'Calc Feeder'!$C31,'Outturn incl. VAT'!AA$9:AA$38)</f>
        <v>0</v>
      </c>
      <c r="S31" s="26">
        <f ca="1">SUMIF('Outturn incl. VAT'!$D$9:$D$38,'Calc Feeder'!$C31,'Outturn incl. VAT'!AB$9:AB$38)</f>
        <v>0</v>
      </c>
      <c r="T31" s="26">
        <f ca="1">SUMIF('Outturn incl. VAT'!$D$9:$D$38,'Calc Feeder'!$C31,'Outturn incl. VAT'!AC$9:AC$38)</f>
        <v>0</v>
      </c>
      <c r="U31" s="26">
        <f ca="1">SUMIF('Outturn incl. VAT'!$D$9:$D$38,'Calc Feeder'!$C31,'Outturn incl. VAT'!AD$9:AD$38)</f>
        <v>12071.818143198381</v>
      </c>
      <c r="V31" s="26">
        <f ca="1">SUMIF('Outturn incl. VAT'!$D$9:$D$38,'Calc Feeder'!$C31,'Outturn incl. VAT'!AE$9:AE$38)</f>
        <v>14471.818143198381</v>
      </c>
      <c r="W31" s="26">
        <f ca="1">SUMIF('Outturn incl. VAT'!$D$9:$D$38,'Calc Feeder'!$C31,'Outturn incl. VAT'!AF$9:AF$38)</f>
        <v>12071.818143198381</v>
      </c>
      <c r="X31" s="26">
        <f ca="1">SUMIF('Outturn incl. VAT'!$D$9:$D$38,'Calc Feeder'!$C31,'Outturn incl. VAT'!AG$9:AG$38)</f>
        <v>12071.818143198381</v>
      </c>
      <c r="Y31" s="26">
        <f ca="1">SUMIF('Outturn incl. VAT'!$D$9:$D$38,'Calc Feeder'!$C31,'Outturn incl. VAT'!AH$9:AH$38)</f>
        <v>12071.818143198381</v>
      </c>
      <c r="Z31" s="26">
        <f ca="1">SUMIF('Outturn incl. VAT'!$D$9:$D$38,'Calc Feeder'!$C31,'Outturn incl. VAT'!AI$9:AI$38)</f>
        <v>0</v>
      </c>
      <c r="AA31" s="26">
        <f ca="1">SUMIF('Outturn incl. VAT'!$D$9:$D$38,'Calc Feeder'!$C31,'Outturn incl. VAT'!AJ$9:AJ$38)</f>
        <v>0</v>
      </c>
      <c r="AB31" s="26">
        <f ca="1">SUMIF('Outturn incl. VAT'!$D$9:$D$38,'Calc Feeder'!$C31,'Outturn incl. VAT'!AK$9:AK$38)</f>
        <v>0</v>
      </c>
      <c r="AC31" s="26">
        <f ca="1">SUMIF('Outturn incl. VAT'!$D$9:$D$38,'Calc Feeder'!$C31,'Outturn incl. VAT'!AL$9:AL$38)</f>
        <v>0</v>
      </c>
      <c r="AD31" s="26">
        <f ca="1">SUMIF('Outturn incl. VAT'!$D$9:$D$38,'Calc Feeder'!$C31,'Outturn incl. VAT'!AM$9:AM$38)</f>
        <v>0</v>
      </c>
      <c r="AE31" s="26">
        <f ca="1">SUMIF('Outturn incl. VAT'!$D$9:$D$38,'Calc Feeder'!$C31,'Outturn incl. VAT'!AN$9:AN$38)</f>
        <v>0</v>
      </c>
      <c r="AF31" s="26">
        <f ca="1">SUMIF('Outturn incl. VAT'!$D$9:$D$38,'Calc Feeder'!$C31,'Outturn incl. VAT'!AO$9:AO$38)</f>
        <v>0</v>
      </c>
      <c r="AG31" s="26">
        <f ca="1">SUMIF('Outturn incl. VAT'!$D$9:$D$38,'Calc Feeder'!$C31,'Outturn incl. VAT'!AP$9:AP$38)</f>
        <v>0</v>
      </c>
      <c r="AH31" s="26">
        <f ca="1">SUMIF('Outturn incl. VAT'!$D$9:$D$38,'Calc Feeder'!$C31,'Outturn incl. VAT'!AQ$9:AQ$38)</f>
        <v>0</v>
      </c>
      <c r="AI31" s="26">
        <f ca="1">SUMIF('Outturn incl. VAT'!$D$9:$D$38,'Calc Feeder'!$C31,'Outturn incl. VAT'!AR$9:AR$38)</f>
        <v>0</v>
      </c>
      <c r="AJ31" s="26">
        <f ca="1">SUMIF('Outturn incl. VAT'!$D$9:$D$38,'Calc Feeder'!$C31,'Outturn incl. VAT'!AS$9:AS$38)</f>
        <v>0</v>
      </c>
      <c r="AK31" s="26">
        <f ca="1">SUMIF('Outturn incl. VAT'!$D$9:$D$38,'Calc Feeder'!$C31,'Outturn incl. VAT'!AT$9:AT$38)</f>
        <v>0</v>
      </c>
      <c r="AL31" s="26">
        <f ca="1">SUMIF('Outturn incl. VAT'!$D$9:$D$38,'Calc Feeder'!$C31,'Outturn incl. VAT'!AU$9:AU$38)</f>
        <v>0</v>
      </c>
      <c r="AM31" s="26">
        <f ca="1">SUMIF('Outturn incl. VAT'!$D$9:$D$38,'Calc Feeder'!$C31,'Outturn incl. VAT'!AV$9:AV$38)</f>
        <v>0</v>
      </c>
      <c r="AN31" s="26">
        <f ca="1">SUMIF('Outturn incl. VAT'!$D$9:$D$38,'Calc Feeder'!$C31,'Outturn incl. VAT'!AW$9:AW$38)</f>
        <v>0</v>
      </c>
      <c r="AO31" s="26">
        <f ca="1">SUMIF('Outturn incl. VAT'!$D$9:$D$38,'Calc Feeder'!$C31,'Outturn incl. VAT'!AX$9:AX$38)</f>
        <v>0</v>
      </c>
      <c r="AP31" s="26">
        <f ca="1">SUMIF('Outturn incl. VAT'!$D$9:$D$38,'Calc Feeder'!$C31,'Outturn incl. VAT'!AY$9:AY$38)</f>
        <v>0</v>
      </c>
      <c r="AQ31" s="26">
        <f ca="1">SUMIF('Outturn incl. VAT'!$D$9:$D$38,'Calc Feeder'!$C31,'Outturn incl. VAT'!AZ$9:AZ$38)</f>
        <v>0</v>
      </c>
      <c r="AR31" s="26">
        <f ca="1">SUMIF('Outturn incl. VAT'!$D$9:$D$38,'Calc Feeder'!$C31,'Outturn incl. VAT'!BA$9:BA$38)</f>
        <v>0</v>
      </c>
      <c r="AS31" s="26">
        <f ca="1">SUMIF('Outturn incl. VAT'!$D$9:$D$38,'Calc Feeder'!$C31,'Outturn incl. VAT'!BB$9:BB$38)</f>
        <v>0</v>
      </c>
      <c r="AT31" s="26">
        <f ca="1">SUMIF('Outturn incl. VAT'!$D$9:$D$38,'Calc Feeder'!$C31,'Outturn incl. VAT'!BC$9:BC$38)</f>
        <v>0</v>
      </c>
      <c r="AU31" s="26">
        <f ca="1">SUMIF('Outturn incl. VAT'!$D$9:$D$38,'Calc Feeder'!$C31,'Outturn incl. VAT'!BD$9:BD$38)</f>
        <v>0</v>
      </c>
      <c r="AV31" s="26">
        <f ca="1">SUMIF('Outturn incl. VAT'!$D$9:$D$38,'Calc Feeder'!$C31,'Outturn incl. VAT'!BE$9:BE$38)</f>
        <v>0</v>
      </c>
      <c r="AW31" s="26">
        <f ca="1">SUMIF('Outturn incl. VAT'!$D$9:$D$38,'Calc Feeder'!$C31,'Outturn incl. VAT'!BF$9:BF$38)</f>
        <v>0</v>
      </c>
      <c r="AX31" s="26">
        <f ca="1">SUMIF('Outturn incl. VAT'!$D$9:$D$38,'Calc Feeder'!$C31,'Outturn incl. VAT'!BG$9:BG$38)</f>
        <v>0</v>
      </c>
      <c r="AY31" s="26">
        <f ca="1">SUMIF('Outturn incl. VAT'!$D$9:$D$38,'Calc Feeder'!$C31,'Outturn incl. VAT'!BH$9:BH$38)</f>
        <v>0</v>
      </c>
      <c r="AZ31" s="26">
        <f ca="1">SUMIF('Outturn incl. VAT'!$D$9:$D$38,'Calc Feeder'!$C31,'Outturn incl. VAT'!BI$9:BI$38)</f>
        <v>0</v>
      </c>
      <c r="BA31" s="26">
        <f ca="1">SUMIF('Outturn incl. VAT'!$D$9:$D$38,'Calc Feeder'!$C31,'Outturn incl. VAT'!BJ$9:BJ$38)</f>
        <v>0</v>
      </c>
      <c r="BB31" s="26">
        <f ca="1">SUMIF('Outturn incl. VAT'!$D$9:$D$38,'Calc Feeder'!$C31,'Outturn incl. VAT'!BK$9:BK$38)</f>
        <v>0</v>
      </c>
      <c r="BC31" s="26">
        <f ca="1">SUMIF('Outturn incl. VAT'!$D$9:$D$38,'Calc Feeder'!$C31,'Outturn incl. VAT'!BL$9:BL$38)</f>
        <v>0</v>
      </c>
      <c r="BD31" s="26">
        <f ca="1">SUMIF('Outturn incl. VAT'!$D$9:$D$38,'Calc Feeder'!$C31,'Outturn incl. VAT'!BM$9:BM$38)</f>
        <v>0</v>
      </c>
      <c r="BE31" s="26">
        <f ca="1">SUMIF('Outturn incl. VAT'!$D$9:$D$38,'Calc Feeder'!$C31,'Outturn incl. VAT'!BN$9:BN$38)</f>
        <v>0</v>
      </c>
      <c r="BF31" s="26">
        <f ca="1">SUMIF('Outturn incl. VAT'!$D$9:$D$38,'Calc Feeder'!$C31,'Outturn incl. VAT'!BO$9:BO$38)</f>
        <v>0</v>
      </c>
      <c r="BG31" s="26">
        <f ca="1">SUMIF('Outturn incl. VAT'!$D$9:$D$38,'Calc Feeder'!$C31,'Outturn incl. VAT'!BP$9:BP$38)</f>
        <v>0</v>
      </c>
      <c r="BH31" s="26">
        <f ca="1">SUMIF('Outturn incl. VAT'!$D$9:$D$38,'Calc Feeder'!$C31,'Outturn incl. VAT'!BQ$9:BQ$38)</f>
        <v>0</v>
      </c>
      <c r="BI31" s="26">
        <f ca="1">SUMIF('Outturn incl. VAT'!$D$9:$D$38,'Calc Feeder'!$C31,'Outturn incl. VAT'!BR$9:BR$38)</f>
        <v>0</v>
      </c>
      <c r="BJ31" s="26">
        <f ca="1">SUMIF('Outturn incl. VAT'!$D$9:$D$38,'Calc Feeder'!$C31,'Outturn incl. VAT'!BS$9:BS$38)</f>
        <v>0</v>
      </c>
      <c r="BK31" s="26">
        <f ca="1">SUMIF('Outturn incl. VAT'!$D$9:$D$38,'Calc Feeder'!$C31,'Outturn incl. VAT'!BT$9:BT$38)</f>
        <v>0</v>
      </c>
      <c r="BL31" s="26">
        <f ca="1">SUMIF('Outturn incl. VAT'!$D$9:$D$38,'Calc Feeder'!$C31,'Outturn incl. VAT'!BU$9:BU$38)</f>
        <v>0</v>
      </c>
      <c r="BM31" s="26">
        <f ca="1">SUMIF('Outturn incl. VAT'!$D$9:$D$38,'Calc Feeder'!$C31,'Outturn incl. VAT'!BV$9:BV$38)</f>
        <v>0</v>
      </c>
      <c r="BN31" s="26">
        <f ca="1">SUMIF('Outturn incl. VAT'!$D$9:$D$38,'Calc Feeder'!$C31,'Outturn incl. VAT'!BW$9:BW$38)</f>
        <v>0</v>
      </c>
      <c r="BO31" s="26">
        <f ca="1">SUMIF('Outturn incl. VAT'!$D$9:$D$38,'Calc Feeder'!$C31,'Outturn incl. VAT'!BX$9:BX$38)</f>
        <v>0</v>
      </c>
      <c r="BP31" s="26">
        <f ca="1">SUMIF('Outturn incl. VAT'!$D$9:$D$38,'Calc Feeder'!$C31,'Outturn incl. VAT'!BY$9:BY$38)</f>
        <v>0</v>
      </c>
      <c r="BQ31" s="26">
        <f ca="1">SUMIF('Outturn incl. VAT'!$D$9:$D$38,'Calc Feeder'!$C31,'Outturn incl. VAT'!BZ$9:BZ$38)</f>
        <v>0</v>
      </c>
      <c r="BR31" s="26">
        <f ca="1">SUMIF('Outturn incl. VAT'!$D$9:$D$38,'Calc Feeder'!$C31,'Outturn incl. VAT'!CA$9:CA$38)</f>
        <v>0</v>
      </c>
      <c r="BS31" s="26">
        <f ca="1">SUMIF('Outturn incl. VAT'!$D$9:$D$38,'Calc Feeder'!$C31,'Outturn incl. VAT'!CB$9:CB$38)</f>
        <v>0</v>
      </c>
      <c r="BT31" s="26">
        <f ca="1">SUMIF('Outturn incl. VAT'!$D$9:$D$38,'Calc Feeder'!$C31,'Outturn incl. VAT'!CC$9:CC$38)</f>
        <v>0</v>
      </c>
      <c r="BU31" s="26">
        <f ca="1">SUMIF('Outturn incl. VAT'!$D$9:$D$38,'Calc Feeder'!$C31,'Outturn incl. VAT'!CD$9:CD$38)</f>
        <v>0</v>
      </c>
      <c r="BV31" s="26">
        <f ca="1">SUMIF('Outturn incl. VAT'!$D$9:$D$38,'Calc Feeder'!$C31,'Outturn incl. VAT'!CE$9:CE$38)</f>
        <v>0</v>
      </c>
      <c r="BW31" s="26">
        <f ca="1">SUMIF('Outturn incl. VAT'!$D$9:$D$38,'Calc Feeder'!$C31,'Outturn incl. VAT'!CF$9:CF$38)</f>
        <v>0</v>
      </c>
      <c r="BX31" s="26">
        <f ca="1">SUMIF('Outturn incl. VAT'!$D$9:$D$38,'Calc Feeder'!$C31,'Outturn incl. VAT'!CG$9:CG$38)</f>
        <v>0</v>
      </c>
      <c r="BY31" s="26">
        <f ca="1">SUMIF('Outturn incl. VAT'!$D$9:$D$38,'Calc Feeder'!$C31,'Outturn incl. VAT'!CH$9:CH$38)</f>
        <v>0</v>
      </c>
      <c r="BZ31" s="26">
        <f ca="1">SUMIF('Outturn incl. VAT'!$D$9:$D$38,'Calc Feeder'!$C31,'Outturn incl. VAT'!CI$9:CI$38)</f>
        <v>0</v>
      </c>
      <c r="CA31" s="26">
        <f ca="1">SUMIF('Outturn incl. VAT'!$D$9:$D$38,'Calc Feeder'!$C31,'Outturn incl. VAT'!CJ$9:CJ$38)</f>
        <v>0</v>
      </c>
      <c r="CB31" s="26">
        <f ca="1">SUMIF('Outturn incl. VAT'!$D$9:$D$38,'Calc Feeder'!$C31,'Outturn incl. VAT'!CK$9:CK$38)</f>
        <v>0</v>
      </c>
      <c r="CC31" s="26">
        <f ca="1">SUMIF('Outturn incl. VAT'!$D$9:$D$38,'Calc Feeder'!$C31,'Outturn incl. VAT'!CL$9:CL$38)</f>
        <v>0</v>
      </c>
      <c r="CD31" s="26">
        <f ca="1">SUMIF('Outturn incl. VAT'!$D$9:$D$38,'Calc Feeder'!$C31,'Outturn incl. VAT'!CM$9:CM$38)</f>
        <v>0</v>
      </c>
      <c r="CE31" s="26">
        <f ca="1">SUMIF('Outturn incl. VAT'!$D$9:$D$38,'Calc Feeder'!$C31,'Outturn incl. VAT'!CN$9:CN$38)</f>
        <v>0</v>
      </c>
      <c r="CF31" s="26">
        <f ca="1">SUMIF('Outturn incl. VAT'!$D$9:$D$38,'Calc Feeder'!$C31,'Outturn incl. VAT'!CO$9:CO$38)</f>
        <v>0</v>
      </c>
      <c r="CG31" s="26">
        <f ca="1">SUMIF('Outturn incl. VAT'!$D$9:$D$38,'Calc Feeder'!$C31,'Outturn incl. VAT'!CP$9:CP$38)</f>
        <v>0</v>
      </c>
      <c r="CH31" s="26">
        <f ca="1">SUMIF('Outturn incl. VAT'!$D$9:$D$38,'Calc Feeder'!$C31,'Outturn incl. VAT'!CQ$9:CQ$38)</f>
        <v>0</v>
      </c>
      <c r="CI31" s="26">
        <f ca="1">SUMIF('Outturn incl. VAT'!$D$9:$D$38,'Calc Feeder'!$C31,'Outturn incl. VAT'!CR$9:CR$38)</f>
        <v>0</v>
      </c>
      <c r="CJ31" s="26">
        <f ca="1">SUMIF('Outturn incl. VAT'!$D$9:$D$38,'Calc Feeder'!$C31,'Outturn incl. VAT'!CS$9:CS$38)</f>
        <v>0</v>
      </c>
      <c r="CK31" s="26">
        <f ca="1">SUMIF('Outturn incl. VAT'!$D$9:$D$38,'Calc Feeder'!$C31,'Outturn incl. VAT'!CT$9:CT$38)</f>
        <v>0</v>
      </c>
      <c r="CL31" s="26">
        <f ca="1">SUMIF('Outturn incl. VAT'!$D$9:$D$38,'Calc Feeder'!$C31,'Outturn incl. VAT'!CU$9:CU$38)</f>
        <v>0</v>
      </c>
      <c r="CM31" s="26">
        <f ca="1">SUMIF('Outturn incl. VAT'!$D$9:$D$38,'Calc Feeder'!$C31,'Outturn incl. VAT'!CV$9:CV$38)</f>
        <v>0</v>
      </c>
      <c r="CN31" s="26">
        <f ca="1">SUMIF('Outturn incl. VAT'!$D$9:$D$38,'Calc Feeder'!$C31,'Outturn incl. VAT'!CW$9:CW$38)</f>
        <v>0</v>
      </c>
      <c r="CO31" s="26">
        <f ca="1">SUMIF('Outturn incl. VAT'!$D$9:$D$38,'Calc Feeder'!$C31,'Outturn incl. VAT'!CX$9:CX$38)</f>
        <v>0</v>
      </c>
    </row>
    <row r="32" spans="3:93" x14ac:dyDescent="0.3">
      <c r="C32" s="6" t="str">
        <f>Lookups!C7</f>
        <v>Design</v>
      </c>
      <c r="D32" s="26">
        <f ca="1">SUMIF('Outturn incl. VAT'!$D$9:$D$38,'Calc Feeder'!$C32,'Outturn incl. VAT'!M$9:M$38)</f>
        <v>0</v>
      </c>
      <c r="E32" s="26">
        <f ca="1">SUMIF('Outturn incl. VAT'!$D$9:$D$38,'Calc Feeder'!$C32,'Outturn incl. VAT'!N$9:N$38)</f>
        <v>0</v>
      </c>
      <c r="F32" s="26">
        <f ca="1">SUMIF('Outturn incl. VAT'!$D$9:$D$38,'Calc Feeder'!$C32,'Outturn incl. VAT'!O$9:O$38)</f>
        <v>0</v>
      </c>
      <c r="G32" s="26">
        <f ca="1">SUMIF('Outturn incl. VAT'!$D$9:$D$38,'Calc Feeder'!$C32,'Outturn incl. VAT'!P$9:P$38)</f>
        <v>0</v>
      </c>
      <c r="H32" s="26">
        <f ca="1">SUMIF('Outturn incl. VAT'!$D$9:$D$38,'Calc Feeder'!$C32,'Outturn incl. VAT'!Q$9:Q$38)</f>
        <v>0</v>
      </c>
      <c r="I32" s="26">
        <f ca="1">SUMIF('Outturn incl. VAT'!$D$9:$D$38,'Calc Feeder'!$C32,'Outturn incl. VAT'!R$9:R$38)</f>
        <v>0</v>
      </c>
      <c r="J32" s="26">
        <f ca="1">SUMIF('Outturn incl. VAT'!$D$9:$D$38,'Calc Feeder'!$C32,'Outturn incl. VAT'!S$9:S$38)</f>
        <v>0</v>
      </c>
      <c r="K32" s="26">
        <f ca="1">SUMIF('Outturn incl. VAT'!$D$9:$D$38,'Calc Feeder'!$C32,'Outturn incl. VAT'!T$9:T$38)</f>
        <v>0</v>
      </c>
      <c r="L32" s="26">
        <f ca="1">SUMIF('Outturn incl. VAT'!$D$9:$D$38,'Calc Feeder'!$C32,'Outturn incl. VAT'!U$9:U$38)</f>
        <v>0</v>
      </c>
      <c r="M32" s="26">
        <f ca="1">SUMIF('Outturn incl. VAT'!$D$9:$D$38,'Calc Feeder'!$C32,'Outturn incl. VAT'!V$9:V$38)</f>
        <v>0</v>
      </c>
      <c r="N32" s="26">
        <f ca="1">SUMIF('Outturn incl. VAT'!$D$9:$D$38,'Calc Feeder'!$C32,'Outturn incl. VAT'!W$9:W$38)</f>
        <v>0</v>
      </c>
      <c r="O32" s="26">
        <f ca="1">SUMIF('Outturn incl. VAT'!$D$9:$D$38,'Calc Feeder'!$C32,'Outturn incl. VAT'!X$9:X$38)</f>
        <v>0</v>
      </c>
      <c r="P32" s="26">
        <f ca="1">SUMIF('Outturn incl. VAT'!$D$9:$D$38,'Calc Feeder'!$C32,'Outturn incl. VAT'!Y$9:Y$38)</f>
        <v>0</v>
      </c>
      <c r="Q32" s="26">
        <f ca="1">SUMIF('Outturn incl. VAT'!$D$9:$D$38,'Calc Feeder'!$C32,'Outturn incl. VAT'!Z$9:Z$38)</f>
        <v>0</v>
      </c>
      <c r="R32" s="26">
        <f ca="1">SUMIF('Outturn incl. VAT'!$D$9:$D$38,'Calc Feeder'!$C32,'Outturn incl. VAT'!AA$9:AA$38)</f>
        <v>0</v>
      </c>
      <c r="S32" s="26">
        <f ca="1">SUMIF('Outturn incl. VAT'!$D$9:$D$38,'Calc Feeder'!$C32,'Outturn incl. VAT'!AB$9:AB$38)</f>
        <v>0</v>
      </c>
      <c r="T32" s="26">
        <f ca="1">SUMIF('Outturn incl. VAT'!$D$9:$D$38,'Calc Feeder'!$C32,'Outturn incl. VAT'!AC$9:AC$38)</f>
        <v>0</v>
      </c>
      <c r="U32" s="26">
        <f ca="1">SUMIF('Outturn incl. VAT'!$D$9:$D$38,'Calc Feeder'!$C32,'Outturn incl. VAT'!AD$9:AD$38)</f>
        <v>14583.27540450352</v>
      </c>
      <c r="V32" s="26">
        <f ca="1">SUMIF('Outturn incl. VAT'!$D$9:$D$38,'Calc Feeder'!$C32,'Outturn incl. VAT'!AE$9:AE$38)</f>
        <v>14583.27540450352</v>
      </c>
      <c r="W32" s="26">
        <f ca="1">SUMIF('Outturn incl. VAT'!$D$9:$D$38,'Calc Feeder'!$C32,'Outturn incl. VAT'!AF$9:AF$38)</f>
        <v>16983.275404503518</v>
      </c>
      <c r="X32" s="26">
        <f ca="1">SUMIF('Outturn incl. VAT'!$D$9:$D$38,'Calc Feeder'!$C32,'Outturn incl. VAT'!AG$9:AG$38)</f>
        <v>14583.27540450352</v>
      </c>
      <c r="Y32" s="26">
        <f ca="1">SUMIF('Outturn incl. VAT'!$D$9:$D$38,'Calc Feeder'!$C32,'Outturn incl. VAT'!AH$9:AH$38)</f>
        <v>14583.27540450352</v>
      </c>
      <c r="Z32" s="26">
        <f ca="1">SUMIF('Outturn incl. VAT'!$D$9:$D$38,'Calc Feeder'!$C32,'Outturn incl. VAT'!AI$9:AI$38)</f>
        <v>0</v>
      </c>
      <c r="AA32" s="26">
        <f ca="1">SUMIF('Outturn incl. VAT'!$D$9:$D$38,'Calc Feeder'!$C32,'Outturn incl. VAT'!AJ$9:AJ$38)</f>
        <v>0</v>
      </c>
      <c r="AB32" s="26">
        <f ca="1">SUMIF('Outturn incl. VAT'!$D$9:$D$38,'Calc Feeder'!$C32,'Outturn incl. VAT'!AK$9:AK$38)</f>
        <v>0</v>
      </c>
      <c r="AC32" s="26">
        <f ca="1">SUMIF('Outturn incl. VAT'!$D$9:$D$38,'Calc Feeder'!$C32,'Outturn incl. VAT'!AL$9:AL$38)</f>
        <v>0</v>
      </c>
      <c r="AD32" s="26">
        <f ca="1">SUMIF('Outturn incl. VAT'!$D$9:$D$38,'Calc Feeder'!$C32,'Outturn incl. VAT'!AM$9:AM$38)</f>
        <v>0</v>
      </c>
      <c r="AE32" s="26">
        <f ca="1">SUMIF('Outturn incl. VAT'!$D$9:$D$38,'Calc Feeder'!$C32,'Outturn incl. VAT'!AN$9:AN$38)</f>
        <v>0</v>
      </c>
      <c r="AF32" s="26">
        <f ca="1">SUMIF('Outturn incl. VAT'!$D$9:$D$38,'Calc Feeder'!$C32,'Outturn incl. VAT'!AO$9:AO$38)</f>
        <v>0</v>
      </c>
      <c r="AG32" s="26">
        <f ca="1">SUMIF('Outturn incl. VAT'!$D$9:$D$38,'Calc Feeder'!$C32,'Outturn incl. VAT'!AP$9:AP$38)</f>
        <v>0</v>
      </c>
      <c r="AH32" s="26">
        <f ca="1">SUMIF('Outturn incl. VAT'!$D$9:$D$38,'Calc Feeder'!$C32,'Outturn incl. VAT'!AQ$9:AQ$38)</f>
        <v>0</v>
      </c>
      <c r="AI32" s="26">
        <f ca="1">SUMIF('Outturn incl. VAT'!$D$9:$D$38,'Calc Feeder'!$C32,'Outturn incl. VAT'!AR$9:AR$38)</f>
        <v>0</v>
      </c>
      <c r="AJ32" s="26">
        <f ca="1">SUMIF('Outturn incl. VAT'!$D$9:$D$38,'Calc Feeder'!$C32,'Outturn incl. VAT'!AS$9:AS$38)</f>
        <v>0</v>
      </c>
      <c r="AK32" s="26">
        <f ca="1">SUMIF('Outturn incl. VAT'!$D$9:$D$38,'Calc Feeder'!$C32,'Outturn incl. VAT'!AT$9:AT$38)</f>
        <v>0</v>
      </c>
      <c r="AL32" s="26">
        <f ca="1">SUMIF('Outturn incl. VAT'!$D$9:$D$38,'Calc Feeder'!$C32,'Outturn incl. VAT'!AU$9:AU$38)</f>
        <v>0</v>
      </c>
      <c r="AM32" s="26">
        <f ca="1">SUMIF('Outturn incl. VAT'!$D$9:$D$38,'Calc Feeder'!$C32,'Outturn incl. VAT'!AV$9:AV$38)</f>
        <v>0</v>
      </c>
      <c r="AN32" s="26">
        <f ca="1">SUMIF('Outturn incl. VAT'!$D$9:$D$38,'Calc Feeder'!$C32,'Outturn incl. VAT'!AW$9:AW$38)</f>
        <v>0</v>
      </c>
      <c r="AO32" s="26">
        <f ca="1">SUMIF('Outturn incl. VAT'!$D$9:$D$38,'Calc Feeder'!$C32,'Outturn incl. VAT'!AX$9:AX$38)</f>
        <v>0</v>
      </c>
      <c r="AP32" s="26">
        <f ca="1">SUMIF('Outturn incl. VAT'!$D$9:$D$38,'Calc Feeder'!$C32,'Outturn incl. VAT'!AY$9:AY$38)</f>
        <v>0</v>
      </c>
      <c r="AQ32" s="26">
        <f ca="1">SUMIF('Outturn incl. VAT'!$D$9:$D$38,'Calc Feeder'!$C32,'Outturn incl. VAT'!AZ$9:AZ$38)</f>
        <v>0</v>
      </c>
      <c r="AR32" s="26">
        <f ca="1">SUMIF('Outturn incl. VAT'!$D$9:$D$38,'Calc Feeder'!$C32,'Outturn incl. VAT'!BA$9:BA$38)</f>
        <v>0</v>
      </c>
      <c r="AS32" s="26">
        <f ca="1">SUMIF('Outturn incl. VAT'!$D$9:$D$38,'Calc Feeder'!$C32,'Outturn incl. VAT'!BB$9:BB$38)</f>
        <v>0</v>
      </c>
      <c r="AT32" s="26">
        <f ca="1">SUMIF('Outturn incl. VAT'!$D$9:$D$38,'Calc Feeder'!$C32,'Outturn incl. VAT'!BC$9:BC$38)</f>
        <v>0</v>
      </c>
      <c r="AU32" s="26">
        <f ca="1">SUMIF('Outturn incl. VAT'!$D$9:$D$38,'Calc Feeder'!$C32,'Outturn incl. VAT'!BD$9:BD$38)</f>
        <v>0</v>
      </c>
      <c r="AV32" s="26">
        <f ca="1">SUMIF('Outturn incl. VAT'!$D$9:$D$38,'Calc Feeder'!$C32,'Outturn incl. VAT'!BE$9:BE$38)</f>
        <v>0</v>
      </c>
      <c r="AW32" s="26">
        <f ca="1">SUMIF('Outturn incl. VAT'!$D$9:$D$38,'Calc Feeder'!$C32,'Outturn incl. VAT'!BF$9:BF$38)</f>
        <v>0</v>
      </c>
      <c r="AX32" s="26">
        <f ca="1">SUMIF('Outturn incl. VAT'!$D$9:$D$38,'Calc Feeder'!$C32,'Outturn incl. VAT'!BG$9:BG$38)</f>
        <v>0</v>
      </c>
      <c r="AY32" s="26">
        <f ca="1">SUMIF('Outturn incl. VAT'!$D$9:$D$38,'Calc Feeder'!$C32,'Outturn incl. VAT'!BH$9:BH$38)</f>
        <v>0</v>
      </c>
      <c r="AZ32" s="26">
        <f ca="1">SUMIF('Outturn incl. VAT'!$D$9:$D$38,'Calc Feeder'!$C32,'Outturn incl. VAT'!BI$9:BI$38)</f>
        <v>0</v>
      </c>
      <c r="BA32" s="26">
        <f ca="1">SUMIF('Outturn incl. VAT'!$D$9:$D$38,'Calc Feeder'!$C32,'Outturn incl. VAT'!BJ$9:BJ$38)</f>
        <v>0</v>
      </c>
      <c r="BB32" s="26">
        <f ca="1">SUMIF('Outturn incl. VAT'!$D$9:$D$38,'Calc Feeder'!$C32,'Outturn incl. VAT'!BK$9:BK$38)</f>
        <v>0</v>
      </c>
      <c r="BC32" s="26">
        <f ca="1">SUMIF('Outturn incl. VAT'!$D$9:$D$38,'Calc Feeder'!$C32,'Outturn incl. VAT'!BL$9:BL$38)</f>
        <v>0</v>
      </c>
      <c r="BD32" s="26">
        <f ca="1">SUMIF('Outturn incl. VAT'!$D$9:$D$38,'Calc Feeder'!$C32,'Outturn incl. VAT'!BM$9:BM$38)</f>
        <v>0</v>
      </c>
      <c r="BE32" s="26">
        <f ca="1">SUMIF('Outturn incl. VAT'!$D$9:$D$38,'Calc Feeder'!$C32,'Outturn incl. VAT'!BN$9:BN$38)</f>
        <v>0</v>
      </c>
      <c r="BF32" s="26">
        <f ca="1">SUMIF('Outturn incl. VAT'!$D$9:$D$38,'Calc Feeder'!$C32,'Outturn incl. VAT'!BO$9:BO$38)</f>
        <v>0</v>
      </c>
      <c r="BG32" s="26">
        <f ca="1">SUMIF('Outturn incl. VAT'!$D$9:$D$38,'Calc Feeder'!$C32,'Outturn incl. VAT'!BP$9:BP$38)</f>
        <v>0</v>
      </c>
      <c r="BH32" s="26">
        <f ca="1">SUMIF('Outturn incl. VAT'!$D$9:$D$38,'Calc Feeder'!$C32,'Outturn incl. VAT'!BQ$9:BQ$38)</f>
        <v>0</v>
      </c>
      <c r="BI32" s="26">
        <f ca="1">SUMIF('Outturn incl. VAT'!$D$9:$D$38,'Calc Feeder'!$C32,'Outturn incl. VAT'!BR$9:BR$38)</f>
        <v>0</v>
      </c>
      <c r="BJ32" s="26">
        <f ca="1">SUMIF('Outturn incl. VAT'!$D$9:$D$38,'Calc Feeder'!$C32,'Outturn incl. VAT'!BS$9:BS$38)</f>
        <v>0</v>
      </c>
      <c r="BK32" s="26">
        <f ca="1">SUMIF('Outturn incl. VAT'!$D$9:$D$38,'Calc Feeder'!$C32,'Outturn incl. VAT'!BT$9:BT$38)</f>
        <v>0</v>
      </c>
      <c r="BL32" s="26">
        <f ca="1">SUMIF('Outturn incl. VAT'!$D$9:$D$38,'Calc Feeder'!$C32,'Outturn incl. VAT'!BU$9:BU$38)</f>
        <v>0</v>
      </c>
      <c r="BM32" s="26">
        <f ca="1">SUMIF('Outturn incl. VAT'!$D$9:$D$38,'Calc Feeder'!$C32,'Outturn incl. VAT'!BV$9:BV$38)</f>
        <v>0</v>
      </c>
      <c r="BN32" s="26">
        <f ca="1">SUMIF('Outturn incl. VAT'!$D$9:$D$38,'Calc Feeder'!$C32,'Outturn incl. VAT'!BW$9:BW$38)</f>
        <v>0</v>
      </c>
      <c r="BO32" s="26">
        <f ca="1">SUMIF('Outturn incl. VAT'!$D$9:$D$38,'Calc Feeder'!$C32,'Outturn incl. VAT'!BX$9:BX$38)</f>
        <v>0</v>
      </c>
      <c r="BP32" s="26">
        <f ca="1">SUMIF('Outturn incl. VAT'!$D$9:$D$38,'Calc Feeder'!$C32,'Outturn incl. VAT'!BY$9:BY$38)</f>
        <v>0</v>
      </c>
      <c r="BQ32" s="26">
        <f ca="1">SUMIF('Outturn incl. VAT'!$D$9:$D$38,'Calc Feeder'!$C32,'Outturn incl. VAT'!BZ$9:BZ$38)</f>
        <v>0</v>
      </c>
      <c r="BR32" s="26">
        <f ca="1">SUMIF('Outturn incl. VAT'!$D$9:$D$38,'Calc Feeder'!$C32,'Outturn incl. VAT'!CA$9:CA$38)</f>
        <v>0</v>
      </c>
      <c r="BS32" s="26">
        <f ca="1">SUMIF('Outturn incl. VAT'!$D$9:$D$38,'Calc Feeder'!$C32,'Outturn incl. VAT'!CB$9:CB$38)</f>
        <v>0</v>
      </c>
      <c r="BT32" s="26">
        <f ca="1">SUMIF('Outturn incl. VAT'!$D$9:$D$38,'Calc Feeder'!$C32,'Outturn incl. VAT'!CC$9:CC$38)</f>
        <v>0</v>
      </c>
      <c r="BU32" s="26">
        <f ca="1">SUMIF('Outturn incl. VAT'!$D$9:$D$38,'Calc Feeder'!$C32,'Outturn incl. VAT'!CD$9:CD$38)</f>
        <v>0</v>
      </c>
      <c r="BV32" s="26">
        <f ca="1">SUMIF('Outturn incl. VAT'!$D$9:$D$38,'Calc Feeder'!$C32,'Outturn incl. VAT'!CE$9:CE$38)</f>
        <v>0</v>
      </c>
      <c r="BW32" s="26">
        <f ca="1">SUMIF('Outturn incl. VAT'!$D$9:$D$38,'Calc Feeder'!$C32,'Outturn incl. VAT'!CF$9:CF$38)</f>
        <v>0</v>
      </c>
      <c r="BX32" s="26">
        <f ca="1">SUMIF('Outturn incl. VAT'!$D$9:$D$38,'Calc Feeder'!$C32,'Outturn incl. VAT'!CG$9:CG$38)</f>
        <v>0</v>
      </c>
      <c r="BY32" s="26">
        <f ca="1">SUMIF('Outturn incl. VAT'!$D$9:$D$38,'Calc Feeder'!$C32,'Outturn incl. VAT'!CH$9:CH$38)</f>
        <v>0</v>
      </c>
      <c r="BZ32" s="26">
        <f ca="1">SUMIF('Outturn incl. VAT'!$D$9:$D$38,'Calc Feeder'!$C32,'Outturn incl. VAT'!CI$9:CI$38)</f>
        <v>0</v>
      </c>
      <c r="CA32" s="26">
        <f ca="1">SUMIF('Outturn incl. VAT'!$D$9:$D$38,'Calc Feeder'!$C32,'Outturn incl. VAT'!CJ$9:CJ$38)</f>
        <v>0</v>
      </c>
      <c r="CB32" s="26">
        <f ca="1">SUMIF('Outturn incl. VAT'!$D$9:$D$38,'Calc Feeder'!$C32,'Outturn incl. VAT'!CK$9:CK$38)</f>
        <v>0</v>
      </c>
      <c r="CC32" s="26">
        <f ca="1">SUMIF('Outturn incl. VAT'!$D$9:$D$38,'Calc Feeder'!$C32,'Outturn incl. VAT'!CL$9:CL$38)</f>
        <v>0</v>
      </c>
      <c r="CD32" s="26">
        <f ca="1">SUMIF('Outturn incl. VAT'!$D$9:$D$38,'Calc Feeder'!$C32,'Outturn incl. VAT'!CM$9:CM$38)</f>
        <v>0</v>
      </c>
      <c r="CE32" s="26">
        <f ca="1">SUMIF('Outturn incl. VAT'!$D$9:$D$38,'Calc Feeder'!$C32,'Outturn incl. VAT'!CN$9:CN$38)</f>
        <v>0</v>
      </c>
      <c r="CF32" s="26">
        <f ca="1">SUMIF('Outturn incl. VAT'!$D$9:$D$38,'Calc Feeder'!$C32,'Outturn incl. VAT'!CO$9:CO$38)</f>
        <v>0</v>
      </c>
      <c r="CG32" s="26">
        <f ca="1">SUMIF('Outturn incl. VAT'!$D$9:$D$38,'Calc Feeder'!$C32,'Outturn incl. VAT'!CP$9:CP$38)</f>
        <v>0</v>
      </c>
      <c r="CH32" s="26">
        <f ca="1">SUMIF('Outturn incl. VAT'!$D$9:$D$38,'Calc Feeder'!$C32,'Outturn incl. VAT'!CQ$9:CQ$38)</f>
        <v>0</v>
      </c>
      <c r="CI32" s="26">
        <f ca="1">SUMIF('Outturn incl. VAT'!$D$9:$D$38,'Calc Feeder'!$C32,'Outturn incl. VAT'!CR$9:CR$38)</f>
        <v>0</v>
      </c>
      <c r="CJ32" s="26">
        <f ca="1">SUMIF('Outturn incl. VAT'!$D$9:$D$38,'Calc Feeder'!$C32,'Outturn incl. VAT'!CS$9:CS$38)</f>
        <v>0</v>
      </c>
      <c r="CK32" s="26">
        <f ca="1">SUMIF('Outturn incl. VAT'!$D$9:$D$38,'Calc Feeder'!$C32,'Outturn incl. VAT'!CT$9:CT$38)</f>
        <v>0</v>
      </c>
      <c r="CL32" s="26">
        <f ca="1">SUMIF('Outturn incl. VAT'!$D$9:$D$38,'Calc Feeder'!$C32,'Outturn incl. VAT'!CU$9:CU$38)</f>
        <v>0</v>
      </c>
      <c r="CM32" s="26">
        <f ca="1">SUMIF('Outturn incl. VAT'!$D$9:$D$38,'Calc Feeder'!$C32,'Outturn incl. VAT'!CV$9:CV$38)</f>
        <v>0</v>
      </c>
      <c r="CN32" s="26">
        <f ca="1">SUMIF('Outturn incl. VAT'!$D$9:$D$38,'Calc Feeder'!$C32,'Outturn incl. VAT'!CW$9:CW$38)</f>
        <v>0</v>
      </c>
      <c r="CO32" s="26">
        <f ca="1">SUMIF('Outturn incl. VAT'!$D$9:$D$38,'Calc Feeder'!$C32,'Outturn incl. VAT'!CX$9:CX$38)</f>
        <v>0</v>
      </c>
    </row>
    <row r="33" spans="3:93" x14ac:dyDescent="0.3">
      <c r="C33" s="6" t="str">
        <f>Lookups!C8</f>
        <v>Manufacture</v>
      </c>
      <c r="D33" s="26">
        <f ca="1">SUMIF('Outturn incl. VAT'!$D$9:$D$38,'Calc Feeder'!$C33,'Outturn incl. VAT'!M$9:M$38)</f>
        <v>0</v>
      </c>
      <c r="E33" s="26">
        <f ca="1">SUMIF('Outturn incl. VAT'!$D$9:$D$38,'Calc Feeder'!$C33,'Outturn incl. VAT'!N$9:N$38)</f>
        <v>0</v>
      </c>
      <c r="F33" s="26">
        <f ca="1">SUMIF('Outturn incl. VAT'!$D$9:$D$38,'Calc Feeder'!$C33,'Outturn incl. VAT'!O$9:O$38)</f>
        <v>0</v>
      </c>
      <c r="G33" s="26">
        <f ca="1">SUMIF('Outturn incl. VAT'!$D$9:$D$38,'Calc Feeder'!$C33,'Outturn incl. VAT'!P$9:P$38)</f>
        <v>0</v>
      </c>
      <c r="H33" s="26">
        <f ca="1">SUMIF('Outturn incl. VAT'!$D$9:$D$38,'Calc Feeder'!$C33,'Outturn incl. VAT'!Q$9:Q$38)</f>
        <v>0</v>
      </c>
      <c r="I33" s="26">
        <f ca="1">SUMIF('Outturn incl. VAT'!$D$9:$D$38,'Calc Feeder'!$C33,'Outturn incl. VAT'!R$9:R$38)</f>
        <v>0</v>
      </c>
      <c r="J33" s="26">
        <f ca="1">SUMIF('Outturn incl. VAT'!$D$9:$D$38,'Calc Feeder'!$C33,'Outturn incl. VAT'!S$9:S$38)</f>
        <v>0</v>
      </c>
      <c r="K33" s="26">
        <f ca="1">SUMIF('Outturn incl. VAT'!$D$9:$D$38,'Calc Feeder'!$C33,'Outturn incl. VAT'!T$9:T$38)</f>
        <v>0</v>
      </c>
      <c r="L33" s="26">
        <f ca="1">SUMIF('Outturn incl. VAT'!$D$9:$D$38,'Calc Feeder'!$C33,'Outturn incl. VAT'!U$9:U$38)</f>
        <v>0</v>
      </c>
      <c r="M33" s="26">
        <f ca="1">SUMIF('Outturn incl. VAT'!$D$9:$D$38,'Calc Feeder'!$C33,'Outturn incl. VAT'!V$9:V$38)</f>
        <v>0</v>
      </c>
      <c r="N33" s="26">
        <f ca="1">SUMIF('Outturn incl. VAT'!$D$9:$D$38,'Calc Feeder'!$C33,'Outturn incl. VAT'!W$9:W$38)</f>
        <v>0</v>
      </c>
      <c r="O33" s="26">
        <f ca="1">SUMIF('Outturn incl. VAT'!$D$9:$D$38,'Calc Feeder'!$C33,'Outturn incl. VAT'!X$9:X$38)</f>
        <v>0</v>
      </c>
      <c r="P33" s="26">
        <f ca="1">SUMIF('Outturn incl. VAT'!$D$9:$D$38,'Calc Feeder'!$C33,'Outturn incl. VAT'!Y$9:Y$38)</f>
        <v>0</v>
      </c>
      <c r="Q33" s="26">
        <f ca="1">SUMIF('Outturn incl. VAT'!$D$9:$D$38,'Calc Feeder'!$C33,'Outturn incl. VAT'!Z$9:Z$38)</f>
        <v>0</v>
      </c>
      <c r="R33" s="26">
        <f ca="1">SUMIF('Outturn incl. VAT'!$D$9:$D$38,'Calc Feeder'!$C33,'Outturn incl. VAT'!AA$9:AA$38)</f>
        <v>0</v>
      </c>
      <c r="S33" s="26">
        <f ca="1">SUMIF('Outturn incl. VAT'!$D$9:$D$38,'Calc Feeder'!$C33,'Outturn incl. VAT'!AB$9:AB$38)</f>
        <v>0</v>
      </c>
      <c r="T33" s="26">
        <f ca="1">SUMIF('Outturn incl. VAT'!$D$9:$D$38,'Calc Feeder'!$C33,'Outturn incl. VAT'!AC$9:AC$38)</f>
        <v>0</v>
      </c>
      <c r="U33" s="26">
        <f ca="1">SUMIF('Outturn incl. VAT'!$D$9:$D$38,'Calc Feeder'!$C33,'Outturn incl. VAT'!AD$9:AD$38)</f>
        <v>0</v>
      </c>
      <c r="V33" s="26">
        <f ca="1">SUMIF('Outturn incl. VAT'!$D$9:$D$38,'Calc Feeder'!$C33,'Outturn incl. VAT'!AE$9:AE$38)</f>
        <v>0</v>
      </c>
      <c r="W33" s="26">
        <f ca="1">SUMIF('Outturn incl. VAT'!$D$9:$D$38,'Calc Feeder'!$C33,'Outturn incl. VAT'!AF$9:AF$38)</f>
        <v>0</v>
      </c>
      <c r="X33" s="26">
        <f ca="1">SUMIF('Outturn incl. VAT'!$D$9:$D$38,'Calc Feeder'!$C33,'Outturn incl. VAT'!AG$9:AG$38)</f>
        <v>2400</v>
      </c>
      <c r="Y33" s="26">
        <f ca="1">SUMIF('Outturn incl. VAT'!$D$9:$D$38,'Calc Feeder'!$C33,'Outturn incl. VAT'!AH$9:AH$38)</f>
        <v>0</v>
      </c>
      <c r="Z33" s="26">
        <f ca="1">SUMIF('Outturn incl. VAT'!$D$9:$D$38,'Calc Feeder'!$C33,'Outturn incl. VAT'!AI$9:AI$38)</f>
        <v>0</v>
      </c>
      <c r="AA33" s="26">
        <f ca="1">SUMIF('Outturn incl. VAT'!$D$9:$D$38,'Calc Feeder'!$C33,'Outturn incl. VAT'!AJ$9:AJ$38)</f>
        <v>0</v>
      </c>
      <c r="AB33" s="26">
        <f ca="1">SUMIF('Outturn incl. VAT'!$D$9:$D$38,'Calc Feeder'!$C33,'Outturn incl. VAT'!AK$9:AK$38)</f>
        <v>0</v>
      </c>
      <c r="AC33" s="26">
        <f ca="1">SUMIF('Outturn incl. VAT'!$D$9:$D$38,'Calc Feeder'!$C33,'Outturn incl. VAT'!AL$9:AL$38)</f>
        <v>0</v>
      </c>
      <c r="AD33" s="26">
        <f ca="1">SUMIF('Outturn incl. VAT'!$D$9:$D$38,'Calc Feeder'!$C33,'Outturn incl. VAT'!AM$9:AM$38)</f>
        <v>0</v>
      </c>
      <c r="AE33" s="26">
        <f ca="1">SUMIF('Outturn incl. VAT'!$D$9:$D$38,'Calc Feeder'!$C33,'Outturn incl. VAT'!AN$9:AN$38)</f>
        <v>0</v>
      </c>
      <c r="AF33" s="26">
        <f ca="1">SUMIF('Outturn incl. VAT'!$D$9:$D$38,'Calc Feeder'!$C33,'Outturn incl. VAT'!AO$9:AO$38)</f>
        <v>0</v>
      </c>
      <c r="AG33" s="26">
        <f ca="1">SUMIF('Outturn incl. VAT'!$D$9:$D$38,'Calc Feeder'!$C33,'Outturn incl. VAT'!AP$9:AP$38)</f>
        <v>0</v>
      </c>
      <c r="AH33" s="26">
        <f ca="1">SUMIF('Outturn incl. VAT'!$D$9:$D$38,'Calc Feeder'!$C33,'Outturn incl. VAT'!AQ$9:AQ$38)</f>
        <v>0</v>
      </c>
      <c r="AI33" s="26">
        <f ca="1">SUMIF('Outturn incl. VAT'!$D$9:$D$38,'Calc Feeder'!$C33,'Outturn incl. VAT'!AR$9:AR$38)</f>
        <v>0</v>
      </c>
      <c r="AJ33" s="26">
        <f ca="1">SUMIF('Outturn incl. VAT'!$D$9:$D$38,'Calc Feeder'!$C33,'Outturn incl. VAT'!AS$9:AS$38)</f>
        <v>0</v>
      </c>
      <c r="AK33" s="26">
        <f ca="1">SUMIF('Outturn incl. VAT'!$D$9:$D$38,'Calc Feeder'!$C33,'Outturn incl. VAT'!AT$9:AT$38)</f>
        <v>0</v>
      </c>
      <c r="AL33" s="26">
        <f ca="1">SUMIF('Outturn incl. VAT'!$D$9:$D$38,'Calc Feeder'!$C33,'Outturn incl. VAT'!AU$9:AU$38)</f>
        <v>0</v>
      </c>
      <c r="AM33" s="26">
        <f ca="1">SUMIF('Outturn incl. VAT'!$D$9:$D$38,'Calc Feeder'!$C33,'Outturn incl. VAT'!AV$9:AV$38)</f>
        <v>0</v>
      </c>
      <c r="AN33" s="26">
        <f ca="1">SUMIF('Outturn incl. VAT'!$D$9:$D$38,'Calc Feeder'!$C33,'Outturn incl. VAT'!AW$9:AW$38)</f>
        <v>0</v>
      </c>
      <c r="AO33" s="26">
        <f ca="1">SUMIF('Outturn incl. VAT'!$D$9:$D$38,'Calc Feeder'!$C33,'Outturn incl. VAT'!AX$9:AX$38)</f>
        <v>0</v>
      </c>
      <c r="AP33" s="26">
        <f ca="1">SUMIF('Outturn incl. VAT'!$D$9:$D$38,'Calc Feeder'!$C33,'Outturn incl. VAT'!AY$9:AY$38)</f>
        <v>0</v>
      </c>
      <c r="AQ33" s="26">
        <f ca="1">SUMIF('Outturn incl. VAT'!$D$9:$D$38,'Calc Feeder'!$C33,'Outturn incl. VAT'!AZ$9:AZ$38)</f>
        <v>0</v>
      </c>
      <c r="AR33" s="26">
        <f ca="1">SUMIF('Outturn incl. VAT'!$D$9:$D$38,'Calc Feeder'!$C33,'Outturn incl. VAT'!BA$9:BA$38)</f>
        <v>0</v>
      </c>
      <c r="AS33" s="26">
        <f ca="1">SUMIF('Outturn incl. VAT'!$D$9:$D$38,'Calc Feeder'!$C33,'Outturn incl. VAT'!BB$9:BB$38)</f>
        <v>0</v>
      </c>
      <c r="AT33" s="26">
        <f ca="1">SUMIF('Outturn incl. VAT'!$D$9:$D$38,'Calc Feeder'!$C33,'Outturn incl. VAT'!BC$9:BC$38)</f>
        <v>0</v>
      </c>
      <c r="AU33" s="26">
        <f ca="1">SUMIF('Outturn incl. VAT'!$D$9:$D$38,'Calc Feeder'!$C33,'Outturn incl. VAT'!BD$9:BD$38)</f>
        <v>0</v>
      </c>
      <c r="AV33" s="26">
        <f ca="1">SUMIF('Outturn incl. VAT'!$D$9:$D$38,'Calc Feeder'!$C33,'Outturn incl. VAT'!BE$9:BE$38)</f>
        <v>0</v>
      </c>
      <c r="AW33" s="26">
        <f ca="1">SUMIF('Outturn incl. VAT'!$D$9:$D$38,'Calc Feeder'!$C33,'Outturn incl. VAT'!BF$9:BF$38)</f>
        <v>0</v>
      </c>
      <c r="AX33" s="26">
        <f ca="1">SUMIF('Outturn incl. VAT'!$D$9:$D$38,'Calc Feeder'!$C33,'Outturn incl. VAT'!BG$9:BG$38)</f>
        <v>0</v>
      </c>
      <c r="AY33" s="26">
        <f ca="1">SUMIF('Outturn incl. VAT'!$D$9:$D$38,'Calc Feeder'!$C33,'Outturn incl. VAT'!BH$9:BH$38)</f>
        <v>0</v>
      </c>
      <c r="AZ33" s="26">
        <f ca="1">SUMIF('Outturn incl. VAT'!$D$9:$D$38,'Calc Feeder'!$C33,'Outturn incl. VAT'!BI$9:BI$38)</f>
        <v>0</v>
      </c>
      <c r="BA33" s="26">
        <f ca="1">SUMIF('Outturn incl. VAT'!$D$9:$D$38,'Calc Feeder'!$C33,'Outturn incl. VAT'!BJ$9:BJ$38)</f>
        <v>0</v>
      </c>
      <c r="BB33" s="26">
        <f ca="1">SUMIF('Outturn incl. VAT'!$D$9:$D$38,'Calc Feeder'!$C33,'Outturn incl. VAT'!BK$9:BK$38)</f>
        <v>0</v>
      </c>
      <c r="BC33" s="26">
        <f ca="1">SUMIF('Outturn incl. VAT'!$D$9:$D$38,'Calc Feeder'!$C33,'Outturn incl. VAT'!BL$9:BL$38)</f>
        <v>0</v>
      </c>
      <c r="BD33" s="26">
        <f ca="1">SUMIF('Outturn incl. VAT'!$D$9:$D$38,'Calc Feeder'!$C33,'Outturn incl. VAT'!BM$9:BM$38)</f>
        <v>0</v>
      </c>
      <c r="BE33" s="26">
        <f ca="1">SUMIF('Outturn incl. VAT'!$D$9:$D$38,'Calc Feeder'!$C33,'Outturn incl. VAT'!BN$9:BN$38)</f>
        <v>0</v>
      </c>
      <c r="BF33" s="26">
        <f ca="1">SUMIF('Outturn incl. VAT'!$D$9:$D$38,'Calc Feeder'!$C33,'Outturn incl. VAT'!BO$9:BO$38)</f>
        <v>0</v>
      </c>
      <c r="BG33" s="26">
        <f ca="1">SUMIF('Outturn incl. VAT'!$D$9:$D$38,'Calc Feeder'!$C33,'Outturn incl. VAT'!BP$9:BP$38)</f>
        <v>0</v>
      </c>
      <c r="BH33" s="26">
        <f ca="1">SUMIF('Outturn incl. VAT'!$D$9:$D$38,'Calc Feeder'!$C33,'Outturn incl. VAT'!BQ$9:BQ$38)</f>
        <v>0</v>
      </c>
      <c r="BI33" s="26">
        <f ca="1">SUMIF('Outturn incl. VAT'!$D$9:$D$38,'Calc Feeder'!$C33,'Outturn incl. VAT'!BR$9:BR$38)</f>
        <v>0</v>
      </c>
      <c r="BJ33" s="26">
        <f ca="1">SUMIF('Outturn incl. VAT'!$D$9:$D$38,'Calc Feeder'!$C33,'Outturn incl. VAT'!BS$9:BS$38)</f>
        <v>0</v>
      </c>
      <c r="BK33" s="26">
        <f ca="1">SUMIF('Outturn incl. VAT'!$D$9:$D$38,'Calc Feeder'!$C33,'Outturn incl. VAT'!BT$9:BT$38)</f>
        <v>0</v>
      </c>
      <c r="BL33" s="26">
        <f ca="1">SUMIF('Outturn incl. VAT'!$D$9:$D$38,'Calc Feeder'!$C33,'Outturn incl. VAT'!BU$9:BU$38)</f>
        <v>0</v>
      </c>
      <c r="BM33" s="26">
        <f ca="1">SUMIF('Outturn incl. VAT'!$D$9:$D$38,'Calc Feeder'!$C33,'Outturn incl. VAT'!BV$9:BV$38)</f>
        <v>0</v>
      </c>
      <c r="BN33" s="26">
        <f ca="1">SUMIF('Outturn incl. VAT'!$D$9:$D$38,'Calc Feeder'!$C33,'Outturn incl. VAT'!BW$9:BW$38)</f>
        <v>0</v>
      </c>
      <c r="BO33" s="26">
        <f ca="1">SUMIF('Outturn incl. VAT'!$D$9:$D$38,'Calc Feeder'!$C33,'Outturn incl. VAT'!BX$9:BX$38)</f>
        <v>0</v>
      </c>
      <c r="BP33" s="26">
        <f ca="1">SUMIF('Outturn incl. VAT'!$D$9:$D$38,'Calc Feeder'!$C33,'Outturn incl. VAT'!BY$9:BY$38)</f>
        <v>0</v>
      </c>
      <c r="BQ33" s="26">
        <f ca="1">SUMIF('Outturn incl. VAT'!$D$9:$D$38,'Calc Feeder'!$C33,'Outturn incl. VAT'!BZ$9:BZ$38)</f>
        <v>0</v>
      </c>
      <c r="BR33" s="26">
        <f ca="1">SUMIF('Outturn incl. VAT'!$D$9:$D$38,'Calc Feeder'!$C33,'Outturn incl. VAT'!CA$9:CA$38)</f>
        <v>0</v>
      </c>
      <c r="BS33" s="26">
        <f ca="1">SUMIF('Outturn incl. VAT'!$D$9:$D$38,'Calc Feeder'!$C33,'Outturn incl. VAT'!CB$9:CB$38)</f>
        <v>0</v>
      </c>
      <c r="BT33" s="26">
        <f ca="1">SUMIF('Outturn incl. VAT'!$D$9:$D$38,'Calc Feeder'!$C33,'Outturn incl. VAT'!CC$9:CC$38)</f>
        <v>0</v>
      </c>
      <c r="BU33" s="26">
        <f ca="1">SUMIF('Outturn incl. VAT'!$D$9:$D$38,'Calc Feeder'!$C33,'Outturn incl. VAT'!CD$9:CD$38)</f>
        <v>0</v>
      </c>
      <c r="BV33" s="26">
        <f ca="1">SUMIF('Outturn incl. VAT'!$D$9:$D$38,'Calc Feeder'!$C33,'Outturn incl. VAT'!CE$9:CE$38)</f>
        <v>0</v>
      </c>
      <c r="BW33" s="26">
        <f ca="1">SUMIF('Outturn incl. VAT'!$D$9:$D$38,'Calc Feeder'!$C33,'Outturn incl. VAT'!CF$9:CF$38)</f>
        <v>0</v>
      </c>
      <c r="BX33" s="26">
        <f ca="1">SUMIF('Outturn incl. VAT'!$D$9:$D$38,'Calc Feeder'!$C33,'Outturn incl. VAT'!CG$9:CG$38)</f>
        <v>0</v>
      </c>
      <c r="BY33" s="26">
        <f ca="1">SUMIF('Outturn incl. VAT'!$D$9:$D$38,'Calc Feeder'!$C33,'Outturn incl. VAT'!CH$9:CH$38)</f>
        <v>0</v>
      </c>
      <c r="BZ33" s="26">
        <f ca="1">SUMIF('Outturn incl. VAT'!$D$9:$D$38,'Calc Feeder'!$C33,'Outturn incl. VAT'!CI$9:CI$38)</f>
        <v>0</v>
      </c>
      <c r="CA33" s="26">
        <f ca="1">SUMIF('Outturn incl. VAT'!$D$9:$D$38,'Calc Feeder'!$C33,'Outturn incl. VAT'!CJ$9:CJ$38)</f>
        <v>0</v>
      </c>
      <c r="CB33" s="26">
        <f ca="1">SUMIF('Outturn incl. VAT'!$D$9:$D$38,'Calc Feeder'!$C33,'Outturn incl. VAT'!CK$9:CK$38)</f>
        <v>0</v>
      </c>
      <c r="CC33" s="26">
        <f ca="1">SUMIF('Outturn incl. VAT'!$D$9:$D$38,'Calc Feeder'!$C33,'Outturn incl. VAT'!CL$9:CL$38)</f>
        <v>0</v>
      </c>
      <c r="CD33" s="26">
        <f ca="1">SUMIF('Outturn incl. VAT'!$D$9:$D$38,'Calc Feeder'!$C33,'Outturn incl. VAT'!CM$9:CM$38)</f>
        <v>0</v>
      </c>
      <c r="CE33" s="26">
        <f ca="1">SUMIF('Outturn incl. VAT'!$D$9:$D$38,'Calc Feeder'!$C33,'Outturn incl. VAT'!CN$9:CN$38)</f>
        <v>0</v>
      </c>
      <c r="CF33" s="26">
        <f ca="1">SUMIF('Outturn incl. VAT'!$D$9:$D$38,'Calc Feeder'!$C33,'Outturn incl. VAT'!CO$9:CO$38)</f>
        <v>0</v>
      </c>
      <c r="CG33" s="26">
        <f ca="1">SUMIF('Outturn incl. VAT'!$D$9:$D$38,'Calc Feeder'!$C33,'Outturn incl. VAT'!CP$9:CP$38)</f>
        <v>0</v>
      </c>
      <c r="CH33" s="26">
        <f ca="1">SUMIF('Outturn incl. VAT'!$D$9:$D$38,'Calc Feeder'!$C33,'Outturn incl. VAT'!CQ$9:CQ$38)</f>
        <v>0</v>
      </c>
      <c r="CI33" s="26">
        <f ca="1">SUMIF('Outturn incl. VAT'!$D$9:$D$38,'Calc Feeder'!$C33,'Outturn incl. VAT'!CR$9:CR$38)</f>
        <v>0</v>
      </c>
      <c r="CJ33" s="26">
        <f ca="1">SUMIF('Outturn incl. VAT'!$D$9:$D$38,'Calc Feeder'!$C33,'Outturn incl. VAT'!CS$9:CS$38)</f>
        <v>0</v>
      </c>
      <c r="CK33" s="26">
        <f ca="1">SUMIF('Outturn incl. VAT'!$D$9:$D$38,'Calc Feeder'!$C33,'Outturn incl. VAT'!CT$9:CT$38)</f>
        <v>0</v>
      </c>
      <c r="CL33" s="26">
        <f ca="1">SUMIF('Outturn incl. VAT'!$D$9:$D$38,'Calc Feeder'!$C33,'Outturn incl. VAT'!CU$9:CU$38)</f>
        <v>0</v>
      </c>
      <c r="CM33" s="26">
        <f ca="1">SUMIF('Outturn incl. VAT'!$D$9:$D$38,'Calc Feeder'!$C33,'Outturn incl. VAT'!CV$9:CV$38)</f>
        <v>0</v>
      </c>
      <c r="CN33" s="26">
        <f ca="1">SUMIF('Outturn incl. VAT'!$D$9:$D$38,'Calc Feeder'!$C33,'Outturn incl. VAT'!CW$9:CW$38)</f>
        <v>0</v>
      </c>
      <c r="CO33" s="26">
        <f ca="1">SUMIF('Outturn incl. VAT'!$D$9:$D$38,'Calc Feeder'!$C33,'Outturn incl. VAT'!CX$9:CX$38)</f>
        <v>0</v>
      </c>
    </row>
    <row r="34" spans="3:93" x14ac:dyDescent="0.3">
      <c r="C34" s="6" t="str">
        <f>Lookups!C9</f>
        <v>In-Service</v>
      </c>
      <c r="D34" s="26">
        <f ca="1">SUMIF('Outturn incl. VAT'!$D$9:$D$38,'Calc Feeder'!$C34,'Outturn incl. VAT'!M$9:M$38)</f>
        <v>0</v>
      </c>
      <c r="E34" s="26">
        <f ca="1">SUMIF('Outturn incl. VAT'!$D$9:$D$38,'Calc Feeder'!$C34,'Outturn incl. VAT'!N$9:N$38)</f>
        <v>0</v>
      </c>
      <c r="F34" s="26">
        <f ca="1">SUMIF('Outturn incl. VAT'!$D$9:$D$38,'Calc Feeder'!$C34,'Outturn incl. VAT'!O$9:O$38)</f>
        <v>0</v>
      </c>
      <c r="G34" s="26">
        <f ca="1">SUMIF('Outturn incl. VAT'!$D$9:$D$38,'Calc Feeder'!$C34,'Outturn incl. VAT'!P$9:P$38)</f>
        <v>0</v>
      </c>
      <c r="H34" s="26">
        <f ca="1">SUMIF('Outturn incl. VAT'!$D$9:$D$38,'Calc Feeder'!$C34,'Outturn incl. VAT'!Q$9:Q$38)</f>
        <v>0</v>
      </c>
      <c r="I34" s="26">
        <f ca="1">SUMIF('Outturn incl. VAT'!$D$9:$D$38,'Calc Feeder'!$C34,'Outturn incl. VAT'!R$9:R$38)</f>
        <v>0</v>
      </c>
      <c r="J34" s="26">
        <f ca="1">SUMIF('Outturn incl. VAT'!$D$9:$D$38,'Calc Feeder'!$C34,'Outturn incl. VAT'!S$9:S$38)</f>
        <v>0</v>
      </c>
      <c r="K34" s="26">
        <f ca="1">SUMIF('Outturn incl. VAT'!$D$9:$D$38,'Calc Feeder'!$C34,'Outturn incl. VAT'!T$9:T$38)</f>
        <v>0</v>
      </c>
      <c r="L34" s="26">
        <f ca="1">SUMIF('Outturn incl. VAT'!$D$9:$D$38,'Calc Feeder'!$C34,'Outturn incl. VAT'!U$9:U$38)</f>
        <v>0</v>
      </c>
      <c r="M34" s="26">
        <f ca="1">SUMIF('Outturn incl. VAT'!$D$9:$D$38,'Calc Feeder'!$C34,'Outturn incl. VAT'!V$9:V$38)</f>
        <v>0</v>
      </c>
      <c r="N34" s="26">
        <f ca="1">SUMIF('Outturn incl. VAT'!$D$9:$D$38,'Calc Feeder'!$C34,'Outturn incl. VAT'!W$9:W$38)</f>
        <v>0</v>
      </c>
      <c r="O34" s="26">
        <f ca="1">SUMIF('Outturn incl. VAT'!$D$9:$D$38,'Calc Feeder'!$C34,'Outturn incl. VAT'!X$9:X$38)</f>
        <v>0</v>
      </c>
      <c r="P34" s="26">
        <f ca="1">SUMIF('Outturn incl. VAT'!$D$9:$D$38,'Calc Feeder'!$C34,'Outturn incl. VAT'!Y$9:Y$38)</f>
        <v>0</v>
      </c>
      <c r="Q34" s="26">
        <f ca="1">SUMIF('Outturn incl. VAT'!$D$9:$D$38,'Calc Feeder'!$C34,'Outturn incl. VAT'!Z$9:Z$38)</f>
        <v>0</v>
      </c>
      <c r="R34" s="26">
        <f ca="1">SUMIF('Outturn incl. VAT'!$D$9:$D$38,'Calc Feeder'!$C34,'Outturn incl. VAT'!AA$9:AA$38)</f>
        <v>0</v>
      </c>
      <c r="S34" s="26">
        <f ca="1">SUMIF('Outturn incl. VAT'!$D$9:$D$38,'Calc Feeder'!$C34,'Outturn incl. VAT'!AB$9:AB$38)</f>
        <v>0</v>
      </c>
      <c r="T34" s="26">
        <f ca="1">SUMIF('Outturn incl. VAT'!$D$9:$D$38,'Calc Feeder'!$C34,'Outturn incl. VAT'!AC$9:AC$38)</f>
        <v>0</v>
      </c>
      <c r="U34" s="26">
        <f ca="1">SUMIF('Outturn incl. VAT'!$D$9:$D$38,'Calc Feeder'!$C34,'Outturn incl. VAT'!AD$9:AD$38)</f>
        <v>0</v>
      </c>
      <c r="V34" s="26">
        <f ca="1">SUMIF('Outturn incl. VAT'!$D$9:$D$38,'Calc Feeder'!$C34,'Outturn incl. VAT'!AE$9:AE$38)</f>
        <v>0</v>
      </c>
      <c r="W34" s="26">
        <f ca="1">SUMIF('Outturn incl. VAT'!$D$9:$D$38,'Calc Feeder'!$C34,'Outturn incl. VAT'!AF$9:AF$38)</f>
        <v>0</v>
      </c>
      <c r="X34" s="26">
        <f ca="1">SUMIF('Outturn incl. VAT'!$D$9:$D$38,'Calc Feeder'!$C34,'Outturn incl. VAT'!AG$9:AG$38)</f>
        <v>0</v>
      </c>
      <c r="Y34" s="26">
        <f ca="1">SUMIF('Outturn incl. VAT'!$D$9:$D$38,'Calc Feeder'!$C34,'Outturn incl. VAT'!AH$9:AH$38)</f>
        <v>1787.4961779711439</v>
      </c>
      <c r="Z34" s="26">
        <f ca="1">SUMIF('Outturn incl. VAT'!$D$9:$D$38,'Calc Feeder'!$C34,'Outturn incl. VAT'!AI$9:AI$38)</f>
        <v>0</v>
      </c>
      <c r="AA34" s="26">
        <f ca="1">SUMIF('Outturn incl. VAT'!$D$9:$D$38,'Calc Feeder'!$C34,'Outturn incl. VAT'!AJ$9:AJ$38)</f>
        <v>0</v>
      </c>
      <c r="AB34" s="26">
        <f ca="1">SUMIF('Outturn incl. VAT'!$D$9:$D$38,'Calc Feeder'!$C34,'Outturn incl. VAT'!AK$9:AK$38)</f>
        <v>0</v>
      </c>
      <c r="AC34" s="26">
        <f ca="1">SUMIF('Outturn incl. VAT'!$D$9:$D$38,'Calc Feeder'!$C34,'Outturn incl. VAT'!AL$9:AL$38)</f>
        <v>0</v>
      </c>
      <c r="AD34" s="26">
        <f ca="1">SUMIF('Outturn incl. VAT'!$D$9:$D$38,'Calc Feeder'!$C34,'Outturn incl. VAT'!AM$9:AM$38)</f>
        <v>0</v>
      </c>
      <c r="AE34" s="26">
        <f ca="1">SUMIF('Outturn incl. VAT'!$D$9:$D$38,'Calc Feeder'!$C34,'Outturn incl. VAT'!AN$9:AN$38)</f>
        <v>0</v>
      </c>
      <c r="AF34" s="26">
        <f ca="1">SUMIF('Outturn incl. VAT'!$D$9:$D$38,'Calc Feeder'!$C34,'Outturn incl. VAT'!AO$9:AO$38)</f>
        <v>0</v>
      </c>
      <c r="AG34" s="26">
        <f ca="1">SUMIF('Outturn incl. VAT'!$D$9:$D$38,'Calc Feeder'!$C34,'Outturn incl. VAT'!AP$9:AP$38)</f>
        <v>0</v>
      </c>
      <c r="AH34" s="26">
        <f ca="1">SUMIF('Outturn incl. VAT'!$D$9:$D$38,'Calc Feeder'!$C34,'Outturn incl. VAT'!AQ$9:AQ$38)</f>
        <v>0</v>
      </c>
      <c r="AI34" s="26">
        <f ca="1">SUMIF('Outturn incl. VAT'!$D$9:$D$38,'Calc Feeder'!$C34,'Outturn incl. VAT'!AR$9:AR$38)</f>
        <v>0</v>
      </c>
      <c r="AJ34" s="26">
        <f ca="1">SUMIF('Outturn incl. VAT'!$D$9:$D$38,'Calc Feeder'!$C34,'Outturn incl. VAT'!AS$9:AS$38)</f>
        <v>0</v>
      </c>
      <c r="AK34" s="26">
        <f ca="1">SUMIF('Outturn incl. VAT'!$D$9:$D$38,'Calc Feeder'!$C34,'Outturn incl. VAT'!AT$9:AT$38)</f>
        <v>0</v>
      </c>
      <c r="AL34" s="26">
        <f ca="1">SUMIF('Outturn incl. VAT'!$D$9:$D$38,'Calc Feeder'!$C34,'Outturn incl. VAT'!AU$9:AU$38)</f>
        <v>0</v>
      </c>
      <c r="AM34" s="26">
        <f ca="1">SUMIF('Outturn incl. VAT'!$D$9:$D$38,'Calc Feeder'!$C34,'Outturn incl. VAT'!AV$9:AV$38)</f>
        <v>0</v>
      </c>
      <c r="AN34" s="26">
        <f ca="1">SUMIF('Outturn incl. VAT'!$D$9:$D$38,'Calc Feeder'!$C34,'Outturn incl. VAT'!AW$9:AW$38)</f>
        <v>0</v>
      </c>
      <c r="AO34" s="26">
        <f ca="1">SUMIF('Outturn incl. VAT'!$D$9:$D$38,'Calc Feeder'!$C34,'Outturn incl. VAT'!AX$9:AX$38)</f>
        <v>0</v>
      </c>
      <c r="AP34" s="26">
        <f ca="1">SUMIF('Outturn incl. VAT'!$D$9:$D$38,'Calc Feeder'!$C34,'Outturn incl. VAT'!AY$9:AY$38)</f>
        <v>0</v>
      </c>
      <c r="AQ34" s="26">
        <f ca="1">SUMIF('Outturn incl. VAT'!$D$9:$D$38,'Calc Feeder'!$C34,'Outturn incl. VAT'!AZ$9:AZ$38)</f>
        <v>0</v>
      </c>
      <c r="AR34" s="26">
        <f ca="1">SUMIF('Outturn incl. VAT'!$D$9:$D$38,'Calc Feeder'!$C34,'Outturn incl. VAT'!BA$9:BA$38)</f>
        <v>0</v>
      </c>
      <c r="AS34" s="26">
        <f ca="1">SUMIF('Outturn incl. VAT'!$D$9:$D$38,'Calc Feeder'!$C34,'Outturn incl. VAT'!BB$9:BB$38)</f>
        <v>0</v>
      </c>
      <c r="AT34" s="26">
        <f ca="1">SUMIF('Outturn incl. VAT'!$D$9:$D$38,'Calc Feeder'!$C34,'Outturn incl. VAT'!BC$9:BC$38)</f>
        <v>0</v>
      </c>
      <c r="AU34" s="26">
        <f ca="1">SUMIF('Outturn incl. VAT'!$D$9:$D$38,'Calc Feeder'!$C34,'Outturn incl. VAT'!BD$9:BD$38)</f>
        <v>0</v>
      </c>
      <c r="AV34" s="26">
        <f ca="1">SUMIF('Outturn incl. VAT'!$D$9:$D$38,'Calc Feeder'!$C34,'Outturn incl. VAT'!BE$9:BE$38)</f>
        <v>0</v>
      </c>
      <c r="AW34" s="26">
        <f ca="1">SUMIF('Outturn incl. VAT'!$D$9:$D$38,'Calc Feeder'!$C34,'Outturn incl. VAT'!BF$9:BF$38)</f>
        <v>0</v>
      </c>
      <c r="AX34" s="26">
        <f ca="1">SUMIF('Outturn incl. VAT'!$D$9:$D$38,'Calc Feeder'!$C34,'Outturn incl. VAT'!BG$9:BG$38)</f>
        <v>0</v>
      </c>
      <c r="AY34" s="26">
        <f ca="1">SUMIF('Outturn incl. VAT'!$D$9:$D$38,'Calc Feeder'!$C34,'Outturn incl. VAT'!BH$9:BH$38)</f>
        <v>0</v>
      </c>
      <c r="AZ34" s="26">
        <f ca="1">SUMIF('Outturn incl. VAT'!$D$9:$D$38,'Calc Feeder'!$C34,'Outturn incl. VAT'!BI$9:BI$38)</f>
        <v>0</v>
      </c>
      <c r="BA34" s="26">
        <f ca="1">SUMIF('Outturn incl. VAT'!$D$9:$D$38,'Calc Feeder'!$C34,'Outturn incl. VAT'!BJ$9:BJ$38)</f>
        <v>0</v>
      </c>
      <c r="BB34" s="26">
        <f ca="1">SUMIF('Outturn incl. VAT'!$D$9:$D$38,'Calc Feeder'!$C34,'Outturn incl. VAT'!BK$9:BK$38)</f>
        <v>0</v>
      </c>
      <c r="BC34" s="26">
        <f ca="1">SUMIF('Outturn incl. VAT'!$D$9:$D$38,'Calc Feeder'!$C34,'Outturn incl. VAT'!BL$9:BL$38)</f>
        <v>0</v>
      </c>
      <c r="BD34" s="26">
        <f ca="1">SUMIF('Outturn incl. VAT'!$D$9:$D$38,'Calc Feeder'!$C34,'Outturn incl. VAT'!BM$9:BM$38)</f>
        <v>0</v>
      </c>
      <c r="BE34" s="26">
        <f ca="1">SUMIF('Outturn incl. VAT'!$D$9:$D$38,'Calc Feeder'!$C34,'Outturn incl. VAT'!BN$9:BN$38)</f>
        <v>0</v>
      </c>
      <c r="BF34" s="26">
        <f ca="1">SUMIF('Outturn incl. VAT'!$D$9:$D$38,'Calc Feeder'!$C34,'Outturn incl. VAT'!BO$9:BO$38)</f>
        <v>0</v>
      </c>
      <c r="BG34" s="26">
        <f ca="1">SUMIF('Outturn incl. VAT'!$D$9:$D$38,'Calc Feeder'!$C34,'Outturn incl. VAT'!BP$9:BP$38)</f>
        <v>0</v>
      </c>
      <c r="BH34" s="26">
        <f ca="1">SUMIF('Outturn incl. VAT'!$D$9:$D$38,'Calc Feeder'!$C34,'Outturn incl. VAT'!BQ$9:BQ$38)</f>
        <v>0</v>
      </c>
      <c r="BI34" s="26">
        <f ca="1">SUMIF('Outturn incl. VAT'!$D$9:$D$38,'Calc Feeder'!$C34,'Outturn incl. VAT'!BR$9:BR$38)</f>
        <v>0</v>
      </c>
      <c r="BJ34" s="26">
        <f ca="1">SUMIF('Outturn incl. VAT'!$D$9:$D$38,'Calc Feeder'!$C34,'Outturn incl. VAT'!BS$9:BS$38)</f>
        <v>0</v>
      </c>
      <c r="BK34" s="26">
        <f ca="1">SUMIF('Outturn incl. VAT'!$D$9:$D$38,'Calc Feeder'!$C34,'Outturn incl. VAT'!BT$9:BT$38)</f>
        <v>0</v>
      </c>
      <c r="BL34" s="26">
        <f ca="1">SUMIF('Outturn incl. VAT'!$D$9:$D$38,'Calc Feeder'!$C34,'Outturn incl. VAT'!BU$9:BU$38)</f>
        <v>0</v>
      </c>
      <c r="BM34" s="26">
        <f ca="1">SUMIF('Outturn incl. VAT'!$D$9:$D$38,'Calc Feeder'!$C34,'Outturn incl. VAT'!BV$9:BV$38)</f>
        <v>0</v>
      </c>
      <c r="BN34" s="26">
        <f ca="1">SUMIF('Outturn incl. VAT'!$D$9:$D$38,'Calc Feeder'!$C34,'Outturn incl. VAT'!BW$9:BW$38)</f>
        <v>0</v>
      </c>
      <c r="BO34" s="26">
        <f ca="1">SUMIF('Outturn incl. VAT'!$D$9:$D$38,'Calc Feeder'!$C34,'Outturn incl. VAT'!BX$9:BX$38)</f>
        <v>0</v>
      </c>
      <c r="BP34" s="26">
        <f ca="1">SUMIF('Outturn incl. VAT'!$D$9:$D$38,'Calc Feeder'!$C34,'Outturn incl. VAT'!BY$9:BY$38)</f>
        <v>0</v>
      </c>
      <c r="BQ34" s="26">
        <f ca="1">SUMIF('Outturn incl. VAT'!$D$9:$D$38,'Calc Feeder'!$C34,'Outturn incl. VAT'!BZ$9:BZ$38)</f>
        <v>0</v>
      </c>
      <c r="BR34" s="26">
        <f ca="1">SUMIF('Outturn incl. VAT'!$D$9:$D$38,'Calc Feeder'!$C34,'Outturn incl. VAT'!CA$9:CA$38)</f>
        <v>0</v>
      </c>
      <c r="BS34" s="26">
        <f ca="1">SUMIF('Outturn incl. VAT'!$D$9:$D$38,'Calc Feeder'!$C34,'Outturn incl. VAT'!CB$9:CB$38)</f>
        <v>0</v>
      </c>
      <c r="BT34" s="26">
        <f ca="1">SUMIF('Outturn incl. VAT'!$D$9:$D$38,'Calc Feeder'!$C34,'Outturn incl. VAT'!CC$9:CC$38)</f>
        <v>0</v>
      </c>
      <c r="BU34" s="26">
        <f ca="1">SUMIF('Outturn incl. VAT'!$D$9:$D$38,'Calc Feeder'!$C34,'Outturn incl. VAT'!CD$9:CD$38)</f>
        <v>0</v>
      </c>
      <c r="BV34" s="26">
        <f ca="1">SUMIF('Outturn incl. VAT'!$D$9:$D$38,'Calc Feeder'!$C34,'Outturn incl. VAT'!CE$9:CE$38)</f>
        <v>0</v>
      </c>
      <c r="BW34" s="26">
        <f ca="1">SUMIF('Outturn incl. VAT'!$D$9:$D$38,'Calc Feeder'!$C34,'Outturn incl. VAT'!CF$9:CF$38)</f>
        <v>0</v>
      </c>
      <c r="BX34" s="26">
        <f ca="1">SUMIF('Outturn incl. VAT'!$D$9:$D$38,'Calc Feeder'!$C34,'Outturn incl. VAT'!CG$9:CG$38)</f>
        <v>0</v>
      </c>
      <c r="BY34" s="26">
        <f ca="1">SUMIF('Outturn incl. VAT'!$D$9:$D$38,'Calc Feeder'!$C34,'Outturn incl. VAT'!CH$9:CH$38)</f>
        <v>0</v>
      </c>
      <c r="BZ34" s="26">
        <f ca="1">SUMIF('Outturn incl. VAT'!$D$9:$D$38,'Calc Feeder'!$C34,'Outturn incl. VAT'!CI$9:CI$38)</f>
        <v>0</v>
      </c>
      <c r="CA34" s="26">
        <f ca="1">SUMIF('Outturn incl. VAT'!$D$9:$D$38,'Calc Feeder'!$C34,'Outturn incl. VAT'!CJ$9:CJ$38)</f>
        <v>0</v>
      </c>
      <c r="CB34" s="26">
        <f ca="1">SUMIF('Outturn incl. VAT'!$D$9:$D$38,'Calc Feeder'!$C34,'Outturn incl. VAT'!CK$9:CK$38)</f>
        <v>0</v>
      </c>
      <c r="CC34" s="26">
        <f ca="1">SUMIF('Outturn incl. VAT'!$D$9:$D$38,'Calc Feeder'!$C34,'Outturn incl. VAT'!CL$9:CL$38)</f>
        <v>0</v>
      </c>
      <c r="CD34" s="26">
        <f ca="1">SUMIF('Outturn incl. VAT'!$D$9:$D$38,'Calc Feeder'!$C34,'Outturn incl. VAT'!CM$9:CM$38)</f>
        <v>0</v>
      </c>
      <c r="CE34" s="26">
        <f ca="1">SUMIF('Outturn incl. VAT'!$D$9:$D$38,'Calc Feeder'!$C34,'Outturn incl. VAT'!CN$9:CN$38)</f>
        <v>0</v>
      </c>
      <c r="CF34" s="26">
        <f ca="1">SUMIF('Outturn incl. VAT'!$D$9:$D$38,'Calc Feeder'!$C34,'Outturn incl. VAT'!CO$9:CO$38)</f>
        <v>0</v>
      </c>
      <c r="CG34" s="26">
        <f ca="1">SUMIF('Outturn incl. VAT'!$D$9:$D$38,'Calc Feeder'!$C34,'Outturn incl. VAT'!CP$9:CP$38)</f>
        <v>0</v>
      </c>
      <c r="CH34" s="26">
        <f ca="1">SUMIF('Outturn incl. VAT'!$D$9:$D$38,'Calc Feeder'!$C34,'Outturn incl. VAT'!CQ$9:CQ$38)</f>
        <v>0</v>
      </c>
      <c r="CI34" s="26">
        <f ca="1">SUMIF('Outturn incl. VAT'!$D$9:$D$38,'Calc Feeder'!$C34,'Outturn incl. VAT'!CR$9:CR$38)</f>
        <v>0</v>
      </c>
      <c r="CJ34" s="26">
        <f ca="1">SUMIF('Outturn incl. VAT'!$D$9:$D$38,'Calc Feeder'!$C34,'Outturn incl. VAT'!CS$9:CS$38)</f>
        <v>0</v>
      </c>
      <c r="CK34" s="26">
        <f ca="1">SUMIF('Outturn incl. VAT'!$D$9:$D$38,'Calc Feeder'!$C34,'Outturn incl. VAT'!CT$9:CT$38)</f>
        <v>0</v>
      </c>
      <c r="CL34" s="26">
        <f ca="1">SUMIF('Outturn incl. VAT'!$D$9:$D$38,'Calc Feeder'!$C34,'Outturn incl. VAT'!CU$9:CU$38)</f>
        <v>0</v>
      </c>
      <c r="CM34" s="26">
        <f ca="1">SUMIF('Outturn incl. VAT'!$D$9:$D$38,'Calc Feeder'!$C34,'Outturn incl. VAT'!CV$9:CV$38)</f>
        <v>0</v>
      </c>
      <c r="CN34" s="26">
        <f ca="1">SUMIF('Outturn incl. VAT'!$D$9:$D$38,'Calc Feeder'!$C34,'Outturn incl. VAT'!CW$9:CW$38)</f>
        <v>0</v>
      </c>
      <c r="CO34" s="26">
        <f ca="1">SUMIF('Outturn incl. VAT'!$D$9:$D$38,'Calc Feeder'!$C34,'Outturn incl. VAT'!CX$9:CX$38)</f>
        <v>0</v>
      </c>
    </row>
    <row r="36" spans="3:93" x14ac:dyDescent="0.3">
      <c r="C36" s="56" t="s">
        <v>65</v>
      </c>
      <c r="D36" s="31">
        <f ca="1">SUM(D30:D34)</f>
        <v>0</v>
      </c>
      <c r="E36" s="31">
        <f t="shared" ref="E36:BP36" ca="1" si="0">SUM(E30:E34)</f>
        <v>0</v>
      </c>
      <c r="F36" s="31">
        <f t="shared" ca="1" si="0"/>
        <v>0</v>
      </c>
      <c r="G36" s="31">
        <f t="shared" ca="1" si="0"/>
        <v>0</v>
      </c>
      <c r="H36" s="31">
        <f t="shared" ca="1" si="0"/>
        <v>0</v>
      </c>
      <c r="I36" s="31">
        <f t="shared" ca="1" si="0"/>
        <v>0</v>
      </c>
      <c r="J36" s="31">
        <f t="shared" ca="1" si="0"/>
        <v>0</v>
      </c>
      <c r="K36" s="31">
        <f t="shared" ca="1" si="0"/>
        <v>0</v>
      </c>
      <c r="L36" s="31">
        <f t="shared" ca="1" si="0"/>
        <v>0</v>
      </c>
      <c r="M36" s="31">
        <f t="shared" ca="1" si="0"/>
        <v>0</v>
      </c>
      <c r="N36" s="31">
        <f t="shared" ca="1" si="0"/>
        <v>0</v>
      </c>
      <c r="O36" s="31">
        <f t="shared" ca="1" si="0"/>
        <v>0</v>
      </c>
      <c r="P36" s="31">
        <f t="shared" ca="1" si="0"/>
        <v>0</v>
      </c>
      <c r="Q36" s="31">
        <f t="shared" ca="1" si="0"/>
        <v>0</v>
      </c>
      <c r="R36" s="31">
        <f t="shared" ca="1" si="0"/>
        <v>0</v>
      </c>
      <c r="S36" s="31">
        <f t="shared" ca="1" si="0"/>
        <v>0</v>
      </c>
      <c r="T36" s="31">
        <f t="shared" ca="1" si="0"/>
        <v>0</v>
      </c>
      <c r="U36" s="31">
        <f t="shared" ca="1" si="0"/>
        <v>30948.474356940133</v>
      </c>
      <c r="V36" s="31">
        <f t="shared" ca="1" si="0"/>
        <v>31466.193754390741</v>
      </c>
      <c r="W36" s="31">
        <f t="shared" ca="1" si="0"/>
        <v>31466.193754390741</v>
      </c>
      <c r="X36" s="31">
        <f t="shared" ca="1" si="0"/>
        <v>31466.193754390741</v>
      </c>
      <c r="Y36" s="31">
        <f t="shared" ca="1" si="0"/>
        <v>30853.689932361885</v>
      </c>
      <c r="Z36" s="31">
        <f t="shared" ca="1" si="0"/>
        <v>0</v>
      </c>
      <c r="AA36" s="31">
        <f t="shared" ca="1" si="0"/>
        <v>0</v>
      </c>
      <c r="AB36" s="31">
        <f t="shared" ca="1" si="0"/>
        <v>0</v>
      </c>
      <c r="AC36" s="31">
        <f t="shared" ca="1" si="0"/>
        <v>0</v>
      </c>
      <c r="AD36" s="31">
        <f t="shared" ca="1" si="0"/>
        <v>0</v>
      </c>
      <c r="AE36" s="31">
        <f t="shared" ca="1" si="0"/>
        <v>0</v>
      </c>
      <c r="AF36" s="31">
        <f t="shared" ca="1" si="0"/>
        <v>0</v>
      </c>
      <c r="AG36" s="31">
        <f t="shared" ca="1" si="0"/>
        <v>0</v>
      </c>
      <c r="AH36" s="31">
        <f t="shared" ca="1" si="0"/>
        <v>0</v>
      </c>
      <c r="AI36" s="31">
        <f t="shared" ca="1" si="0"/>
        <v>0</v>
      </c>
      <c r="AJ36" s="31">
        <f t="shared" ca="1" si="0"/>
        <v>0</v>
      </c>
      <c r="AK36" s="31">
        <f t="shared" ca="1" si="0"/>
        <v>0</v>
      </c>
      <c r="AL36" s="31">
        <f t="shared" ca="1" si="0"/>
        <v>0</v>
      </c>
      <c r="AM36" s="31">
        <f t="shared" ca="1" si="0"/>
        <v>0</v>
      </c>
      <c r="AN36" s="31">
        <f t="shared" ca="1" si="0"/>
        <v>0</v>
      </c>
      <c r="AO36" s="31">
        <f t="shared" ca="1" si="0"/>
        <v>0</v>
      </c>
      <c r="AP36" s="31">
        <f t="shared" ca="1" si="0"/>
        <v>0</v>
      </c>
      <c r="AQ36" s="31">
        <f t="shared" ca="1" si="0"/>
        <v>0</v>
      </c>
      <c r="AR36" s="31">
        <f t="shared" ca="1" si="0"/>
        <v>0</v>
      </c>
      <c r="AS36" s="31">
        <f t="shared" ca="1" si="0"/>
        <v>0</v>
      </c>
      <c r="AT36" s="31">
        <f t="shared" ca="1" si="0"/>
        <v>0</v>
      </c>
      <c r="AU36" s="31">
        <f t="shared" ca="1" si="0"/>
        <v>0</v>
      </c>
      <c r="AV36" s="31">
        <f t="shared" ca="1" si="0"/>
        <v>0</v>
      </c>
      <c r="AW36" s="31">
        <f t="shared" ca="1" si="0"/>
        <v>0</v>
      </c>
      <c r="AX36" s="31">
        <f t="shared" ca="1" si="0"/>
        <v>0</v>
      </c>
      <c r="AY36" s="31">
        <f t="shared" ca="1" si="0"/>
        <v>0</v>
      </c>
      <c r="AZ36" s="31">
        <f t="shared" ca="1" si="0"/>
        <v>0</v>
      </c>
      <c r="BA36" s="31">
        <f t="shared" ca="1" si="0"/>
        <v>0</v>
      </c>
      <c r="BB36" s="31">
        <f t="shared" ca="1" si="0"/>
        <v>0</v>
      </c>
      <c r="BC36" s="31">
        <f t="shared" ca="1" si="0"/>
        <v>0</v>
      </c>
      <c r="BD36" s="31">
        <f t="shared" ca="1" si="0"/>
        <v>0</v>
      </c>
      <c r="BE36" s="31">
        <f t="shared" ca="1" si="0"/>
        <v>0</v>
      </c>
      <c r="BF36" s="31">
        <f t="shared" ca="1" si="0"/>
        <v>0</v>
      </c>
      <c r="BG36" s="31">
        <f t="shared" ca="1" si="0"/>
        <v>0</v>
      </c>
      <c r="BH36" s="31">
        <f t="shared" ca="1" si="0"/>
        <v>0</v>
      </c>
      <c r="BI36" s="31">
        <f t="shared" ca="1" si="0"/>
        <v>0</v>
      </c>
      <c r="BJ36" s="31">
        <f t="shared" ca="1" si="0"/>
        <v>0</v>
      </c>
      <c r="BK36" s="31">
        <f t="shared" ca="1" si="0"/>
        <v>0</v>
      </c>
      <c r="BL36" s="31">
        <f t="shared" ca="1" si="0"/>
        <v>0</v>
      </c>
      <c r="BM36" s="31">
        <f t="shared" ca="1" si="0"/>
        <v>0</v>
      </c>
      <c r="BN36" s="31">
        <f t="shared" ca="1" si="0"/>
        <v>0</v>
      </c>
      <c r="BO36" s="31">
        <f t="shared" ca="1" si="0"/>
        <v>0</v>
      </c>
      <c r="BP36" s="31">
        <f t="shared" ca="1" si="0"/>
        <v>0</v>
      </c>
      <c r="BQ36" s="31">
        <f t="shared" ref="BQ36:CO36" ca="1" si="1">SUM(BQ30:BQ34)</f>
        <v>0</v>
      </c>
      <c r="BR36" s="31">
        <f t="shared" ca="1" si="1"/>
        <v>0</v>
      </c>
      <c r="BS36" s="31">
        <f t="shared" ca="1" si="1"/>
        <v>0</v>
      </c>
      <c r="BT36" s="31">
        <f t="shared" ca="1" si="1"/>
        <v>0</v>
      </c>
      <c r="BU36" s="31">
        <f t="shared" ca="1" si="1"/>
        <v>0</v>
      </c>
      <c r="BV36" s="31">
        <f t="shared" ca="1" si="1"/>
        <v>0</v>
      </c>
      <c r="BW36" s="31">
        <f t="shared" ca="1" si="1"/>
        <v>0</v>
      </c>
      <c r="BX36" s="31">
        <f t="shared" ca="1" si="1"/>
        <v>0</v>
      </c>
      <c r="BY36" s="31">
        <f t="shared" ca="1" si="1"/>
        <v>0</v>
      </c>
      <c r="BZ36" s="31">
        <f t="shared" ca="1" si="1"/>
        <v>0</v>
      </c>
      <c r="CA36" s="31">
        <f t="shared" ca="1" si="1"/>
        <v>0</v>
      </c>
      <c r="CB36" s="31">
        <f t="shared" ca="1" si="1"/>
        <v>0</v>
      </c>
      <c r="CC36" s="31">
        <f t="shared" ca="1" si="1"/>
        <v>0</v>
      </c>
      <c r="CD36" s="31">
        <f t="shared" ca="1" si="1"/>
        <v>0</v>
      </c>
      <c r="CE36" s="31">
        <f t="shared" ca="1" si="1"/>
        <v>0</v>
      </c>
      <c r="CF36" s="31">
        <f t="shared" ca="1" si="1"/>
        <v>0</v>
      </c>
      <c r="CG36" s="31">
        <f t="shared" ca="1" si="1"/>
        <v>0</v>
      </c>
      <c r="CH36" s="31">
        <f t="shared" ca="1" si="1"/>
        <v>0</v>
      </c>
      <c r="CI36" s="31">
        <f t="shared" ca="1" si="1"/>
        <v>0</v>
      </c>
      <c r="CJ36" s="31">
        <f t="shared" ca="1" si="1"/>
        <v>0</v>
      </c>
      <c r="CK36" s="31">
        <f t="shared" ca="1" si="1"/>
        <v>0</v>
      </c>
      <c r="CL36" s="31">
        <f t="shared" ca="1" si="1"/>
        <v>0</v>
      </c>
      <c r="CM36" s="31">
        <f t="shared" ca="1" si="1"/>
        <v>0</v>
      </c>
      <c r="CN36" s="31">
        <f t="shared" ca="1" si="1"/>
        <v>0</v>
      </c>
      <c r="CO36" s="31">
        <f t="shared" ca="1" si="1"/>
        <v>0</v>
      </c>
    </row>
  </sheetData>
  <conditionalFormatting sqref="A1">
    <cfRule type="cellIs" dxfId="5" priority="2" operator="equal">
      <formula>1</formula>
    </cfRule>
  </conditionalFormatting>
  <conditionalFormatting sqref="D1">
    <cfRule type="cellIs" dxfId="4" priority="1" operator="equal">
      <formula>"Error"</formula>
    </cfRule>
  </conditionalFormatting>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79998168889431442"/>
  </sheetPr>
  <dimension ref="A1:CO106"/>
  <sheetViews>
    <sheetView showGridLines="0" tabSelected="1" topLeftCell="A40" workbookViewId="0">
      <selection activeCell="K51" sqref="K51"/>
    </sheetView>
  </sheetViews>
  <sheetFormatPr defaultRowHeight="14.4" x14ac:dyDescent="0.3"/>
  <cols>
    <col min="1" max="2" width="2.77734375" customWidth="1"/>
    <col min="3" max="3" width="16.33203125" bestFit="1" customWidth="1"/>
    <col min="4" max="4" width="11.88671875" bestFit="1" customWidth="1"/>
    <col min="5" max="5" width="13.44140625" bestFit="1" customWidth="1"/>
    <col min="6" max="6" width="11.88671875" bestFit="1" customWidth="1"/>
    <col min="8" max="8" width="9.88671875" bestFit="1" customWidth="1"/>
    <col min="10" max="10" width="11.5546875" bestFit="1" customWidth="1"/>
    <col min="11" max="12" width="11" bestFit="1" customWidth="1"/>
    <col min="13" max="13" width="10" customWidth="1"/>
    <col min="17" max="17" width="11.5546875" bestFit="1" customWidth="1"/>
    <col min="18" max="20" width="10" bestFit="1" customWidth="1"/>
  </cols>
  <sheetData>
    <row r="1" spans="1:8" x14ac:dyDescent="0.3">
      <c r="A1" s="33">
        <f ca="1">IF(ISERROR(SUM(C6:CO107)),1,0)</f>
        <v>0</v>
      </c>
      <c r="C1" t="s">
        <v>79</v>
      </c>
      <c r="D1" s="33" t="str">
        <f ca="1">Model_Health</f>
        <v>OK</v>
      </c>
    </row>
    <row r="3" spans="1:8" ht="21" x14ac:dyDescent="0.4">
      <c r="C3" s="3" t="s">
        <v>57</v>
      </c>
    </row>
    <row r="6" spans="1:8" x14ac:dyDescent="0.3">
      <c r="C6" s="6" t="s">
        <v>58</v>
      </c>
      <c r="D6" s="25" t="str">
        <f>'Cost &amp; Risk Inputs'!D6</f>
        <v>ABC123</v>
      </c>
    </row>
    <row r="7" spans="1:8" x14ac:dyDescent="0.3">
      <c r="C7" s="11" t="s">
        <v>170</v>
      </c>
      <c r="D7" s="25" t="str">
        <f>'Cost &amp; Risk Inputs'!D7</f>
        <v>Option 1</v>
      </c>
    </row>
    <row r="9" spans="1:8" x14ac:dyDescent="0.3">
      <c r="C9" s="11" t="s">
        <v>96</v>
      </c>
    </row>
    <row r="11" spans="1:8" x14ac:dyDescent="0.3">
      <c r="D11" s="11" t="s">
        <v>61</v>
      </c>
      <c r="E11" s="11" t="s">
        <v>62</v>
      </c>
      <c r="F11" s="11" t="s">
        <v>53</v>
      </c>
      <c r="H11" s="11" t="s">
        <v>63</v>
      </c>
    </row>
    <row r="12" spans="1:8" x14ac:dyDescent="0.3">
      <c r="C12" s="6" t="str">
        <f>Lookups!C5</f>
        <v>Concept</v>
      </c>
      <c r="D12" s="58">
        <f ca="1">SUMIF('Constant Ecs GBP'!$D$9:$D$38,$C12,'Constant Ecs GBP'!$DA$9:$DA$38)</f>
        <v>11614.818029994658</v>
      </c>
      <c r="E12" s="58">
        <f ca="1">SUMIF('Outturn incl. VAT'!$D$9:$D$38,$C12,'Outturn incl. VAT'!$DA$9:$DA$38)</f>
        <v>13937.78163599359</v>
      </c>
      <c r="F12" s="58">
        <f ca="1">SUMIF(NPV!$D$9:$D$38,$C12,NPV!$DA$9:$DA$38)</f>
        <v>4052.3980180685767</v>
      </c>
    </row>
    <row r="13" spans="1:8" x14ac:dyDescent="0.3">
      <c r="C13" s="6" t="str">
        <f>Lookups!C6</f>
        <v>Assessment</v>
      </c>
      <c r="D13" s="58">
        <f ca="1">SUMIF('Constant Ecs GBP'!$D$9:$D$38,$C13,'Constant Ecs GBP'!$DA$9:$DA$38)</f>
        <v>52299.242263326589</v>
      </c>
      <c r="E13" s="58">
        <f ca="1">SUMIF('Outturn incl. VAT'!$D$9:$D$38,$C13,'Outturn incl. VAT'!$DA$9:$DA$38)</f>
        <v>62759.090715991901</v>
      </c>
      <c r="F13" s="58">
        <f ca="1">SUMIF(NPV!$D$9:$D$38,$C13,NPV!$DA$9:$DA$38)</f>
        <v>18000.348908235585</v>
      </c>
    </row>
    <row r="14" spans="1:8" x14ac:dyDescent="0.3">
      <c r="C14" s="6" t="str">
        <f>Lookups!C7</f>
        <v>Design</v>
      </c>
      <c r="D14" s="58">
        <f ca="1">SUMIF('Constant Ecs GBP'!$D$9:$D$38,$C14,'Constant Ecs GBP'!$DA$9:$DA$38)</f>
        <v>62763.647518764665</v>
      </c>
      <c r="E14" s="58">
        <f ca="1">SUMIF('Outturn incl. VAT'!$D$9:$D$38,$C14,'Outturn incl. VAT'!$DA$9:$DA$38)</f>
        <v>75316.377022517598</v>
      </c>
      <c r="F14" s="58">
        <f ca="1">SUMIF(NPV!$D$9:$D$38,$C14,NPV!$DA$9:$DA$38)</f>
        <v>21554.116957004368</v>
      </c>
    </row>
    <row r="15" spans="1:8" x14ac:dyDescent="0.3">
      <c r="C15" s="6" t="str">
        <f>Lookups!C8</f>
        <v>Manufacture</v>
      </c>
      <c r="D15" s="58">
        <f ca="1">SUMIF('Constant Ecs GBP'!$D$9:$D$38,$C15,'Constant Ecs GBP'!$DA$9:$DA$38)</f>
        <v>2000</v>
      </c>
      <c r="E15" s="58">
        <f ca="1">SUMIF('Outturn incl. VAT'!$D$9:$D$38,$C15,'Outturn incl. VAT'!$DA$9:$DA$38)</f>
        <v>2400</v>
      </c>
      <c r="F15" s="58">
        <f ca="1">SUMIF(NPV!$D$9:$D$38,$C15,NPV!$DA$9:$DA$38)</f>
        <v>646.64235712639027</v>
      </c>
    </row>
    <row r="16" spans="1:8" x14ac:dyDescent="0.3">
      <c r="C16" s="6" t="str">
        <f>Lookups!C9</f>
        <v>In-Service</v>
      </c>
      <c r="D16" s="58">
        <f ca="1">SUMIF('Constant Ecs GBP'!$D$9:$D$38,$C16,'Constant Ecs GBP'!$DA$9:$DA$38)</f>
        <v>1489.5801483092866</v>
      </c>
      <c r="E16" s="58">
        <f ca="1">SUMIF('Outturn incl. VAT'!$D$9:$D$38,$C16,'Outturn incl. VAT'!$DA$9:$DA$38)</f>
        <v>1787.4961779711439</v>
      </c>
      <c r="F16" s="58">
        <f ca="1">SUMIF(NPV!$D$9:$D$38,$C16,NPV!$DA$9:$DA$38)</f>
        <v>454.86450207138961</v>
      </c>
    </row>
    <row r="18" spans="3:22" x14ac:dyDescent="0.3">
      <c r="C18" s="6" t="s">
        <v>65</v>
      </c>
      <c r="D18" s="31">
        <f ca="1">SUM(D12:D16)</f>
        <v>130167.2879603952</v>
      </c>
      <c r="E18" s="31">
        <f ca="1">SUM(E12:E16)</f>
        <v>156200.74555247423</v>
      </c>
      <c r="F18" s="31">
        <f ca="1">SUM(F12:F16)</f>
        <v>44708.370742506304</v>
      </c>
      <c r="H18" s="53">
        <f ca="1">F18/EAC!$CY$15</f>
        <v>2367.9638328840688</v>
      </c>
    </row>
    <row r="20" spans="3:22" x14ac:dyDescent="0.3">
      <c r="C20" s="6" t="s">
        <v>94</v>
      </c>
      <c r="D20" s="50">
        <v>0.1</v>
      </c>
      <c r="J20" s="6" t="s">
        <v>94</v>
      </c>
      <c r="K20" s="50">
        <v>0.5</v>
      </c>
      <c r="Q20" s="6" t="s">
        <v>94</v>
      </c>
      <c r="R20" s="50">
        <v>0.9</v>
      </c>
    </row>
    <row r="22" spans="3:22" x14ac:dyDescent="0.3">
      <c r="D22" s="11" t="s">
        <v>61</v>
      </c>
      <c r="E22" s="11" t="s">
        <v>62</v>
      </c>
      <c r="F22" s="11" t="s">
        <v>53</v>
      </c>
      <c r="H22" s="11" t="s">
        <v>63</v>
      </c>
      <c r="K22" s="11" t="s">
        <v>61</v>
      </c>
      <c r="L22" s="11" t="s">
        <v>62</v>
      </c>
      <c r="M22" s="11" t="s">
        <v>53</v>
      </c>
      <c r="O22" s="11" t="s">
        <v>63</v>
      </c>
      <c r="R22" s="11" t="s">
        <v>61</v>
      </c>
      <c r="S22" s="11" t="s">
        <v>62</v>
      </c>
      <c r="T22" s="11" t="s">
        <v>53</v>
      </c>
      <c r="V22" s="11" t="s">
        <v>63</v>
      </c>
    </row>
    <row r="23" spans="3:22" x14ac:dyDescent="0.3">
      <c r="C23" s="6" t="str">
        <f>Lookups!C5</f>
        <v>Concept</v>
      </c>
      <c r="D23" s="55">
        <f ca="1">_xll.CampagnaOutputPercentile(D12,$D$20)</f>
        <v>14774.94283</v>
      </c>
      <c r="E23" s="55">
        <f ca="1">_xll.CampagnaOutputPercentile(E12,$D$20)</f>
        <v>17729.93147</v>
      </c>
      <c r="F23" s="55">
        <f ca="1">_xll.CampagnaOutputPercentile(F12,$D$20)</f>
        <v>5137.7519000000002</v>
      </c>
      <c r="J23" s="6" t="str">
        <f>Lookups!C5</f>
        <v>Concept</v>
      </c>
      <c r="K23" s="55">
        <f ca="1">_xll.CampagnaOutputPercentile(D12,$K$20)</f>
        <v>19471.293550000002</v>
      </c>
      <c r="L23" s="55">
        <f ca="1">_xll.CampagnaOutputPercentile(E12,$K$20)</f>
        <v>23365.552299999999</v>
      </c>
      <c r="M23" s="55">
        <f ca="1">_xll.CampagnaOutputPercentile(F12,$K$20)</f>
        <v>6750.7270499999995</v>
      </c>
      <c r="Q23" s="6" t="str">
        <f>Lookups!C5</f>
        <v>Concept</v>
      </c>
      <c r="R23" s="55">
        <f ca="1">_xll.CampagnaOutputPercentile(D12,$D$20)</f>
        <v>14774.94283</v>
      </c>
      <c r="S23" s="55">
        <f ca="1">_xll.CampagnaOutputPercentile(E12,$D$20)</f>
        <v>17729.93147</v>
      </c>
      <c r="T23" s="55">
        <f ca="1">_xll.CampagnaOutputPercentile(F12,$D$20)</f>
        <v>5137.7519000000002</v>
      </c>
    </row>
    <row r="24" spans="3:22" x14ac:dyDescent="0.3">
      <c r="C24" s="6" t="str">
        <f>Lookups!C6</f>
        <v>Assessment</v>
      </c>
      <c r="D24" s="55">
        <f ca="1">_xll.CampagnaOutputPercentile(D13,$D$20)</f>
        <v>36969.380700000002</v>
      </c>
      <c r="E24" s="55">
        <f ca="1">_xll.CampagnaOutputPercentile(E13,$D$20)</f>
        <v>44363.256890000004</v>
      </c>
      <c r="F24" s="55">
        <f ca="1">_xll.CampagnaOutputPercentile(F13,$D$20)</f>
        <v>12735.264089999999</v>
      </c>
      <c r="J24" s="6" t="str">
        <f>Lookups!C6</f>
        <v>Assessment</v>
      </c>
      <c r="K24" s="55">
        <f ca="1">_xll.CampagnaOutputPercentile(D13,$K$20)</f>
        <v>46153.698600000003</v>
      </c>
      <c r="L24" s="55">
        <f ca="1">_xll.CampagnaOutputPercentile(E13,$K$20)</f>
        <v>55384.438299999994</v>
      </c>
      <c r="M24" s="55">
        <f ca="1">_xll.CampagnaOutputPercentile(F13,$K$20)</f>
        <v>15889.644349999999</v>
      </c>
      <c r="Q24" s="6" t="str">
        <f>Lookups!C6</f>
        <v>Assessment</v>
      </c>
      <c r="R24" s="55">
        <f ca="1">_xll.CampagnaOutputPercentile(D13,$D$20)</f>
        <v>36969.380700000002</v>
      </c>
      <c r="S24" s="55">
        <f ca="1">_xll.CampagnaOutputPercentile(E13,$D$20)</f>
        <v>44363.256890000004</v>
      </c>
      <c r="T24" s="55">
        <f ca="1">_xll.CampagnaOutputPercentile(F13,$D$20)</f>
        <v>12735.264089999999</v>
      </c>
    </row>
    <row r="25" spans="3:22" x14ac:dyDescent="0.3">
      <c r="C25" s="6" t="str">
        <f>Lookups!C7</f>
        <v>Design</v>
      </c>
      <c r="D25" s="55">
        <f ca="1">_xll.CampagnaOutputPercentile(D14,$D$20)</f>
        <v>49016.238400000002</v>
      </c>
      <c r="E25" s="55">
        <f ca="1">_xll.CampagnaOutputPercentile(E14,$D$20)</f>
        <v>58819.486100000002</v>
      </c>
      <c r="F25" s="55">
        <f ca="1">_xll.CampagnaOutputPercentile(F14,$D$20)</f>
        <v>16832.529920000001</v>
      </c>
      <c r="J25" s="6" t="str">
        <f>Lookups!C7</f>
        <v>Design</v>
      </c>
      <c r="K25" s="55">
        <f ca="1">_xll.CampagnaOutputPercentile(D14,$K$20)</f>
        <v>67369.52665</v>
      </c>
      <c r="L25" s="55">
        <f ca="1">_xll.CampagnaOutputPercentile(E14,$K$20)</f>
        <v>80843.431949999998</v>
      </c>
      <c r="M25" s="55">
        <f ca="1">_xll.CampagnaOutputPercentile(F14,$K$20)</f>
        <v>23136.019350000002</v>
      </c>
      <c r="Q25" s="6" t="str">
        <f>Lookups!C7</f>
        <v>Design</v>
      </c>
      <c r="R25" s="55">
        <f ca="1">_xll.CampagnaOutputPercentile(D14,$D$20)</f>
        <v>49016.238400000002</v>
      </c>
      <c r="S25" s="55">
        <f ca="1">_xll.CampagnaOutputPercentile(E14,$D$20)</f>
        <v>58819.486100000002</v>
      </c>
      <c r="T25" s="55">
        <f ca="1">_xll.CampagnaOutputPercentile(F14,$D$20)</f>
        <v>16832.529920000001</v>
      </c>
    </row>
    <row r="26" spans="3:22" x14ac:dyDescent="0.3">
      <c r="C26" s="6" t="str">
        <f>Lookups!C8</f>
        <v>Manufacture</v>
      </c>
      <c r="D26" s="55">
        <f ca="1">_xll.CampagnaOutputPercentile(D15,$D$20)</f>
        <v>2000</v>
      </c>
      <c r="E26" s="55">
        <f ca="1">_xll.CampagnaOutputPercentile(E15,$D$20)</f>
        <v>2400</v>
      </c>
      <c r="F26" s="55">
        <f ca="1">_xll.CampagnaOutputPercentile(F15,$D$20)</f>
        <v>646.64239999999995</v>
      </c>
      <c r="J26" s="6" t="str">
        <f>Lookups!C8</f>
        <v>Manufacture</v>
      </c>
      <c r="K26" s="55">
        <f ca="1">_xll.CampagnaOutputPercentile(D15,$K$20)</f>
        <v>2000</v>
      </c>
      <c r="L26" s="55">
        <f ca="1">_xll.CampagnaOutputPercentile(E15,$K$20)</f>
        <v>2400</v>
      </c>
      <c r="M26" s="55">
        <f ca="1">_xll.CampagnaOutputPercentile(F15,$K$20)</f>
        <v>646.64239999999995</v>
      </c>
      <c r="Q26" s="6" t="str">
        <f>Lookups!C8</f>
        <v>Manufacture</v>
      </c>
      <c r="R26" s="55">
        <f ca="1">_xll.CampagnaOutputPercentile(D15,$D$20)</f>
        <v>2000</v>
      </c>
      <c r="S26" s="55">
        <f ca="1">_xll.CampagnaOutputPercentile(E15,$D$20)</f>
        <v>2400</v>
      </c>
      <c r="T26" s="55">
        <f ca="1">_xll.CampagnaOutputPercentile(F15,$D$20)</f>
        <v>646.64239999999995</v>
      </c>
    </row>
    <row r="27" spans="3:22" x14ac:dyDescent="0.3">
      <c r="C27" s="6" t="str">
        <f>Lookups!C9</f>
        <v>In-Service</v>
      </c>
      <c r="D27" s="55">
        <f ca="1">_xll.CampagnaOutputPercentile(D16,$D$20)</f>
        <v>1155.6594</v>
      </c>
      <c r="E27" s="55">
        <f ca="1">_xll.CampagnaOutputPercentile(E16,$D$20)</f>
        <v>1386.7913100000001</v>
      </c>
      <c r="F27" s="55">
        <f ca="1">_xll.CampagnaOutputPercentile(F16,$D$20)</f>
        <v>352.89704</v>
      </c>
      <c r="J27" s="6" t="str">
        <f>Lookups!C9</f>
        <v>In-Service</v>
      </c>
      <c r="K27" s="55">
        <f ca="1">_xll.CampagnaOutputPercentile(D16,$K$20)</f>
        <v>1584.3227000000002</v>
      </c>
      <c r="L27" s="55">
        <f ca="1">_xll.CampagnaOutputPercentile(E16,$K$20)</f>
        <v>1901.1872499999999</v>
      </c>
      <c r="M27" s="55">
        <f ca="1">_xll.CampagnaOutputPercentile(F16,$K$20)</f>
        <v>483.79544999999996</v>
      </c>
      <c r="Q27" s="6" t="str">
        <f>Lookups!C9</f>
        <v>In-Service</v>
      </c>
      <c r="R27" s="55">
        <f ca="1">_xll.CampagnaOutputPercentile(D16,$D$20)</f>
        <v>1155.6594</v>
      </c>
      <c r="S27" s="55">
        <f ca="1">_xll.CampagnaOutputPercentile(E16,$D$20)</f>
        <v>1386.7913100000001</v>
      </c>
      <c r="T27" s="55">
        <f ca="1">_xll.CampagnaOutputPercentile(F16,$D$20)</f>
        <v>352.89704</v>
      </c>
    </row>
    <row r="28" spans="3:22" x14ac:dyDescent="0.3">
      <c r="D28" s="54"/>
      <c r="E28" s="54"/>
      <c r="F28" s="54"/>
      <c r="K28" s="54"/>
      <c r="L28" s="54"/>
      <c r="M28" s="54"/>
      <c r="R28" s="54"/>
      <c r="S28" s="54"/>
      <c r="T28" s="54"/>
    </row>
    <row r="29" spans="3:22" x14ac:dyDescent="0.3">
      <c r="C29" s="6" t="s">
        <v>65</v>
      </c>
      <c r="D29" s="31">
        <f ca="1">SUM(D23:D27)</f>
        <v>103916.22133</v>
      </c>
      <c r="E29" s="31">
        <f t="shared" ref="E29:F29" ca="1" si="0">SUM(E23:E27)</f>
        <v>124699.46577000001</v>
      </c>
      <c r="F29" s="31">
        <f t="shared" ca="1" si="0"/>
        <v>35705.085350000001</v>
      </c>
      <c r="H29" s="53">
        <f ca="1">F29/EAC!$CY$15</f>
        <v>1891.1078474719457</v>
      </c>
      <c r="J29" s="6" t="s">
        <v>65</v>
      </c>
      <c r="K29" s="31">
        <f ca="1">SUM(K23:K27)</f>
        <v>136578.84150000001</v>
      </c>
      <c r="L29" s="31">
        <f t="shared" ref="L29:M29" ca="1" si="1">SUM(L23:L27)</f>
        <v>163894.60979999998</v>
      </c>
      <c r="M29" s="31">
        <f t="shared" ca="1" si="1"/>
        <v>46906.828599999993</v>
      </c>
      <c r="O29" s="53">
        <f ca="1">M29/EAC!$CY$15</f>
        <v>2484.404414551595</v>
      </c>
      <c r="Q29" s="6" t="s">
        <v>65</v>
      </c>
      <c r="R29" s="31">
        <f ca="1">SUM(R23:R27)</f>
        <v>103916.22133</v>
      </c>
      <c r="S29" s="31">
        <f t="shared" ref="S29:T29" ca="1" si="2">SUM(S23:S27)</f>
        <v>124699.46577000001</v>
      </c>
      <c r="T29" s="31">
        <f t="shared" ca="1" si="2"/>
        <v>35705.085350000001</v>
      </c>
      <c r="V29" s="53">
        <f ca="1">T29/EAC!$CY$15</f>
        <v>1891.1078474719457</v>
      </c>
    </row>
    <row r="32" spans="3:22" ht="18" x14ac:dyDescent="0.35">
      <c r="C32" s="2" t="s">
        <v>102</v>
      </c>
    </row>
    <row r="33" spans="3:18" x14ac:dyDescent="0.3">
      <c r="I33" s="68"/>
      <c r="J33" s="68"/>
      <c r="K33" s="68"/>
      <c r="L33" s="68"/>
    </row>
    <row r="34" spans="3:18" x14ac:dyDescent="0.3">
      <c r="C34" s="11" t="s">
        <v>96</v>
      </c>
      <c r="I34" s="68"/>
      <c r="J34" s="68"/>
      <c r="K34" s="68"/>
      <c r="L34" s="68"/>
    </row>
    <row r="35" spans="3:18" x14ac:dyDescent="0.3">
      <c r="I35" s="68"/>
      <c r="J35" s="68"/>
      <c r="K35" s="68"/>
      <c r="L35" s="68"/>
    </row>
    <row r="36" spans="3:18" x14ac:dyDescent="0.3">
      <c r="D36" s="11" t="s">
        <v>61</v>
      </c>
      <c r="E36" s="11" t="s">
        <v>62</v>
      </c>
      <c r="F36" s="11" t="s">
        <v>53</v>
      </c>
      <c r="H36" s="11" t="s">
        <v>63</v>
      </c>
      <c r="I36" s="68"/>
      <c r="J36" s="68"/>
      <c r="K36" s="68"/>
      <c r="L36" s="68"/>
    </row>
    <row r="37" spans="3:18" x14ac:dyDescent="0.3">
      <c r="C37" s="6" t="str">
        <f>Lookups!G5</f>
        <v>Training</v>
      </c>
      <c r="D37" s="26">
        <f ca="1">SUMIF('Constant Ecs GBP'!$E$9:$E$38,$C37,'Constant Ecs GBP'!$DA$9:$DA$38)</f>
        <v>62332.214687555825</v>
      </c>
      <c r="E37" s="26">
        <f ca="1">SUMIF('Outturn incl. VAT'!$E$9:$E$38,$C37,'Outturn incl. VAT'!$DA$9:$DA$38)</f>
        <v>74798.65762506699</v>
      </c>
      <c r="F37" s="26">
        <f ca="1">SUMIF(NPV!$E$9:$E$38,$C37,NPV!$DA$9:$DA$38)</f>
        <v>21471.433178654323</v>
      </c>
    </row>
    <row r="38" spans="3:18" x14ac:dyDescent="0.3">
      <c r="C38" s="6" t="str">
        <f>Lookups!G6</f>
        <v>Equipment</v>
      </c>
      <c r="D38" s="26">
        <f ca="1">SUMIF('Constant Ecs GBP'!$E$9:$E$38,$C38,'Constant Ecs GBP'!$DA$9:$DA$38)</f>
        <v>2000</v>
      </c>
      <c r="E38" s="26">
        <f ca="1">SUMIF('Outturn incl. VAT'!$E$9:$E$38,$C38,'Outturn incl. VAT'!$DA$9:$DA$38)</f>
        <v>2400</v>
      </c>
      <c r="F38" s="26">
        <f ca="1">SUMIF(NPV!$E$9:$E$38,$C38,NPV!$DA$9:$DA$38)</f>
        <v>724.93007214111981</v>
      </c>
    </row>
    <row r="39" spans="3:18" x14ac:dyDescent="0.3">
      <c r="C39" s="6" t="str">
        <f>Lookups!G7</f>
        <v>Personnel</v>
      </c>
      <c r="D39" s="26">
        <f ca="1">SUMIF('Constant Ecs GBP'!$E$9:$E$38,$C38,'Constant Ecs GBP'!$DA$9:$DA$38)</f>
        <v>2000</v>
      </c>
      <c r="E39" s="26">
        <f ca="1">SUMIF('Outturn incl. VAT'!$E$9:$E$38,$C38,'Outturn incl. VAT'!$DA$9:$DA$38)</f>
        <v>2400</v>
      </c>
      <c r="F39" s="26">
        <f ca="1">SUMIF(NPV!$E$9:$E$38,$C38,NPV!$DA$9:$DA$38)</f>
        <v>724.93007214111981</v>
      </c>
    </row>
    <row r="40" spans="3:18" x14ac:dyDescent="0.3">
      <c r="C40" s="6" t="str">
        <f>Lookups!G8</f>
        <v>Information</v>
      </c>
      <c r="D40" s="26">
        <f ca="1">SUMIF('Constant Ecs GBP'!$E$9:$E$38,$C38,'Constant Ecs GBP'!$DA$9:$DA$38)</f>
        <v>2000</v>
      </c>
      <c r="E40" s="26">
        <f ca="1">SUMIF('Outturn incl. VAT'!$E$9:$E$38,$C38,'Outturn incl. VAT'!$DA$9:$DA$38)</f>
        <v>2400</v>
      </c>
      <c r="F40" s="26">
        <f ca="1">SUMIF(NPV!$E$9:$E$38,$C38,NPV!$DA$9:$DA$38)</f>
        <v>724.93007214111981</v>
      </c>
    </row>
    <row r="41" spans="3:18" x14ac:dyDescent="0.3">
      <c r="C41" s="6" t="str">
        <f>Lookups!G9</f>
        <v>Concepts and Doctrine</v>
      </c>
      <c r="D41" s="26">
        <f ca="1">SUMIF('Constant Ecs GBP'!$E$9:$E$38,$C41,'Constant Ecs GBP'!$DA$9:$DA$38)</f>
        <v>1489.5801483092866</v>
      </c>
      <c r="E41" s="26">
        <f ca="1">SUMIF('Outturn incl. VAT'!$E$9:$E$38,$C41,'Outturn incl. VAT'!$DA$9:$DA$38)</f>
        <v>1787.4961779711439</v>
      </c>
      <c r="F41" s="26">
        <f ca="1">SUMIF(NPV!$E$9:$E$38,$C41,NPV!$DA$9:$DA$38)</f>
        <v>454.86450207138961</v>
      </c>
    </row>
    <row r="42" spans="3:18" x14ac:dyDescent="0.3">
      <c r="C42" s="6" t="str">
        <f>Lookups!G10</f>
        <v>Organisation</v>
      </c>
      <c r="D42" s="26">
        <f ca="1">SUMIF('Constant Ecs GBP'!$E$9:$E$38,$C42,'Constant Ecs GBP'!$DA$9:$DA$38)</f>
        <v>11150.114204075808</v>
      </c>
      <c r="E42" s="26">
        <f ca="1">SUMIF('Outturn incl. VAT'!$E$9:$E$38,$C42,'Outturn incl. VAT'!$DA$9:$DA$38)</f>
        <v>13380.137044890969</v>
      </c>
      <c r="F42" s="26">
        <f ca="1">SUMIF(NPV!$E$9:$E$38,$C42,NPV!$DA$9:$DA$38)</f>
        <v>3829.5386625761935</v>
      </c>
    </row>
    <row r="43" spans="3:18" x14ac:dyDescent="0.3">
      <c r="C43" s="6" t="str">
        <f>Lookups!G11</f>
        <v>Infrastructure</v>
      </c>
      <c r="D43" s="26">
        <f ca="1">SUMIF('Constant Ecs GBP'!$E$9:$E$38,$C43,'Constant Ecs GBP'!$DA$9:$DA$38)</f>
        <v>10046.250861203498</v>
      </c>
      <c r="E43" s="26">
        <f ca="1">SUMIF('Outturn incl. VAT'!$E$9:$E$38,$C43,'Outturn incl. VAT'!$DA$9:$DA$38)</f>
        <v>12055.501033444198</v>
      </c>
      <c r="F43" s="26">
        <f ca="1">SUMIF(NPV!$E$9:$E$38,$C43,NPV!$DA$9:$DA$38)</f>
        <v>3450.413635481415</v>
      </c>
    </row>
    <row r="44" spans="3:18" x14ac:dyDescent="0.3">
      <c r="C44" s="6" t="str">
        <f>Lookups!G12</f>
        <v>Logistics</v>
      </c>
      <c r="D44" s="26">
        <f ca="1">SUMIF('Constant Ecs GBP'!$E$9:$E$38,$C44,'Constant Ecs GBP'!$DA$9:$DA$38)</f>
        <v>39149.128059250783</v>
      </c>
      <c r="E44" s="26">
        <f ca="1">SUMIF('Outturn incl. VAT'!$E$9:$E$38,$C44,'Outturn incl. VAT'!$DA$9:$DA$38)</f>
        <v>46978.953671100935</v>
      </c>
      <c r="F44" s="26">
        <f ca="1">SUMIF(NPV!$E$9:$E$38,$C44,NPV!$DA$9:$DA$38)</f>
        <v>13445.880173518271</v>
      </c>
    </row>
    <row r="46" spans="3:18" x14ac:dyDescent="0.3">
      <c r="C46" s="6" t="s">
        <v>65</v>
      </c>
      <c r="D46" s="31">
        <f ca="1">SUM(D37:D44)</f>
        <v>130167.2879603952</v>
      </c>
      <c r="E46" s="31">
        <f t="shared" ref="E46:F46" ca="1" si="3">SUM(E37:E44)</f>
        <v>156200.74555247423</v>
      </c>
      <c r="F46" s="31">
        <f t="shared" ca="1" si="3"/>
        <v>44826.920368724954</v>
      </c>
      <c r="H46" s="53">
        <f ca="1">F46/EAC!$CY$15</f>
        <v>2374.2427740001399</v>
      </c>
    </row>
    <row r="48" spans="3:18" x14ac:dyDescent="0.3">
      <c r="C48" s="6" t="s">
        <v>94</v>
      </c>
      <c r="D48" s="50">
        <v>0.1</v>
      </c>
      <c r="J48" s="6" t="s">
        <v>94</v>
      </c>
      <c r="K48" s="50">
        <v>0.5</v>
      </c>
      <c r="Q48" s="6" t="s">
        <v>94</v>
      </c>
      <c r="R48" s="50">
        <v>0.9</v>
      </c>
    </row>
    <row r="50" spans="3:22" x14ac:dyDescent="0.3">
      <c r="D50" s="11" t="s">
        <v>61</v>
      </c>
      <c r="E50" s="11" t="s">
        <v>62</v>
      </c>
      <c r="F50" s="11" t="s">
        <v>53</v>
      </c>
      <c r="H50" s="11" t="s">
        <v>63</v>
      </c>
      <c r="K50" s="11" t="s">
        <v>61</v>
      </c>
      <c r="L50" s="11" t="s">
        <v>62</v>
      </c>
      <c r="M50" s="11" t="s">
        <v>53</v>
      </c>
      <c r="O50" s="11" t="s">
        <v>63</v>
      </c>
      <c r="R50" s="11" t="s">
        <v>61</v>
      </c>
      <c r="S50" s="11" t="s">
        <v>62</v>
      </c>
      <c r="T50" s="11" t="s">
        <v>53</v>
      </c>
      <c r="V50" s="11" t="s">
        <v>63</v>
      </c>
    </row>
    <row r="51" spans="3:22" x14ac:dyDescent="0.3">
      <c r="C51" s="6" t="str">
        <f>Lookups!G5</f>
        <v>Training</v>
      </c>
      <c r="D51" s="55">
        <f ca="1">_xll.CampagnaOutputPercentile(D37,$D$48)</f>
        <v>48584.8056</v>
      </c>
      <c r="E51" s="55">
        <f ca="1">_xll.CampagnaOutputPercentile(E37,$D$48)</f>
        <v>58301.7667</v>
      </c>
      <c r="F51" s="55">
        <f ca="1">_xll.CampagnaOutputPercentile(F37,$D$48)</f>
        <v>16749.846120000002</v>
      </c>
      <c r="J51" s="6" t="str">
        <f>Lookups!G5</f>
        <v>Training</v>
      </c>
      <c r="K51" s="55">
        <f ca="1">_xll.CampagnaOutputPercentile(D37,$K$48)</f>
        <v>66938.093800000002</v>
      </c>
      <c r="L51" s="55">
        <f ca="1">_xll.CampagnaOutputPercentile(E37,$K$48)</f>
        <v>80325.712549999997</v>
      </c>
      <c r="M51" s="55">
        <f ca="1">_xll.CampagnaOutputPercentile(F37,$K$48)</f>
        <v>23053.33555</v>
      </c>
      <c r="Q51" s="6" t="str">
        <f>Lookups!G5</f>
        <v>Training</v>
      </c>
      <c r="R51" s="55">
        <f ca="1">_xll.CampagnaOutputPercentile(D37,$R$48)</f>
        <v>84979.640939999997</v>
      </c>
      <c r="S51" s="55">
        <f ca="1">_xll.CampagnaOutputPercentile(E37,$R$48)</f>
        <v>101975.56913999999</v>
      </c>
      <c r="T51" s="55">
        <f ca="1">_xll.CampagnaOutputPercentile(F37,$R$48)</f>
        <v>29249.756610000004</v>
      </c>
    </row>
    <row r="52" spans="3:22" x14ac:dyDescent="0.3">
      <c r="C52" s="6" t="str">
        <f>Lookups!G6</f>
        <v>Equipment</v>
      </c>
      <c r="D52" s="55">
        <f ca="1">_xll.CampagnaOutputPercentile(D38,$D$48)</f>
        <v>2000</v>
      </c>
      <c r="E52" s="55">
        <f ca="1">_xll.CampagnaOutputPercentile(E38,$D$48)</f>
        <v>2400</v>
      </c>
      <c r="F52" s="55">
        <f ca="1">_xll.CampagnaOutputPercentile(F38,$D$48)</f>
        <v>724.93010000000004</v>
      </c>
      <c r="J52" s="6" t="str">
        <f>Lookups!G6</f>
        <v>Equipment</v>
      </c>
      <c r="K52" s="55">
        <f ca="1">_xll.CampagnaOutputPercentile(D38,$K$48)</f>
        <v>2000</v>
      </c>
      <c r="L52" s="55">
        <f ca="1">_xll.CampagnaOutputPercentile(E38,$K$48)</f>
        <v>2400</v>
      </c>
      <c r="M52" s="55">
        <f ca="1">_xll.CampagnaOutputPercentile(F38,$K$48)</f>
        <v>724.93010000000004</v>
      </c>
      <c r="Q52" s="6" t="str">
        <f>Lookups!G6</f>
        <v>Equipment</v>
      </c>
      <c r="R52" s="55">
        <f ca="1">_xll.CampagnaOutputPercentile(D38,$R$48)</f>
        <v>2000</v>
      </c>
      <c r="S52" s="55">
        <f ca="1">_xll.CampagnaOutputPercentile(E38,$R$48)</f>
        <v>2400</v>
      </c>
      <c r="T52" s="55">
        <f ca="1">_xll.CampagnaOutputPercentile(F38,$R$48)</f>
        <v>724.93010000000004</v>
      </c>
    </row>
    <row r="53" spans="3:22" x14ac:dyDescent="0.3">
      <c r="C53" s="6" t="str">
        <f>Lookups!G7</f>
        <v>Personnel</v>
      </c>
      <c r="D53" s="55">
        <f ca="1">_xll.CampagnaOutputPercentile(D39,$D$48)</f>
        <v>2000</v>
      </c>
      <c r="E53" s="55">
        <f ca="1">_xll.CampagnaOutputPercentile(E39,$D$48)</f>
        <v>2400</v>
      </c>
      <c r="F53" s="55">
        <f ca="1">_xll.CampagnaOutputPercentile(F39,$D$48)</f>
        <v>724.93010000000004</v>
      </c>
      <c r="J53" s="6" t="str">
        <f>Lookups!G7</f>
        <v>Personnel</v>
      </c>
      <c r="K53" s="55">
        <f ca="1">_xll.CampagnaOutputPercentile(D39,$K$48)</f>
        <v>2000</v>
      </c>
      <c r="L53" s="55">
        <f ca="1">_xll.CampagnaOutputPercentile(E39,$K$48)</f>
        <v>2400</v>
      </c>
      <c r="M53" s="55">
        <f ca="1">_xll.CampagnaOutputPercentile(F39,$K$48)</f>
        <v>724.93010000000004</v>
      </c>
      <c r="Q53" s="6" t="str">
        <f>Lookups!G7</f>
        <v>Personnel</v>
      </c>
      <c r="R53" s="55">
        <f ca="1">_xll.CampagnaOutputPercentile(D39,$R$48)</f>
        <v>2000</v>
      </c>
      <c r="S53" s="55">
        <f ca="1">_xll.CampagnaOutputPercentile(E39,$R$48)</f>
        <v>2400</v>
      </c>
      <c r="T53" s="55">
        <f ca="1">_xll.CampagnaOutputPercentile(F39,$R$48)</f>
        <v>724.93010000000004</v>
      </c>
    </row>
    <row r="54" spans="3:22" x14ac:dyDescent="0.3">
      <c r="C54" s="6" t="str">
        <f>Lookups!G8</f>
        <v>Information</v>
      </c>
      <c r="D54" s="55">
        <f ca="1">_xll.CampagnaOutputPercentile(D40,$D$48)</f>
        <v>2000</v>
      </c>
      <c r="E54" s="55">
        <f ca="1">_xll.CampagnaOutputPercentile(E40,$D$48)</f>
        <v>2400</v>
      </c>
      <c r="F54" s="55">
        <f ca="1">_xll.CampagnaOutputPercentile(F40,$D$48)</f>
        <v>724.93010000000004</v>
      </c>
      <c r="J54" s="6" t="str">
        <f>Lookups!G8</f>
        <v>Information</v>
      </c>
      <c r="K54" s="55">
        <f ca="1">_xll.CampagnaOutputPercentile(D40,$K$48)</f>
        <v>2000</v>
      </c>
      <c r="L54" s="55">
        <f ca="1">_xll.CampagnaOutputPercentile(E40,$K$48)</f>
        <v>2400</v>
      </c>
      <c r="M54" s="55">
        <f ca="1">_xll.CampagnaOutputPercentile(F40,$K$48)</f>
        <v>724.93010000000004</v>
      </c>
      <c r="Q54" s="6" t="str">
        <f>Lookups!G8</f>
        <v>Information</v>
      </c>
      <c r="R54" s="55">
        <f ca="1">_xll.CampagnaOutputPercentile(D40,$R$48)</f>
        <v>2000</v>
      </c>
      <c r="S54" s="55">
        <f ca="1">_xll.CampagnaOutputPercentile(E40,$R$48)</f>
        <v>2400</v>
      </c>
      <c r="T54" s="55">
        <f ca="1">_xll.CampagnaOutputPercentile(F40,$R$48)</f>
        <v>724.93010000000004</v>
      </c>
    </row>
    <row r="55" spans="3:22" x14ac:dyDescent="0.3">
      <c r="C55" s="6" t="str">
        <f>Lookups!G9</f>
        <v>Concepts and Doctrine</v>
      </c>
      <c r="D55" s="55">
        <f ca="1">_xll.CampagnaOutputPercentile(D41,$D$48)</f>
        <v>1155.6594</v>
      </c>
      <c r="E55" s="55">
        <f ca="1">_xll.CampagnaOutputPercentile(E41,$D$48)</f>
        <v>1386.7913100000001</v>
      </c>
      <c r="F55" s="55">
        <f ca="1">_xll.CampagnaOutputPercentile(F41,$D$48)</f>
        <v>352.89704</v>
      </c>
      <c r="J55" s="6" t="str">
        <f>Lookups!G9</f>
        <v>Concepts and Doctrine</v>
      </c>
      <c r="K55" s="55">
        <f ca="1">_xll.CampagnaOutputPercentile(D41,$K$48)</f>
        <v>1584.3227000000002</v>
      </c>
      <c r="L55" s="55">
        <f ca="1">_xll.CampagnaOutputPercentile(E41,$K$48)</f>
        <v>1901.1872499999999</v>
      </c>
      <c r="M55" s="55">
        <f ca="1">_xll.CampagnaOutputPercentile(F41,$K$48)</f>
        <v>483.79544999999996</v>
      </c>
      <c r="Q55" s="6" t="str">
        <f>Lookups!G9</f>
        <v>Concepts and Doctrine</v>
      </c>
      <c r="R55" s="55">
        <f ca="1">_xll.CampagnaOutputPercentile(D41,$R$48)</f>
        <v>2005.5951400000001</v>
      </c>
      <c r="S55" s="55">
        <f ca="1">_xll.CampagnaOutputPercentile(E41,$R$48)</f>
        <v>2406.7141900000001</v>
      </c>
      <c r="T55" s="55">
        <f ca="1">_xll.CampagnaOutputPercentile(F41,$R$48)</f>
        <v>612.43700000000001</v>
      </c>
    </row>
    <row r="56" spans="3:22" x14ac:dyDescent="0.3">
      <c r="C56" s="6" t="str">
        <f>Lookups!G10</f>
        <v>Organisation</v>
      </c>
      <c r="D56" s="55">
        <f ca="1">_xll.CampagnaOutputPercentile(D42,$D$48)</f>
        <v>7197.8593499999997</v>
      </c>
      <c r="E56" s="55">
        <f ca="1">_xll.CampagnaOutputPercentile(E42,$D$48)</f>
        <v>8637.4312600000012</v>
      </c>
      <c r="F56" s="55">
        <f ca="1">_xll.CampagnaOutputPercentile(F42,$D$48)</f>
        <v>2472.1254199999998</v>
      </c>
      <c r="J56" s="6" t="str">
        <f>Lookups!G10</f>
        <v>Organisation</v>
      </c>
      <c r="K56" s="55">
        <f ca="1">_xll.CampagnaOutputPercentile(D42,$K$48)</f>
        <v>9886.0418500000014</v>
      </c>
      <c r="L56" s="55">
        <f ca="1">_xll.CampagnaOutputPercentile(E42,$K$48)</f>
        <v>11863.250250000001</v>
      </c>
      <c r="M56" s="55">
        <f ca="1">_xll.CampagnaOutputPercentile(F42,$K$48)</f>
        <v>3395.3894</v>
      </c>
      <c r="Q56" s="6" t="str">
        <f>Lookups!G10</f>
        <v>Organisation</v>
      </c>
      <c r="R56" s="55">
        <f ca="1">_xll.CampagnaOutputPercentile(D42,$R$48)</f>
        <v>12677.188770000001</v>
      </c>
      <c r="S56" s="55">
        <f ca="1">_xll.CampagnaOutputPercentile(E42,$R$48)</f>
        <v>15212.626550000001</v>
      </c>
      <c r="T56" s="55">
        <f ca="1">_xll.CampagnaOutputPercentile(F42,$R$48)</f>
        <v>4354.0167999999994</v>
      </c>
    </row>
    <row r="57" spans="3:22" x14ac:dyDescent="0.3">
      <c r="C57" s="6" t="str">
        <f>Lookups!G11</f>
        <v>Infrastructure</v>
      </c>
      <c r="D57" s="55">
        <f ca="1">_xll.CampagnaOutputPercentile(D43,$D$48)</f>
        <v>13206.37572</v>
      </c>
      <c r="E57" s="55">
        <f ca="1">_xll.CampagnaOutputPercentile(E43,$D$48)</f>
        <v>15847.650870000001</v>
      </c>
      <c r="F57" s="55">
        <f ca="1">_xll.CampagnaOutputPercentile(F43,$D$48)</f>
        <v>4535.7675900000004</v>
      </c>
      <c r="J57" s="6" t="str">
        <f>Lookups!G11</f>
        <v>Infrastructure</v>
      </c>
      <c r="K57" s="55">
        <f ca="1">_xll.CampagnaOutputPercentile(D43,$K$48)</f>
        <v>17902.7264</v>
      </c>
      <c r="L57" s="55">
        <f ca="1">_xll.CampagnaOutputPercentile(E43,$K$48)</f>
        <v>21483.271700000001</v>
      </c>
      <c r="M57" s="55">
        <f ca="1">_xll.CampagnaOutputPercentile(F43,$K$48)</f>
        <v>6148.7426500000001</v>
      </c>
      <c r="Q57" s="6" t="str">
        <f>Lookups!G11</f>
        <v>Infrastructure</v>
      </c>
      <c r="R57" s="55">
        <f ca="1">_xll.CampagnaOutputPercentile(D43,$R$48)</f>
        <v>23045.45493</v>
      </c>
      <c r="S57" s="55">
        <f ca="1">_xll.CampagnaOutputPercentile(E43,$R$48)</f>
        <v>27654.54593</v>
      </c>
      <c r="T57" s="55">
        <f ca="1">_xll.CampagnaOutputPercentile(F43,$R$48)</f>
        <v>7915.02754</v>
      </c>
    </row>
    <row r="58" spans="3:22" x14ac:dyDescent="0.3">
      <c r="C58" s="6" t="str">
        <f>Lookups!G12</f>
        <v>Logistics</v>
      </c>
      <c r="D58" s="55">
        <f ca="1">_xll.CampagnaOutputPercentile(D44,$D$48)</f>
        <v>25140.36997</v>
      </c>
      <c r="E58" s="55">
        <f ca="1">_xll.CampagnaOutputPercentile(E44,$D$48)</f>
        <v>30168.443930000001</v>
      </c>
      <c r="F58" s="55">
        <f ca="1">_xll.CampagnaOutputPercentile(F44,$D$48)</f>
        <v>8634.5320499999998</v>
      </c>
      <c r="J58" s="6" t="str">
        <f>Lookups!G12</f>
        <v>Logistics</v>
      </c>
      <c r="K58" s="55">
        <f ca="1">_xll.CampagnaOutputPercentile(D44,$K$48)</f>
        <v>34285.972450000001</v>
      </c>
      <c r="L58" s="55">
        <f ca="1">_xll.CampagnaOutputPercentile(E44,$K$48)</f>
        <v>41143.166849999994</v>
      </c>
      <c r="M58" s="55">
        <f ca="1">_xll.CampagnaOutputPercentile(F44,$K$48)</f>
        <v>11775.615449999999</v>
      </c>
      <c r="Q58" s="6" t="str">
        <f>Lookups!G12</f>
        <v>Logistics</v>
      </c>
      <c r="R58" s="55">
        <f ca="1">_xll.CampagnaOutputPercentile(D44,$R$48)</f>
        <v>42895.362140000005</v>
      </c>
      <c r="S58" s="55">
        <f ca="1">_xll.CampagnaOutputPercentile(E44,$R$48)</f>
        <v>51474.434569999998</v>
      </c>
      <c r="T58" s="55">
        <f ca="1">_xll.CampagnaOutputPercentile(F44,$R$48)</f>
        <v>14732.534970000001</v>
      </c>
    </row>
    <row r="60" spans="3:22" x14ac:dyDescent="0.3">
      <c r="C60" s="6" t="s">
        <v>65</v>
      </c>
      <c r="D60" s="31">
        <f t="shared" ref="D60:E60" ca="1" si="4">SUM(D51:D58)</f>
        <v>101285.07003999999</v>
      </c>
      <c r="E60" s="31">
        <f t="shared" ca="1" si="4"/>
        <v>121542.08406999998</v>
      </c>
      <c r="F60" s="31">
        <f ca="1">SUM(F51:F58)</f>
        <v>34919.958520000007</v>
      </c>
      <c r="H60" s="53">
        <f ca="1">F60/EAC!$CY$15</f>
        <v>1849.5238687496048</v>
      </c>
      <c r="J60" s="6" t="s">
        <v>65</v>
      </c>
      <c r="K60" s="31">
        <f t="shared" ref="K60:L60" ca="1" si="5">SUM(K51:K58)</f>
        <v>136597.15720000002</v>
      </c>
      <c r="L60" s="31">
        <f t="shared" ca="1" si="5"/>
        <v>163916.58859999999</v>
      </c>
      <c r="M60" s="31">
        <f ca="1">SUM(M51:M58)</f>
        <v>47031.668799999999</v>
      </c>
      <c r="O60" s="53">
        <f ca="1">M60/EAC!$CY$15</f>
        <v>2491.0165337941548</v>
      </c>
      <c r="Q60" s="6" t="s">
        <v>65</v>
      </c>
      <c r="R60" s="31">
        <f t="shared" ref="R60:S60" ca="1" si="6">SUM(R51:R58)</f>
        <v>171603.24192000003</v>
      </c>
      <c r="S60" s="31">
        <f t="shared" ca="1" si="6"/>
        <v>205923.89038</v>
      </c>
      <c r="T60" s="31">
        <f ca="1">SUM(T51:T58)</f>
        <v>59038.563220000011</v>
      </c>
      <c r="V60" s="53">
        <f ca="1">T60/EAC!$CY$15</f>
        <v>3126.9576620354051</v>
      </c>
    </row>
    <row r="62" spans="3:22" ht="18" x14ac:dyDescent="0.35">
      <c r="C62" s="2" t="s">
        <v>69</v>
      </c>
    </row>
    <row r="64" spans="3:22" x14ac:dyDescent="0.3">
      <c r="C64" s="11" t="s">
        <v>96</v>
      </c>
    </row>
    <row r="66" spans="3:93" x14ac:dyDescent="0.3">
      <c r="D66" s="6" t="str">
        <f>Timeline!F14</f>
        <v>19/20</v>
      </c>
      <c r="E66" s="6" t="str">
        <f>Timeline!G14</f>
        <v>20/21</v>
      </c>
      <c r="F66" s="6" t="str">
        <f>Timeline!H14</f>
        <v>21/22</v>
      </c>
      <c r="G66" s="6" t="str">
        <f>Timeline!I14</f>
        <v>22/23</v>
      </c>
      <c r="H66" s="6" t="str">
        <f>Timeline!J14</f>
        <v>23/24</v>
      </c>
      <c r="I66" s="6" t="str">
        <f>Timeline!K14</f>
        <v>24/25</v>
      </c>
      <c r="J66" s="6" t="str">
        <f>Timeline!L14</f>
        <v>25/26</v>
      </c>
      <c r="K66" s="6" t="str">
        <f>Timeline!M14</f>
        <v>26/27</v>
      </c>
      <c r="L66" s="6" t="str">
        <f>Timeline!N14</f>
        <v>27/28</v>
      </c>
      <c r="M66" s="6" t="str">
        <f>Timeline!O14</f>
        <v>28/29</v>
      </c>
      <c r="N66" s="6" t="str">
        <f>Timeline!P14</f>
        <v>29/30</v>
      </c>
      <c r="O66" s="6" t="str">
        <f>Timeline!Q14</f>
        <v>30/31</v>
      </c>
      <c r="P66" s="6" t="str">
        <f>Timeline!R14</f>
        <v>31/32</v>
      </c>
      <c r="Q66" s="6" t="str">
        <f>Timeline!S14</f>
        <v>32/33</v>
      </c>
      <c r="R66" s="6" t="str">
        <f>Timeline!T14</f>
        <v>33/34</v>
      </c>
      <c r="S66" s="6" t="str">
        <f>Timeline!U14</f>
        <v>34/35</v>
      </c>
      <c r="T66" s="6" t="str">
        <f>Timeline!V14</f>
        <v>35/36</v>
      </c>
      <c r="U66" s="6" t="str">
        <f>Timeline!W14</f>
        <v>36/37</v>
      </c>
      <c r="V66" s="6" t="str">
        <f>Timeline!X14</f>
        <v>37/38</v>
      </c>
      <c r="W66" s="6" t="str">
        <f>Timeline!Y14</f>
        <v>38/39</v>
      </c>
      <c r="X66" s="6" t="str">
        <f>Timeline!Z14</f>
        <v>39/40</v>
      </c>
      <c r="Y66" s="6" t="str">
        <f>Timeline!AA14</f>
        <v>40/41</v>
      </c>
      <c r="Z66" s="6" t="str">
        <f>Timeline!AB14</f>
        <v>41/42</v>
      </c>
      <c r="AA66" s="6" t="str">
        <f>Timeline!AC14</f>
        <v>42/43</v>
      </c>
      <c r="AB66" s="6" t="str">
        <f>Timeline!AD14</f>
        <v>43/44</v>
      </c>
      <c r="AC66" s="6" t="str">
        <f>Timeline!AE14</f>
        <v>44/45</v>
      </c>
      <c r="AD66" s="6" t="str">
        <f>Timeline!AF14</f>
        <v>45/46</v>
      </c>
      <c r="AE66" s="6" t="str">
        <f>Timeline!AG14</f>
        <v>46/47</v>
      </c>
      <c r="AF66" s="6" t="str">
        <f>Timeline!AH14</f>
        <v>47/48</v>
      </c>
      <c r="AG66" s="6" t="str">
        <f>Timeline!AI14</f>
        <v>48/49</v>
      </c>
      <c r="AH66" s="6" t="str">
        <f>Timeline!AJ14</f>
        <v>49/50</v>
      </c>
      <c r="AI66" s="6" t="str">
        <f>Timeline!AK14</f>
        <v>50/51</v>
      </c>
      <c r="AJ66" s="6" t="str">
        <f>Timeline!AL14</f>
        <v>51/52</v>
      </c>
      <c r="AK66" s="6" t="str">
        <f>Timeline!AM14</f>
        <v>52/53</v>
      </c>
      <c r="AL66" s="6" t="str">
        <f>Timeline!AN14</f>
        <v>53/54</v>
      </c>
      <c r="AM66" s="6" t="str">
        <f>Timeline!AO14</f>
        <v>54/55</v>
      </c>
      <c r="AN66" s="6" t="str">
        <f>Timeline!AP14</f>
        <v>55/56</v>
      </c>
      <c r="AO66" s="6" t="str">
        <f>Timeline!AQ14</f>
        <v>56/57</v>
      </c>
      <c r="AP66" s="6" t="str">
        <f>Timeline!AR14</f>
        <v>57/58</v>
      </c>
      <c r="AQ66" s="6" t="str">
        <f>Timeline!AS14</f>
        <v>58/59</v>
      </c>
      <c r="AR66" s="6" t="str">
        <f>Timeline!AT14</f>
        <v>59/60</v>
      </c>
      <c r="AS66" s="6" t="str">
        <f>Timeline!AU14</f>
        <v>60/61</v>
      </c>
      <c r="AT66" s="6" t="str">
        <f>Timeline!AV14</f>
        <v>61/62</v>
      </c>
      <c r="AU66" s="6" t="str">
        <f>Timeline!AW14</f>
        <v>62/63</v>
      </c>
      <c r="AV66" s="6" t="str">
        <f>Timeline!AX14</f>
        <v>63/64</v>
      </c>
      <c r="AW66" s="6" t="str">
        <f>Timeline!AY14</f>
        <v>64/65</v>
      </c>
      <c r="AX66" s="6" t="str">
        <f>Timeline!AZ14</f>
        <v>65/66</v>
      </c>
      <c r="AY66" s="6" t="str">
        <f>Timeline!BA14</f>
        <v>66/67</v>
      </c>
      <c r="AZ66" s="6" t="str">
        <f>Timeline!BB14</f>
        <v>67/68</v>
      </c>
      <c r="BA66" s="6" t="str">
        <f>Timeline!BC14</f>
        <v>68/69</v>
      </c>
      <c r="BB66" s="6" t="str">
        <f>Timeline!BD14</f>
        <v>69/70</v>
      </c>
      <c r="BC66" s="6" t="str">
        <f>Timeline!BE14</f>
        <v>70/71</v>
      </c>
      <c r="BD66" s="6" t="str">
        <f>Timeline!BF14</f>
        <v>71/72</v>
      </c>
      <c r="BE66" s="6" t="str">
        <f>Timeline!BG14</f>
        <v>72/73</v>
      </c>
      <c r="BF66" s="6" t="str">
        <f>Timeline!BH14</f>
        <v>73/74</v>
      </c>
      <c r="BG66" s="6" t="str">
        <f>Timeline!BI14</f>
        <v>74/75</v>
      </c>
      <c r="BH66" s="6" t="str">
        <f>Timeline!BJ14</f>
        <v>75/76</v>
      </c>
      <c r="BI66" s="6" t="str">
        <f>Timeline!BK14</f>
        <v>76/77</v>
      </c>
      <c r="BJ66" s="6" t="str">
        <f>Timeline!BL14</f>
        <v>77/78</v>
      </c>
      <c r="BK66" s="6" t="str">
        <f>Timeline!BM14</f>
        <v>78/79</v>
      </c>
      <c r="BL66" s="6" t="str">
        <f>Timeline!BN14</f>
        <v>79/80</v>
      </c>
      <c r="BM66" s="6" t="str">
        <f>Timeline!BO14</f>
        <v>80/81</v>
      </c>
      <c r="BN66" s="6" t="str">
        <f>Timeline!BP14</f>
        <v>81/82</v>
      </c>
      <c r="BO66" s="6" t="str">
        <f>Timeline!BQ14</f>
        <v>82/83</v>
      </c>
      <c r="BP66" s="6" t="str">
        <f>Timeline!BR14</f>
        <v>83/84</v>
      </c>
      <c r="BQ66" s="6" t="str">
        <f>Timeline!BS14</f>
        <v>84/85</v>
      </c>
      <c r="BR66" s="6" t="str">
        <f>Timeline!BT14</f>
        <v>85/86</v>
      </c>
      <c r="BS66" s="6" t="str">
        <f>Timeline!BU14</f>
        <v>86/87</v>
      </c>
      <c r="BT66" s="6" t="str">
        <f>Timeline!BV14</f>
        <v>87/88</v>
      </c>
      <c r="BU66" s="6" t="str">
        <f>Timeline!BW14</f>
        <v>88/89</v>
      </c>
      <c r="BV66" s="6" t="str">
        <f>Timeline!BX14</f>
        <v>89/90</v>
      </c>
      <c r="BW66" s="6" t="str">
        <f>Timeline!BY14</f>
        <v>90/91</v>
      </c>
      <c r="BX66" s="6" t="str">
        <f>Timeline!BZ14</f>
        <v>91/92</v>
      </c>
      <c r="BY66" s="6" t="str">
        <f>Timeline!CA14</f>
        <v>92/93</v>
      </c>
      <c r="BZ66" s="6" t="str">
        <f>Timeline!CB14</f>
        <v>93/94</v>
      </c>
      <c r="CA66" s="6" t="str">
        <f>Timeline!CC14</f>
        <v>94/95</v>
      </c>
      <c r="CB66" s="6" t="str">
        <f>Timeline!CD14</f>
        <v>95/96</v>
      </c>
      <c r="CC66" s="6" t="str">
        <f>Timeline!CE14</f>
        <v>96/97</v>
      </c>
      <c r="CD66" s="6" t="str">
        <f>Timeline!CF14</f>
        <v>97/98</v>
      </c>
      <c r="CE66" s="6" t="str">
        <f>Timeline!CG14</f>
        <v>98/99</v>
      </c>
      <c r="CF66" s="6" t="str">
        <f>Timeline!CH14</f>
        <v>99/00</v>
      </c>
      <c r="CG66" s="6" t="str">
        <f>Timeline!CI14</f>
        <v>00/01</v>
      </c>
      <c r="CH66" s="6" t="str">
        <f>Timeline!CJ14</f>
        <v>01/02</v>
      </c>
      <c r="CI66" s="6" t="str">
        <f>Timeline!CK14</f>
        <v>02/03</v>
      </c>
      <c r="CJ66" s="6" t="str">
        <f>Timeline!CL14</f>
        <v>03/04</v>
      </c>
      <c r="CK66" s="6" t="str">
        <f>Timeline!CM14</f>
        <v>04/05</v>
      </c>
      <c r="CL66" s="6" t="str">
        <f>Timeline!CN14</f>
        <v>05/06</v>
      </c>
      <c r="CM66" s="6" t="str">
        <f>Timeline!CO14</f>
        <v>06/07</v>
      </c>
      <c r="CN66" s="6" t="str">
        <f>Timeline!CP14</f>
        <v>07/08</v>
      </c>
      <c r="CO66" s="6" t="str">
        <f>Timeline!CQ14</f>
        <v>08/09</v>
      </c>
    </row>
    <row r="67" spans="3:93" x14ac:dyDescent="0.3">
      <c r="C67" s="6" t="str">
        <f>Lookups!C5</f>
        <v>Concept</v>
      </c>
      <c r="D67" s="26">
        <f ca="1">SUMIF('Outturn incl. VAT'!$D$9:$D$39,$C67,'Outturn incl. VAT'!M$9:M$39)</f>
        <v>0</v>
      </c>
      <c r="E67" s="26">
        <f ca="1">SUMIF('Outturn incl. VAT'!$D$9:$D$39,$C67,'Outturn incl. VAT'!N$9:N$39)</f>
        <v>0</v>
      </c>
      <c r="F67" s="26">
        <f ca="1">SUMIF('Outturn incl. VAT'!$D$9:$D$39,$C67,'Outturn incl. VAT'!O$9:O$39)</f>
        <v>0</v>
      </c>
      <c r="G67" s="26">
        <f ca="1">SUMIF('Outturn incl. VAT'!$D$9:$D$39,$C67,'Outturn incl. VAT'!P$9:P$39)</f>
        <v>0</v>
      </c>
      <c r="H67" s="26">
        <f ca="1">SUMIF('Outturn incl. VAT'!$D$9:$D$39,$C67,'Outturn incl. VAT'!Q$9:Q$39)</f>
        <v>0</v>
      </c>
      <c r="I67" s="26">
        <f ca="1">SUMIF('Outturn incl. VAT'!$D$9:$D$39,$C67,'Outturn incl. VAT'!R$9:R$39)</f>
        <v>0</v>
      </c>
      <c r="J67" s="26">
        <f ca="1">SUMIF('Outturn incl. VAT'!$D$9:$D$39,$C67,'Outturn incl. VAT'!S$9:S$39)</f>
        <v>0</v>
      </c>
      <c r="K67" s="26">
        <f ca="1">SUMIF('Outturn incl. VAT'!$D$9:$D$39,$C67,'Outturn incl. VAT'!T$9:T$39)</f>
        <v>0</v>
      </c>
      <c r="L67" s="26">
        <f ca="1">SUMIF('Outturn incl. VAT'!$D$9:$D$39,$C67,'Outturn incl. VAT'!U$9:U$39)</f>
        <v>0</v>
      </c>
      <c r="M67" s="26">
        <f ca="1">SUMIF('Outturn incl. VAT'!$D$9:$D$39,$C67,'Outturn incl. VAT'!V$9:V$39)</f>
        <v>0</v>
      </c>
      <c r="N67" s="26">
        <f ca="1">SUMIF('Outturn incl. VAT'!$D$9:$D$39,$C67,'Outturn incl. VAT'!W$9:W$39)</f>
        <v>0</v>
      </c>
      <c r="O67" s="26">
        <f ca="1">SUMIF('Outturn incl. VAT'!$D$9:$D$39,$C67,'Outturn incl. VAT'!X$9:X$39)</f>
        <v>0</v>
      </c>
      <c r="P67" s="26">
        <f ca="1">SUMIF('Outturn incl. VAT'!$D$9:$D$39,$C67,'Outturn incl. VAT'!Y$9:Y$39)</f>
        <v>0</v>
      </c>
      <c r="Q67" s="26">
        <f ca="1">SUMIF('Outturn incl. VAT'!$D$9:$D$39,$C67,'Outturn incl. VAT'!Z$9:Z$39)</f>
        <v>0</v>
      </c>
      <c r="R67" s="26">
        <f ca="1">SUMIF('Outturn incl. VAT'!$D$9:$D$39,$C67,'Outturn incl. VAT'!AA$9:AA$39)</f>
        <v>0</v>
      </c>
      <c r="S67" s="26">
        <f ca="1">SUMIF('Outturn incl. VAT'!$D$9:$D$39,$C67,'Outturn incl. VAT'!AB$9:AB$39)</f>
        <v>0</v>
      </c>
      <c r="T67" s="26">
        <f ca="1">SUMIF('Outturn incl. VAT'!$D$9:$D$39,$C67,'Outturn incl. VAT'!AC$9:AC$39)</f>
        <v>0</v>
      </c>
      <c r="U67" s="26">
        <f ca="1">SUMIF('Outturn incl. VAT'!$D$9:$D$39,$C67,'Outturn incl. VAT'!AD$9:AD$39)</f>
        <v>4293.3808092382314</v>
      </c>
      <c r="V67" s="26">
        <f ca="1">SUMIF('Outturn incl. VAT'!$D$9:$D$39,$C67,'Outturn incl. VAT'!AE$9:AE$39)</f>
        <v>2411.1002066888395</v>
      </c>
      <c r="W67" s="26">
        <f ca="1">SUMIF('Outturn incl. VAT'!$D$9:$D$39,$C67,'Outturn incl. VAT'!AF$9:AF$39)</f>
        <v>2411.1002066888395</v>
      </c>
      <c r="X67" s="26">
        <f ca="1">SUMIF('Outturn incl. VAT'!$D$9:$D$39,$C67,'Outturn incl. VAT'!AG$9:AG$39)</f>
        <v>2411.1002066888395</v>
      </c>
      <c r="Y67" s="26">
        <f ca="1">SUMIF('Outturn incl. VAT'!$D$9:$D$39,$C67,'Outturn incl. VAT'!AH$9:AH$39)</f>
        <v>2411.1002066888395</v>
      </c>
      <c r="Z67" s="26">
        <f ca="1">SUMIF('Outturn incl. VAT'!$D$9:$D$39,$C67,'Outturn incl. VAT'!AI$9:AI$39)</f>
        <v>0</v>
      </c>
      <c r="AA67" s="26">
        <f ca="1">SUMIF('Outturn incl. VAT'!$D$9:$D$39,$C67,'Outturn incl. VAT'!AJ$9:AJ$39)</f>
        <v>0</v>
      </c>
      <c r="AB67" s="26">
        <f ca="1">SUMIF('Outturn incl. VAT'!$D$9:$D$39,$C67,'Outturn incl. VAT'!AK$9:AK$39)</f>
        <v>0</v>
      </c>
      <c r="AC67" s="26">
        <f ca="1">SUMIF('Outturn incl. VAT'!$D$9:$D$39,$C67,'Outturn incl. VAT'!AL$9:AL$39)</f>
        <v>0</v>
      </c>
      <c r="AD67" s="26">
        <f ca="1">SUMIF('Outturn incl. VAT'!$D$9:$D$39,$C67,'Outturn incl. VAT'!AM$9:AM$39)</f>
        <v>0</v>
      </c>
      <c r="AE67" s="26">
        <f ca="1">SUMIF('Outturn incl. VAT'!$D$9:$D$39,$C67,'Outturn incl. VAT'!AN$9:AN$39)</f>
        <v>0</v>
      </c>
      <c r="AF67" s="26">
        <f ca="1">SUMIF('Outturn incl. VAT'!$D$9:$D$39,$C67,'Outturn incl. VAT'!AO$9:AO$39)</f>
        <v>0</v>
      </c>
      <c r="AG67" s="26">
        <f ca="1">SUMIF('Outturn incl. VAT'!$D$9:$D$39,$C67,'Outturn incl. VAT'!AP$9:AP$39)</f>
        <v>0</v>
      </c>
      <c r="AH67" s="26">
        <f ca="1">SUMIF('Outturn incl. VAT'!$D$9:$D$39,$C67,'Outturn incl. VAT'!AQ$9:AQ$39)</f>
        <v>0</v>
      </c>
      <c r="AI67" s="26">
        <f ca="1">SUMIF('Outturn incl. VAT'!$D$9:$D$39,$C67,'Outturn incl. VAT'!AR$9:AR$39)</f>
        <v>0</v>
      </c>
      <c r="AJ67" s="26">
        <f ca="1">SUMIF('Outturn incl. VAT'!$D$9:$D$39,$C67,'Outturn incl. VAT'!AS$9:AS$39)</f>
        <v>0</v>
      </c>
      <c r="AK67" s="26">
        <f ca="1">SUMIF('Outturn incl. VAT'!$D$9:$D$39,$C67,'Outturn incl. VAT'!AT$9:AT$39)</f>
        <v>0</v>
      </c>
      <c r="AL67" s="26">
        <f ca="1">SUMIF('Outturn incl. VAT'!$D$9:$D$39,$C67,'Outturn incl. VAT'!AU$9:AU$39)</f>
        <v>0</v>
      </c>
      <c r="AM67" s="26">
        <f ca="1">SUMIF('Outturn incl. VAT'!$D$9:$D$39,$C67,'Outturn incl. VAT'!AV$9:AV$39)</f>
        <v>0</v>
      </c>
      <c r="AN67" s="26">
        <f ca="1">SUMIF('Outturn incl. VAT'!$D$9:$D$39,$C67,'Outturn incl. VAT'!AW$9:AW$39)</f>
        <v>0</v>
      </c>
      <c r="AO67" s="26">
        <f ca="1">SUMIF('Outturn incl. VAT'!$D$9:$D$39,$C67,'Outturn incl. VAT'!AX$9:AX$39)</f>
        <v>0</v>
      </c>
      <c r="AP67" s="26">
        <f ca="1">SUMIF('Outturn incl. VAT'!$D$9:$D$39,$C67,'Outturn incl. VAT'!AY$9:AY$39)</f>
        <v>0</v>
      </c>
      <c r="AQ67" s="26">
        <f ca="1">SUMIF('Outturn incl. VAT'!$D$9:$D$39,$C67,'Outturn incl. VAT'!AZ$9:AZ$39)</f>
        <v>0</v>
      </c>
      <c r="AR67" s="26">
        <f ca="1">SUMIF('Outturn incl. VAT'!$D$9:$D$39,$C67,'Outturn incl. VAT'!BA$9:BA$39)</f>
        <v>0</v>
      </c>
      <c r="AS67" s="26">
        <f ca="1">SUMIF('Outturn incl. VAT'!$D$9:$D$39,$C67,'Outturn incl. VAT'!BB$9:BB$39)</f>
        <v>0</v>
      </c>
      <c r="AT67" s="26">
        <f ca="1">SUMIF('Outturn incl. VAT'!$D$9:$D$39,$C67,'Outturn incl. VAT'!BC$9:BC$39)</f>
        <v>0</v>
      </c>
      <c r="AU67" s="26">
        <f ca="1">SUMIF('Outturn incl. VAT'!$D$9:$D$39,$C67,'Outturn incl. VAT'!BD$9:BD$39)</f>
        <v>0</v>
      </c>
      <c r="AV67" s="26">
        <f ca="1">SUMIF('Outturn incl. VAT'!$D$9:$D$39,$C67,'Outturn incl. VAT'!BE$9:BE$39)</f>
        <v>0</v>
      </c>
      <c r="AW67" s="26">
        <f ca="1">SUMIF('Outturn incl. VAT'!$D$9:$D$39,$C67,'Outturn incl. VAT'!BF$9:BF$39)</f>
        <v>0</v>
      </c>
      <c r="AX67" s="26">
        <f ca="1">SUMIF('Outturn incl. VAT'!$D$9:$D$39,$C67,'Outturn incl. VAT'!BG$9:BG$39)</f>
        <v>0</v>
      </c>
      <c r="AY67" s="26">
        <f ca="1">SUMIF('Outturn incl. VAT'!$D$9:$D$39,$C67,'Outturn incl. VAT'!BH$9:BH$39)</f>
        <v>0</v>
      </c>
      <c r="AZ67" s="26">
        <f ca="1">SUMIF('Outturn incl. VAT'!$D$9:$D$39,$C67,'Outturn incl. VAT'!BI$9:BI$39)</f>
        <v>0</v>
      </c>
      <c r="BA67" s="26">
        <f ca="1">SUMIF('Outturn incl. VAT'!$D$9:$D$39,$C67,'Outturn incl. VAT'!BJ$9:BJ$39)</f>
        <v>0</v>
      </c>
      <c r="BB67" s="26">
        <f ca="1">SUMIF('Outturn incl. VAT'!$D$9:$D$39,$C67,'Outturn incl. VAT'!BK$9:BK$39)</f>
        <v>0</v>
      </c>
      <c r="BC67" s="26">
        <f ca="1">SUMIF('Outturn incl. VAT'!$D$9:$D$39,$C67,'Outturn incl. VAT'!BL$9:BL$39)</f>
        <v>0</v>
      </c>
      <c r="BD67" s="26">
        <f ca="1">SUMIF('Outturn incl. VAT'!$D$9:$D$39,$C67,'Outturn incl. VAT'!BM$9:BM$39)</f>
        <v>0</v>
      </c>
      <c r="BE67" s="26">
        <f ca="1">SUMIF('Outturn incl. VAT'!$D$9:$D$39,$C67,'Outturn incl. VAT'!BN$9:BN$39)</f>
        <v>0</v>
      </c>
      <c r="BF67" s="26">
        <f ca="1">SUMIF('Outturn incl. VAT'!$D$9:$D$39,$C67,'Outturn incl. VAT'!BO$9:BO$39)</f>
        <v>0</v>
      </c>
      <c r="BG67" s="26">
        <f ca="1">SUMIF('Outturn incl. VAT'!$D$9:$D$39,$C67,'Outturn incl. VAT'!BP$9:BP$39)</f>
        <v>0</v>
      </c>
      <c r="BH67" s="26">
        <f ca="1">SUMIF('Outturn incl. VAT'!$D$9:$D$39,$C67,'Outturn incl. VAT'!BQ$9:BQ$39)</f>
        <v>0</v>
      </c>
      <c r="BI67" s="26">
        <f ca="1">SUMIF('Outturn incl. VAT'!$D$9:$D$39,$C67,'Outturn incl. VAT'!BR$9:BR$39)</f>
        <v>0</v>
      </c>
      <c r="BJ67" s="26">
        <f ca="1">SUMIF('Outturn incl. VAT'!$D$9:$D$39,$C67,'Outturn incl. VAT'!BS$9:BS$39)</f>
        <v>0</v>
      </c>
      <c r="BK67" s="26">
        <f ca="1">SUMIF('Outturn incl. VAT'!$D$9:$D$39,$C67,'Outturn incl. VAT'!BT$9:BT$39)</f>
        <v>0</v>
      </c>
      <c r="BL67" s="26">
        <f ca="1">SUMIF('Outturn incl. VAT'!$D$9:$D$39,$C67,'Outturn incl. VAT'!BU$9:BU$39)</f>
        <v>0</v>
      </c>
      <c r="BM67" s="26">
        <f ca="1">SUMIF('Outturn incl. VAT'!$D$9:$D$39,$C67,'Outturn incl. VAT'!BV$9:BV$39)</f>
        <v>0</v>
      </c>
      <c r="BN67" s="26">
        <f ca="1">SUMIF('Outturn incl. VAT'!$D$9:$D$39,$C67,'Outturn incl. VAT'!BW$9:BW$39)</f>
        <v>0</v>
      </c>
      <c r="BO67" s="26">
        <f ca="1">SUMIF('Outturn incl. VAT'!$D$9:$D$39,$C67,'Outturn incl. VAT'!BX$9:BX$39)</f>
        <v>0</v>
      </c>
      <c r="BP67" s="26">
        <f ca="1">SUMIF('Outturn incl. VAT'!$D$9:$D$39,$C67,'Outturn incl. VAT'!BY$9:BY$39)</f>
        <v>0</v>
      </c>
      <c r="BQ67" s="26">
        <f ca="1">SUMIF('Outturn incl. VAT'!$D$9:$D$39,$C67,'Outturn incl. VAT'!BZ$9:BZ$39)</f>
        <v>0</v>
      </c>
      <c r="BR67" s="26">
        <f ca="1">SUMIF('Outturn incl. VAT'!$D$9:$D$39,$C67,'Outturn incl. VAT'!CA$9:CA$39)</f>
        <v>0</v>
      </c>
      <c r="BS67" s="26">
        <f ca="1">SUMIF('Outturn incl. VAT'!$D$9:$D$39,$C67,'Outturn incl. VAT'!CB$9:CB$39)</f>
        <v>0</v>
      </c>
      <c r="BT67" s="26">
        <f ca="1">SUMIF('Outturn incl. VAT'!$D$9:$D$39,$C67,'Outturn incl. VAT'!CC$9:CC$39)</f>
        <v>0</v>
      </c>
      <c r="BU67" s="26">
        <f ca="1">SUMIF('Outturn incl. VAT'!$D$9:$D$39,$C67,'Outturn incl. VAT'!CD$9:CD$39)</f>
        <v>0</v>
      </c>
      <c r="BV67" s="26">
        <f ca="1">SUMIF('Outturn incl. VAT'!$D$9:$D$39,$C67,'Outturn incl. VAT'!CE$9:CE$39)</f>
        <v>0</v>
      </c>
      <c r="BW67" s="26">
        <f ca="1">SUMIF('Outturn incl. VAT'!$D$9:$D$39,$C67,'Outturn incl. VAT'!CF$9:CF$39)</f>
        <v>0</v>
      </c>
      <c r="BX67" s="26">
        <f ca="1">SUMIF('Outturn incl. VAT'!$D$9:$D$39,$C67,'Outturn incl. VAT'!CG$9:CG$39)</f>
        <v>0</v>
      </c>
      <c r="BY67" s="26">
        <f ca="1">SUMIF('Outturn incl. VAT'!$D$9:$D$39,$C67,'Outturn incl. VAT'!CH$9:CH$39)</f>
        <v>0</v>
      </c>
      <c r="BZ67" s="26">
        <f ca="1">SUMIF('Outturn incl. VAT'!$D$9:$D$39,$C67,'Outturn incl. VAT'!CI$9:CI$39)</f>
        <v>0</v>
      </c>
      <c r="CA67" s="26">
        <f ca="1">SUMIF('Outturn incl. VAT'!$D$9:$D$39,$C67,'Outturn incl. VAT'!CJ$9:CJ$39)</f>
        <v>0</v>
      </c>
      <c r="CB67" s="26">
        <f ca="1">SUMIF('Outturn incl. VAT'!$D$9:$D$39,$C67,'Outturn incl. VAT'!CK$9:CK$39)</f>
        <v>0</v>
      </c>
      <c r="CC67" s="26">
        <f ca="1">SUMIF('Outturn incl. VAT'!$D$9:$D$39,$C67,'Outturn incl. VAT'!CL$9:CL$39)</f>
        <v>0</v>
      </c>
      <c r="CD67" s="26">
        <f ca="1">SUMIF('Outturn incl. VAT'!$D$9:$D$39,$C67,'Outturn incl. VAT'!CM$9:CM$39)</f>
        <v>0</v>
      </c>
      <c r="CE67" s="26">
        <f ca="1">SUMIF('Outturn incl. VAT'!$D$9:$D$39,$C67,'Outturn incl. VAT'!CN$9:CN$39)</f>
        <v>0</v>
      </c>
      <c r="CF67" s="26">
        <f ca="1">SUMIF('Outturn incl. VAT'!$D$9:$D$39,$C67,'Outturn incl. VAT'!CO$9:CO$39)</f>
        <v>0</v>
      </c>
      <c r="CG67" s="26">
        <f ca="1">SUMIF('Outturn incl. VAT'!$D$9:$D$39,$C67,'Outturn incl. VAT'!CP$9:CP$39)</f>
        <v>0</v>
      </c>
      <c r="CH67" s="26">
        <f ca="1">SUMIF('Outturn incl. VAT'!$D$9:$D$39,$C67,'Outturn incl. VAT'!CQ$9:CQ$39)</f>
        <v>0</v>
      </c>
      <c r="CI67" s="26">
        <f ca="1">SUMIF('Outturn incl. VAT'!$D$9:$D$39,$C67,'Outturn incl. VAT'!CR$9:CR$39)</f>
        <v>0</v>
      </c>
      <c r="CJ67" s="26">
        <f ca="1">SUMIF('Outturn incl. VAT'!$D$9:$D$39,$C67,'Outturn incl. VAT'!CS$9:CS$39)</f>
        <v>0</v>
      </c>
      <c r="CK67" s="26">
        <f ca="1">SUMIF('Outturn incl. VAT'!$D$9:$D$39,$C67,'Outturn incl. VAT'!CT$9:CT$39)</f>
        <v>0</v>
      </c>
      <c r="CL67" s="26">
        <f ca="1">SUMIF('Outturn incl. VAT'!$D$9:$D$39,$C67,'Outturn incl. VAT'!CU$9:CU$39)</f>
        <v>0</v>
      </c>
      <c r="CM67" s="26">
        <f ca="1">SUMIF('Outturn incl. VAT'!$D$9:$D$39,$C67,'Outturn incl. VAT'!CV$9:CV$39)</f>
        <v>0</v>
      </c>
      <c r="CN67" s="26">
        <f ca="1">SUMIF('Outturn incl. VAT'!$D$9:$D$39,$C67,'Outturn incl. VAT'!CW$9:CW$39)</f>
        <v>0</v>
      </c>
      <c r="CO67" s="26">
        <f ca="1">SUMIF('Outturn incl. VAT'!$D$9:$D$39,$C67,'Outturn incl. VAT'!CX$9:CX$39)</f>
        <v>0</v>
      </c>
    </row>
    <row r="68" spans="3:93" x14ac:dyDescent="0.3">
      <c r="C68" s="6" t="str">
        <f>Lookups!C6</f>
        <v>Assessment</v>
      </c>
      <c r="D68" s="26">
        <f ca="1">SUMIF('Outturn incl. VAT'!$D$9:$D$39,$C68,'Outturn incl. VAT'!M$9:M$39)</f>
        <v>0</v>
      </c>
      <c r="E68" s="26">
        <f ca="1">SUMIF('Outturn incl. VAT'!$D$9:$D$39,$C68,'Outturn incl. VAT'!N$9:N$39)</f>
        <v>0</v>
      </c>
      <c r="F68" s="26">
        <f ca="1">SUMIF('Outturn incl. VAT'!$D$9:$D$39,$C68,'Outturn incl. VAT'!O$9:O$39)</f>
        <v>0</v>
      </c>
      <c r="G68" s="26">
        <f ca="1">SUMIF('Outturn incl. VAT'!$D$9:$D$39,$C68,'Outturn incl. VAT'!P$9:P$39)</f>
        <v>0</v>
      </c>
      <c r="H68" s="26">
        <f ca="1">SUMIF('Outturn incl. VAT'!$D$9:$D$39,$C68,'Outturn incl. VAT'!Q$9:Q$39)</f>
        <v>0</v>
      </c>
      <c r="I68" s="26">
        <f ca="1">SUMIF('Outturn incl. VAT'!$D$9:$D$39,$C68,'Outturn incl. VAT'!R$9:R$39)</f>
        <v>0</v>
      </c>
      <c r="J68" s="26">
        <f ca="1">SUMIF('Outturn incl. VAT'!$D$9:$D$39,$C68,'Outturn incl. VAT'!S$9:S$39)</f>
        <v>0</v>
      </c>
      <c r="K68" s="26">
        <f ca="1">SUMIF('Outturn incl. VAT'!$D$9:$D$39,$C68,'Outturn incl. VAT'!T$9:T$39)</f>
        <v>0</v>
      </c>
      <c r="L68" s="26">
        <f ca="1">SUMIF('Outturn incl. VAT'!$D$9:$D$39,$C68,'Outturn incl. VAT'!U$9:U$39)</f>
        <v>0</v>
      </c>
      <c r="M68" s="26">
        <f ca="1">SUMIF('Outturn incl. VAT'!$D$9:$D$39,$C68,'Outturn incl. VAT'!V$9:V$39)</f>
        <v>0</v>
      </c>
      <c r="N68" s="26">
        <f ca="1">SUMIF('Outturn incl. VAT'!$D$9:$D$39,$C68,'Outturn incl. VAT'!W$9:W$39)</f>
        <v>0</v>
      </c>
      <c r="O68" s="26">
        <f ca="1">SUMIF('Outturn incl. VAT'!$D$9:$D$39,$C68,'Outturn incl. VAT'!X$9:X$39)</f>
        <v>0</v>
      </c>
      <c r="P68" s="26">
        <f ca="1">SUMIF('Outturn incl. VAT'!$D$9:$D$39,$C68,'Outturn incl. VAT'!Y$9:Y$39)</f>
        <v>0</v>
      </c>
      <c r="Q68" s="26">
        <f ca="1">SUMIF('Outturn incl. VAT'!$D$9:$D$39,$C68,'Outturn incl. VAT'!Z$9:Z$39)</f>
        <v>0</v>
      </c>
      <c r="R68" s="26">
        <f ca="1">SUMIF('Outturn incl. VAT'!$D$9:$D$39,$C68,'Outturn incl. VAT'!AA$9:AA$39)</f>
        <v>0</v>
      </c>
      <c r="S68" s="26">
        <f ca="1">SUMIF('Outturn incl. VAT'!$D$9:$D$39,$C68,'Outturn incl. VAT'!AB$9:AB$39)</f>
        <v>0</v>
      </c>
      <c r="T68" s="26">
        <f ca="1">SUMIF('Outturn incl. VAT'!$D$9:$D$39,$C68,'Outturn incl. VAT'!AC$9:AC$39)</f>
        <v>0</v>
      </c>
      <c r="U68" s="26">
        <f ca="1">SUMIF('Outturn incl. VAT'!$D$9:$D$39,$C68,'Outturn incl. VAT'!AD$9:AD$39)</f>
        <v>12071.818143198381</v>
      </c>
      <c r="V68" s="26">
        <f ca="1">SUMIF('Outturn incl. VAT'!$D$9:$D$39,$C68,'Outturn incl. VAT'!AE$9:AE$39)</f>
        <v>14471.818143198381</v>
      </c>
      <c r="W68" s="26">
        <f ca="1">SUMIF('Outturn incl. VAT'!$D$9:$D$39,$C68,'Outturn incl. VAT'!AF$9:AF$39)</f>
        <v>12071.818143198381</v>
      </c>
      <c r="X68" s="26">
        <f ca="1">SUMIF('Outturn incl. VAT'!$D$9:$D$39,$C68,'Outturn incl. VAT'!AG$9:AG$39)</f>
        <v>12071.818143198381</v>
      </c>
      <c r="Y68" s="26">
        <f ca="1">SUMIF('Outturn incl. VAT'!$D$9:$D$39,$C68,'Outturn incl. VAT'!AH$9:AH$39)</f>
        <v>12071.818143198381</v>
      </c>
      <c r="Z68" s="26">
        <f ca="1">SUMIF('Outturn incl. VAT'!$D$9:$D$39,$C68,'Outturn incl. VAT'!AI$9:AI$39)</f>
        <v>0</v>
      </c>
      <c r="AA68" s="26">
        <f ca="1">SUMIF('Outturn incl. VAT'!$D$9:$D$39,$C68,'Outturn incl. VAT'!AJ$9:AJ$39)</f>
        <v>0</v>
      </c>
      <c r="AB68" s="26">
        <f ca="1">SUMIF('Outturn incl. VAT'!$D$9:$D$39,$C68,'Outturn incl. VAT'!AK$9:AK$39)</f>
        <v>0</v>
      </c>
      <c r="AC68" s="26">
        <f ca="1">SUMIF('Outturn incl. VAT'!$D$9:$D$39,$C68,'Outturn incl. VAT'!AL$9:AL$39)</f>
        <v>0</v>
      </c>
      <c r="AD68" s="26">
        <f ca="1">SUMIF('Outturn incl. VAT'!$D$9:$D$39,$C68,'Outturn incl. VAT'!AM$9:AM$39)</f>
        <v>0</v>
      </c>
      <c r="AE68" s="26">
        <f ca="1">SUMIF('Outturn incl. VAT'!$D$9:$D$39,$C68,'Outturn incl. VAT'!AN$9:AN$39)</f>
        <v>0</v>
      </c>
      <c r="AF68" s="26">
        <f ca="1">SUMIF('Outturn incl. VAT'!$D$9:$D$39,$C68,'Outturn incl. VAT'!AO$9:AO$39)</f>
        <v>0</v>
      </c>
      <c r="AG68" s="26">
        <f ca="1">SUMIF('Outturn incl. VAT'!$D$9:$D$39,$C68,'Outturn incl. VAT'!AP$9:AP$39)</f>
        <v>0</v>
      </c>
      <c r="AH68" s="26">
        <f ca="1">SUMIF('Outturn incl. VAT'!$D$9:$D$39,$C68,'Outturn incl. VAT'!AQ$9:AQ$39)</f>
        <v>0</v>
      </c>
      <c r="AI68" s="26">
        <f ca="1">SUMIF('Outturn incl. VAT'!$D$9:$D$39,$C68,'Outturn incl. VAT'!AR$9:AR$39)</f>
        <v>0</v>
      </c>
      <c r="AJ68" s="26">
        <f ca="1">SUMIF('Outturn incl. VAT'!$D$9:$D$39,$C68,'Outturn incl. VAT'!AS$9:AS$39)</f>
        <v>0</v>
      </c>
      <c r="AK68" s="26">
        <f ca="1">SUMIF('Outturn incl. VAT'!$D$9:$D$39,$C68,'Outturn incl. VAT'!AT$9:AT$39)</f>
        <v>0</v>
      </c>
      <c r="AL68" s="26">
        <f ca="1">SUMIF('Outturn incl. VAT'!$D$9:$D$39,$C68,'Outturn incl. VAT'!AU$9:AU$39)</f>
        <v>0</v>
      </c>
      <c r="AM68" s="26">
        <f ca="1">SUMIF('Outturn incl. VAT'!$D$9:$D$39,$C68,'Outturn incl. VAT'!AV$9:AV$39)</f>
        <v>0</v>
      </c>
      <c r="AN68" s="26">
        <f ca="1">SUMIF('Outturn incl. VAT'!$D$9:$D$39,$C68,'Outturn incl. VAT'!AW$9:AW$39)</f>
        <v>0</v>
      </c>
      <c r="AO68" s="26">
        <f ca="1">SUMIF('Outturn incl. VAT'!$D$9:$D$39,$C68,'Outturn incl. VAT'!AX$9:AX$39)</f>
        <v>0</v>
      </c>
      <c r="AP68" s="26">
        <f ca="1">SUMIF('Outturn incl. VAT'!$D$9:$D$39,$C68,'Outturn incl. VAT'!AY$9:AY$39)</f>
        <v>0</v>
      </c>
      <c r="AQ68" s="26">
        <f ca="1">SUMIF('Outturn incl. VAT'!$D$9:$D$39,$C68,'Outturn incl. VAT'!AZ$9:AZ$39)</f>
        <v>0</v>
      </c>
      <c r="AR68" s="26">
        <f ca="1">SUMIF('Outturn incl. VAT'!$D$9:$D$39,$C68,'Outturn incl. VAT'!BA$9:BA$39)</f>
        <v>0</v>
      </c>
      <c r="AS68" s="26">
        <f ca="1">SUMIF('Outturn incl. VAT'!$D$9:$D$39,$C68,'Outturn incl. VAT'!BB$9:BB$39)</f>
        <v>0</v>
      </c>
      <c r="AT68" s="26">
        <f ca="1">SUMIF('Outturn incl. VAT'!$D$9:$D$39,$C68,'Outturn incl. VAT'!BC$9:BC$39)</f>
        <v>0</v>
      </c>
      <c r="AU68" s="26">
        <f ca="1">SUMIF('Outturn incl. VAT'!$D$9:$D$39,$C68,'Outturn incl. VAT'!BD$9:BD$39)</f>
        <v>0</v>
      </c>
      <c r="AV68" s="26">
        <f ca="1">SUMIF('Outturn incl. VAT'!$D$9:$D$39,$C68,'Outturn incl. VAT'!BE$9:BE$39)</f>
        <v>0</v>
      </c>
      <c r="AW68" s="26">
        <f ca="1">SUMIF('Outturn incl. VAT'!$D$9:$D$39,$C68,'Outturn incl. VAT'!BF$9:BF$39)</f>
        <v>0</v>
      </c>
      <c r="AX68" s="26">
        <f ca="1">SUMIF('Outturn incl. VAT'!$D$9:$D$39,$C68,'Outturn incl. VAT'!BG$9:BG$39)</f>
        <v>0</v>
      </c>
      <c r="AY68" s="26">
        <f ca="1">SUMIF('Outturn incl. VAT'!$D$9:$D$39,$C68,'Outturn incl. VAT'!BH$9:BH$39)</f>
        <v>0</v>
      </c>
      <c r="AZ68" s="26">
        <f ca="1">SUMIF('Outturn incl. VAT'!$D$9:$D$39,$C68,'Outturn incl. VAT'!BI$9:BI$39)</f>
        <v>0</v>
      </c>
      <c r="BA68" s="26">
        <f ca="1">SUMIF('Outturn incl. VAT'!$D$9:$D$39,$C68,'Outturn incl. VAT'!BJ$9:BJ$39)</f>
        <v>0</v>
      </c>
      <c r="BB68" s="26">
        <f ca="1">SUMIF('Outturn incl. VAT'!$D$9:$D$39,$C68,'Outturn incl. VAT'!BK$9:BK$39)</f>
        <v>0</v>
      </c>
      <c r="BC68" s="26">
        <f ca="1">SUMIF('Outturn incl. VAT'!$D$9:$D$39,$C68,'Outturn incl. VAT'!BL$9:BL$39)</f>
        <v>0</v>
      </c>
      <c r="BD68" s="26">
        <f ca="1">SUMIF('Outturn incl. VAT'!$D$9:$D$39,$C68,'Outturn incl. VAT'!BM$9:BM$39)</f>
        <v>0</v>
      </c>
      <c r="BE68" s="26">
        <f ca="1">SUMIF('Outturn incl. VAT'!$D$9:$D$39,$C68,'Outturn incl. VAT'!BN$9:BN$39)</f>
        <v>0</v>
      </c>
      <c r="BF68" s="26">
        <f ca="1">SUMIF('Outturn incl. VAT'!$D$9:$D$39,$C68,'Outturn incl. VAT'!BO$9:BO$39)</f>
        <v>0</v>
      </c>
      <c r="BG68" s="26">
        <f ca="1">SUMIF('Outturn incl. VAT'!$D$9:$D$39,$C68,'Outturn incl. VAT'!BP$9:BP$39)</f>
        <v>0</v>
      </c>
      <c r="BH68" s="26">
        <f ca="1">SUMIF('Outturn incl. VAT'!$D$9:$D$39,$C68,'Outturn incl. VAT'!BQ$9:BQ$39)</f>
        <v>0</v>
      </c>
      <c r="BI68" s="26">
        <f ca="1">SUMIF('Outturn incl. VAT'!$D$9:$D$39,$C68,'Outturn incl. VAT'!BR$9:BR$39)</f>
        <v>0</v>
      </c>
      <c r="BJ68" s="26">
        <f ca="1">SUMIF('Outturn incl. VAT'!$D$9:$D$39,$C68,'Outturn incl. VAT'!BS$9:BS$39)</f>
        <v>0</v>
      </c>
      <c r="BK68" s="26">
        <f ca="1">SUMIF('Outturn incl. VAT'!$D$9:$D$39,$C68,'Outturn incl. VAT'!BT$9:BT$39)</f>
        <v>0</v>
      </c>
      <c r="BL68" s="26">
        <f ca="1">SUMIF('Outturn incl. VAT'!$D$9:$D$39,$C68,'Outturn incl. VAT'!BU$9:BU$39)</f>
        <v>0</v>
      </c>
      <c r="BM68" s="26">
        <f ca="1">SUMIF('Outturn incl. VAT'!$D$9:$D$39,$C68,'Outturn incl. VAT'!BV$9:BV$39)</f>
        <v>0</v>
      </c>
      <c r="BN68" s="26">
        <f ca="1">SUMIF('Outturn incl. VAT'!$D$9:$D$39,$C68,'Outturn incl. VAT'!BW$9:BW$39)</f>
        <v>0</v>
      </c>
      <c r="BO68" s="26">
        <f ca="1">SUMIF('Outturn incl. VAT'!$D$9:$D$39,$C68,'Outturn incl. VAT'!BX$9:BX$39)</f>
        <v>0</v>
      </c>
      <c r="BP68" s="26">
        <f ca="1">SUMIF('Outturn incl. VAT'!$D$9:$D$39,$C68,'Outturn incl. VAT'!BY$9:BY$39)</f>
        <v>0</v>
      </c>
      <c r="BQ68" s="26">
        <f ca="1">SUMIF('Outturn incl. VAT'!$D$9:$D$39,$C68,'Outturn incl. VAT'!BZ$9:BZ$39)</f>
        <v>0</v>
      </c>
      <c r="BR68" s="26">
        <f ca="1">SUMIF('Outturn incl. VAT'!$D$9:$D$39,$C68,'Outturn incl. VAT'!CA$9:CA$39)</f>
        <v>0</v>
      </c>
      <c r="BS68" s="26">
        <f ca="1">SUMIF('Outturn incl. VAT'!$D$9:$D$39,$C68,'Outturn incl. VAT'!CB$9:CB$39)</f>
        <v>0</v>
      </c>
      <c r="BT68" s="26">
        <f ca="1">SUMIF('Outturn incl. VAT'!$D$9:$D$39,$C68,'Outturn incl. VAT'!CC$9:CC$39)</f>
        <v>0</v>
      </c>
      <c r="BU68" s="26">
        <f ca="1">SUMIF('Outturn incl. VAT'!$D$9:$D$39,$C68,'Outturn incl. VAT'!CD$9:CD$39)</f>
        <v>0</v>
      </c>
      <c r="BV68" s="26">
        <f ca="1">SUMIF('Outturn incl. VAT'!$D$9:$D$39,$C68,'Outturn incl. VAT'!CE$9:CE$39)</f>
        <v>0</v>
      </c>
      <c r="BW68" s="26">
        <f ca="1">SUMIF('Outturn incl. VAT'!$D$9:$D$39,$C68,'Outturn incl. VAT'!CF$9:CF$39)</f>
        <v>0</v>
      </c>
      <c r="BX68" s="26">
        <f ca="1">SUMIF('Outturn incl. VAT'!$D$9:$D$39,$C68,'Outturn incl. VAT'!CG$9:CG$39)</f>
        <v>0</v>
      </c>
      <c r="BY68" s="26">
        <f ca="1">SUMIF('Outturn incl. VAT'!$D$9:$D$39,$C68,'Outturn incl. VAT'!CH$9:CH$39)</f>
        <v>0</v>
      </c>
      <c r="BZ68" s="26">
        <f ca="1">SUMIF('Outturn incl. VAT'!$D$9:$D$39,$C68,'Outturn incl. VAT'!CI$9:CI$39)</f>
        <v>0</v>
      </c>
      <c r="CA68" s="26">
        <f ca="1">SUMIF('Outturn incl. VAT'!$D$9:$D$39,$C68,'Outturn incl. VAT'!CJ$9:CJ$39)</f>
        <v>0</v>
      </c>
      <c r="CB68" s="26">
        <f ca="1">SUMIF('Outturn incl. VAT'!$D$9:$D$39,$C68,'Outturn incl. VAT'!CK$9:CK$39)</f>
        <v>0</v>
      </c>
      <c r="CC68" s="26">
        <f ca="1">SUMIF('Outturn incl. VAT'!$D$9:$D$39,$C68,'Outturn incl. VAT'!CL$9:CL$39)</f>
        <v>0</v>
      </c>
      <c r="CD68" s="26">
        <f ca="1">SUMIF('Outturn incl. VAT'!$D$9:$D$39,$C68,'Outturn incl. VAT'!CM$9:CM$39)</f>
        <v>0</v>
      </c>
      <c r="CE68" s="26">
        <f ca="1">SUMIF('Outturn incl. VAT'!$D$9:$D$39,$C68,'Outturn incl. VAT'!CN$9:CN$39)</f>
        <v>0</v>
      </c>
      <c r="CF68" s="26">
        <f ca="1">SUMIF('Outturn incl. VAT'!$D$9:$D$39,$C68,'Outturn incl. VAT'!CO$9:CO$39)</f>
        <v>0</v>
      </c>
      <c r="CG68" s="26">
        <f ca="1">SUMIF('Outturn incl. VAT'!$D$9:$D$39,$C68,'Outturn incl. VAT'!CP$9:CP$39)</f>
        <v>0</v>
      </c>
      <c r="CH68" s="26">
        <f ca="1">SUMIF('Outturn incl. VAT'!$D$9:$D$39,$C68,'Outturn incl. VAT'!CQ$9:CQ$39)</f>
        <v>0</v>
      </c>
      <c r="CI68" s="26">
        <f ca="1">SUMIF('Outturn incl. VAT'!$D$9:$D$39,$C68,'Outturn incl. VAT'!CR$9:CR$39)</f>
        <v>0</v>
      </c>
      <c r="CJ68" s="26">
        <f ca="1">SUMIF('Outturn incl. VAT'!$D$9:$D$39,$C68,'Outturn incl. VAT'!CS$9:CS$39)</f>
        <v>0</v>
      </c>
      <c r="CK68" s="26">
        <f ca="1">SUMIF('Outturn incl. VAT'!$D$9:$D$39,$C68,'Outturn incl. VAT'!CT$9:CT$39)</f>
        <v>0</v>
      </c>
      <c r="CL68" s="26">
        <f ca="1">SUMIF('Outturn incl. VAT'!$D$9:$D$39,$C68,'Outturn incl. VAT'!CU$9:CU$39)</f>
        <v>0</v>
      </c>
      <c r="CM68" s="26">
        <f ca="1">SUMIF('Outturn incl. VAT'!$D$9:$D$39,$C68,'Outturn incl. VAT'!CV$9:CV$39)</f>
        <v>0</v>
      </c>
      <c r="CN68" s="26">
        <f ca="1">SUMIF('Outturn incl. VAT'!$D$9:$D$39,$C68,'Outturn incl. VAT'!CW$9:CW$39)</f>
        <v>0</v>
      </c>
      <c r="CO68" s="26">
        <f ca="1">SUMIF('Outturn incl. VAT'!$D$9:$D$39,$C68,'Outturn incl. VAT'!CX$9:CX$39)</f>
        <v>0</v>
      </c>
    </row>
    <row r="69" spans="3:93" x14ac:dyDescent="0.3">
      <c r="C69" s="6" t="str">
        <f>Lookups!C7</f>
        <v>Design</v>
      </c>
      <c r="D69" s="26">
        <f ca="1">SUMIF('Outturn incl. VAT'!$D$9:$D$39,$C69,'Outturn incl. VAT'!M$9:M$39)</f>
        <v>0</v>
      </c>
      <c r="E69" s="26">
        <f ca="1">SUMIF('Outturn incl. VAT'!$D$9:$D$39,$C69,'Outturn incl. VAT'!N$9:N$39)</f>
        <v>0</v>
      </c>
      <c r="F69" s="26">
        <f ca="1">SUMIF('Outturn incl. VAT'!$D$9:$D$39,$C69,'Outturn incl. VAT'!O$9:O$39)</f>
        <v>0</v>
      </c>
      <c r="G69" s="26">
        <f ca="1">SUMIF('Outturn incl. VAT'!$D$9:$D$39,$C69,'Outturn incl. VAT'!P$9:P$39)</f>
        <v>0</v>
      </c>
      <c r="H69" s="26">
        <f ca="1">SUMIF('Outturn incl. VAT'!$D$9:$D$39,$C69,'Outturn incl. VAT'!Q$9:Q$39)</f>
        <v>0</v>
      </c>
      <c r="I69" s="26">
        <f ca="1">SUMIF('Outturn incl. VAT'!$D$9:$D$39,$C69,'Outturn incl. VAT'!R$9:R$39)</f>
        <v>0</v>
      </c>
      <c r="J69" s="26">
        <f ca="1">SUMIF('Outturn incl. VAT'!$D$9:$D$39,$C69,'Outturn incl. VAT'!S$9:S$39)</f>
        <v>0</v>
      </c>
      <c r="K69" s="26">
        <f ca="1">SUMIF('Outturn incl. VAT'!$D$9:$D$39,$C69,'Outturn incl. VAT'!T$9:T$39)</f>
        <v>0</v>
      </c>
      <c r="L69" s="26">
        <f ca="1">SUMIF('Outturn incl. VAT'!$D$9:$D$39,$C69,'Outturn incl. VAT'!U$9:U$39)</f>
        <v>0</v>
      </c>
      <c r="M69" s="26">
        <f ca="1">SUMIF('Outturn incl. VAT'!$D$9:$D$39,$C69,'Outturn incl. VAT'!V$9:V$39)</f>
        <v>0</v>
      </c>
      <c r="N69" s="26">
        <f ca="1">SUMIF('Outturn incl. VAT'!$D$9:$D$39,$C69,'Outturn incl. VAT'!W$9:W$39)</f>
        <v>0</v>
      </c>
      <c r="O69" s="26">
        <f ca="1">SUMIF('Outturn incl. VAT'!$D$9:$D$39,$C69,'Outturn incl. VAT'!X$9:X$39)</f>
        <v>0</v>
      </c>
      <c r="P69" s="26">
        <f ca="1">SUMIF('Outturn incl. VAT'!$D$9:$D$39,$C69,'Outturn incl. VAT'!Y$9:Y$39)</f>
        <v>0</v>
      </c>
      <c r="Q69" s="26">
        <f ca="1">SUMIF('Outturn incl. VAT'!$D$9:$D$39,$C69,'Outturn incl. VAT'!Z$9:Z$39)</f>
        <v>0</v>
      </c>
      <c r="R69" s="26">
        <f ca="1">SUMIF('Outturn incl. VAT'!$D$9:$D$39,$C69,'Outturn incl. VAT'!AA$9:AA$39)</f>
        <v>0</v>
      </c>
      <c r="S69" s="26">
        <f ca="1">SUMIF('Outturn incl. VAT'!$D$9:$D$39,$C69,'Outturn incl. VAT'!AB$9:AB$39)</f>
        <v>0</v>
      </c>
      <c r="T69" s="26">
        <f ca="1">SUMIF('Outturn incl. VAT'!$D$9:$D$39,$C69,'Outturn incl. VAT'!AC$9:AC$39)</f>
        <v>0</v>
      </c>
      <c r="U69" s="26">
        <f ca="1">SUMIF('Outturn incl. VAT'!$D$9:$D$39,$C69,'Outturn incl. VAT'!AD$9:AD$39)</f>
        <v>14583.27540450352</v>
      </c>
      <c r="V69" s="26">
        <f ca="1">SUMIF('Outturn incl. VAT'!$D$9:$D$39,$C69,'Outturn incl. VAT'!AE$9:AE$39)</f>
        <v>14583.27540450352</v>
      </c>
      <c r="W69" s="26">
        <f ca="1">SUMIF('Outturn incl. VAT'!$D$9:$D$39,$C69,'Outturn incl. VAT'!AF$9:AF$39)</f>
        <v>16983.275404503518</v>
      </c>
      <c r="X69" s="26">
        <f ca="1">SUMIF('Outturn incl. VAT'!$D$9:$D$39,$C69,'Outturn incl. VAT'!AG$9:AG$39)</f>
        <v>14583.27540450352</v>
      </c>
      <c r="Y69" s="26">
        <f ca="1">SUMIF('Outturn incl. VAT'!$D$9:$D$39,$C69,'Outturn incl. VAT'!AH$9:AH$39)</f>
        <v>14583.27540450352</v>
      </c>
      <c r="Z69" s="26">
        <f ca="1">SUMIF('Outturn incl. VAT'!$D$9:$D$39,$C69,'Outturn incl. VAT'!AI$9:AI$39)</f>
        <v>0</v>
      </c>
      <c r="AA69" s="26">
        <f ca="1">SUMIF('Outturn incl. VAT'!$D$9:$D$39,$C69,'Outturn incl. VAT'!AJ$9:AJ$39)</f>
        <v>0</v>
      </c>
      <c r="AB69" s="26">
        <f ca="1">SUMIF('Outturn incl. VAT'!$D$9:$D$39,$C69,'Outturn incl. VAT'!AK$9:AK$39)</f>
        <v>0</v>
      </c>
      <c r="AC69" s="26">
        <f ca="1">SUMIF('Outturn incl. VAT'!$D$9:$D$39,$C69,'Outturn incl. VAT'!AL$9:AL$39)</f>
        <v>0</v>
      </c>
      <c r="AD69" s="26">
        <f ca="1">SUMIF('Outturn incl. VAT'!$D$9:$D$39,$C69,'Outturn incl. VAT'!AM$9:AM$39)</f>
        <v>0</v>
      </c>
      <c r="AE69" s="26">
        <f ca="1">SUMIF('Outturn incl. VAT'!$D$9:$D$39,$C69,'Outturn incl. VAT'!AN$9:AN$39)</f>
        <v>0</v>
      </c>
      <c r="AF69" s="26">
        <f ca="1">SUMIF('Outturn incl. VAT'!$D$9:$D$39,$C69,'Outturn incl. VAT'!AO$9:AO$39)</f>
        <v>0</v>
      </c>
      <c r="AG69" s="26">
        <f ca="1">SUMIF('Outturn incl. VAT'!$D$9:$D$39,$C69,'Outturn incl. VAT'!AP$9:AP$39)</f>
        <v>0</v>
      </c>
      <c r="AH69" s="26">
        <f ca="1">SUMIF('Outturn incl. VAT'!$D$9:$D$39,$C69,'Outturn incl. VAT'!AQ$9:AQ$39)</f>
        <v>0</v>
      </c>
      <c r="AI69" s="26">
        <f ca="1">SUMIF('Outturn incl. VAT'!$D$9:$D$39,$C69,'Outturn incl. VAT'!AR$9:AR$39)</f>
        <v>0</v>
      </c>
      <c r="AJ69" s="26">
        <f ca="1">SUMIF('Outturn incl. VAT'!$D$9:$D$39,$C69,'Outturn incl. VAT'!AS$9:AS$39)</f>
        <v>0</v>
      </c>
      <c r="AK69" s="26">
        <f ca="1">SUMIF('Outturn incl. VAT'!$D$9:$D$39,$C69,'Outturn incl. VAT'!AT$9:AT$39)</f>
        <v>0</v>
      </c>
      <c r="AL69" s="26">
        <f ca="1">SUMIF('Outturn incl. VAT'!$D$9:$D$39,$C69,'Outturn incl. VAT'!AU$9:AU$39)</f>
        <v>0</v>
      </c>
      <c r="AM69" s="26">
        <f ca="1">SUMIF('Outturn incl. VAT'!$D$9:$D$39,$C69,'Outturn incl. VAT'!AV$9:AV$39)</f>
        <v>0</v>
      </c>
      <c r="AN69" s="26">
        <f ca="1">SUMIF('Outturn incl. VAT'!$D$9:$D$39,$C69,'Outturn incl. VAT'!AW$9:AW$39)</f>
        <v>0</v>
      </c>
      <c r="AO69" s="26">
        <f ca="1">SUMIF('Outturn incl. VAT'!$D$9:$D$39,$C69,'Outturn incl. VAT'!AX$9:AX$39)</f>
        <v>0</v>
      </c>
      <c r="AP69" s="26">
        <f ca="1">SUMIF('Outturn incl. VAT'!$D$9:$D$39,$C69,'Outturn incl. VAT'!AY$9:AY$39)</f>
        <v>0</v>
      </c>
      <c r="AQ69" s="26">
        <f ca="1">SUMIF('Outturn incl. VAT'!$D$9:$D$39,$C69,'Outturn incl. VAT'!AZ$9:AZ$39)</f>
        <v>0</v>
      </c>
      <c r="AR69" s="26">
        <f ca="1">SUMIF('Outturn incl. VAT'!$D$9:$D$39,$C69,'Outturn incl. VAT'!BA$9:BA$39)</f>
        <v>0</v>
      </c>
      <c r="AS69" s="26">
        <f ca="1">SUMIF('Outturn incl. VAT'!$D$9:$D$39,$C69,'Outturn incl. VAT'!BB$9:BB$39)</f>
        <v>0</v>
      </c>
      <c r="AT69" s="26">
        <f ca="1">SUMIF('Outturn incl. VAT'!$D$9:$D$39,$C69,'Outturn incl. VAT'!BC$9:BC$39)</f>
        <v>0</v>
      </c>
      <c r="AU69" s="26">
        <f ca="1">SUMIF('Outturn incl. VAT'!$D$9:$D$39,$C69,'Outturn incl. VAT'!BD$9:BD$39)</f>
        <v>0</v>
      </c>
      <c r="AV69" s="26">
        <f ca="1">SUMIF('Outturn incl. VAT'!$D$9:$D$39,$C69,'Outturn incl. VAT'!BE$9:BE$39)</f>
        <v>0</v>
      </c>
      <c r="AW69" s="26">
        <f ca="1">SUMIF('Outturn incl. VAT'!$D$9:$D$39,$C69,'Outturn incl. VAT'!BF$9:BF$39)</f>
        <v>0</v>
      </c>
      <c r="AX69" s="26">
        <f ca="1">SUMIF('Outturn incl. VAT'!$D$9:$D$39,$C69,'Outturn incl. VAT'!BG$9:BG$39)</f>
        <v>0</v>
      </c>
      <c r="AY69" s="26">
        <f ca="1">SUMIF('Outturn incl. VAT'!$D$9:$D$39,$C69,'Outturn incl. VAT'!BH$9:BH$39)</f>
        <v>0</v>
      </c>
      <c r="AZ69" s="26">
        <f ca="1">SUMIF('Outturn incl. VAT'!$D$9:$D$39,$C69,'Outturn incl. VAT'!BI$9:BI$39)</f>
        <v>0</v>
      </c>
      <c r="BA69" s="26">
        <f ca="1">SUMIF('Outturn incl. VAT'!$D$9:$D$39,$C69,'Outturn incl. VAT'!BJ$9:BJ$39)</f>
        <v>0</v>
      </c>
      <c r="BB69" s="26">
        <f ca="1">SUMIF('Outturn incl. VAT'!$D$9:$D$39,$C69,'Outturn incl. VAT'!BK$9:BK$39)</f>
        <v>0</v>
      </c>
      <c r="BC69" s="26">
        <f ca="1">SUMIF('Outturn incl. VAT'!$D$9:$D$39,$C69,'Outturn incl. VAT'!BL$9:BL$39)</f>
        <v>0</v>
      </c>
      <c r="BD69" s="26">
        <f ca="1">SUMIF('Outturn incl. VAT'!$D$9:$D$39,$C69,'Outturn incl. VAT'!BM$9:BM$39)</f>
        <v>0</v>
      </c>
      <c r="BE69" s="26">
        <f ca="1">SUMIF('Outturn incl. VAT'!$D$9:$D$39,$C69,'Outturn incl. VAT'!BN$9:BN$39)</f>
        <v>0</v>
      </c>
      <c r="BF69" s="26">
        <f ca="1">SUMIF('Outturn incl. VAT'!$D$9:$D$39,$C69,'Outturn incl. VAT'!BO$9:BO$39)</f>
        <v>0</v>
      </c>
      <c r="BG69" s="26">
        <f ca="1">SUMIF('Outturn incl. VAT'!$D$9:$D$39,$C69,'Outturn incl. VAT'!BP$9:BP$39)</f>
        <v>0</v>
      </c>
      <c r="BH69" s="26">
        <f ca="1">SUMIF('Outturn incl. VAT'!$D$9:$D$39,$C69,'Outturn incl. VAT'!BQ$9:BQ$39)</f>
        <v>0</v>
      </c>
      <c r="BI69" s="26">
        <f ca="1">SUMIF('Outturn incl. VAT'!$D$9:$D$39,$C69,'Outturn incl. VAT'!BR$9:BR$39)</f>
        <v>0</v>
      </c>
      <c r="BJ69" s="26">
        <f ca="1">SUMIF('Outturn incl. VAT'!$D$9:$D$39,$C69,'Outturn incl. VAT'!BS$9:BS$39)</f>
        <v>0</v>
      </c>
      <c r="BK69" s="26">
        <f ca="1">SUMIF('Outturn incl. VAT'!$D$9:$D$39,$C69,'Outturn incl. VAT'!BT$9:BT$39)</f>
        <v>0</v>
      </c>
      <c r="BL69" s="26">
        <f ca="1">SUMIF('Outturn incl. VAT'!$D$9:$D$39,$C69,'Outturn incl. VAT'!BU$9:BU$39)</f>
        <v>0</v>
      </c>
      <c r="BM69" s="26">
        <f ca="1">SUMIF('Outturn incl. VAT'!$D$9:$D$39,$C69,'Outturn incl. VAT'!BV$9:BV$39)</f>
        <v>0</v>
      </c>
      <c r="BN69" s="26">
        <f ca="1">SUMIF('Outturn incl. VAT'!$D$9:$D$39,$C69,'Outturn incl. VAT'!BW$9:BW$39)</f>
        <v>0</v>
      </c>
      <c r="BO69" s="26">
        <f ca="1">SUMIF('Outturn incl. VAT'!$D$9:$D$39,$C69,'Outturn incl. VAT'!BX$9:BX$39)</f>
        <v>0</v>
      </c>
      <c r="BP69" s="26">
        <f ca="1">SUMIF('Outturn incl. VAT'!$D$9:$D$39,$C69,'Outturn incl. VAT'!BY$9:BY$39)</f>
        <v>0</v>
      </c>
      <c r="BQ69" s="26">
        <f ca="1">SUMIF('Outturn incl. VAT'!$D$9:$D$39,$C69,'Outturn incl. VAT'!BZ$9:BZ$39)</f>
        <v>0</v>
      </c>
      <c r="BR69" s="26">
        <f ca="1">SUMIF('Outturn incl. VAT'!$D$9:$D$39,$C69,'Outturn incl. VAT'!CA$9:CA$39)</f>
        <v>0</v>
      </c>
      <c r="BS69" s="26">
        <f ca="1">SUMIF('Outturn incl. VAT'!$D$9:$D$39,$C69,'Outturn incl. VAT'!CB$9:CB$39)</f>
        <v>0</v>
      </c>
      <c r="BT69" s="26">
        <f ca="1">SUMIF('Outturn incl. VAT'!$D$9:$D$39,$C69,'Outturn incl. VAT'!CC$9:CC$39)</f>
        <v>0</v>
      </c>
      <c r="BU69" s="26">
        <f ca="1">SUMIF('Outturn incl. VAT'!$D$9:$D$39,$C69,'Outturn incl. VAT'!CD$9:CD$39)</f>
        <v>0</v>
      </c>
      <c r="BV69" s="26">
        <f ca="1">SUMIF('Outturn incl. VAT'!$D$9:$D$39,$C69,'Outturn incl. VAT'!CE$9:CE$39)</f>
        <v>0</v>
      </c>
      <c r="BW69" s="26">
        <f ca="1">SUMIF('Outturn incl. VAT'!$D$9:$D$39,$C69,'Outturn incl. VAT'!CF$9:CF$39)</f>
        <v>0</v>
      </c>
      <c r="BX69" s="26">
        <f ca="1">SUMIF('Outturn incl. VAT'!$D$9:$D$39,$C69,'Outturn incl. VAT'!CG$9:CG$39)</f>
        <v>0</v>
      </c>
      <c r="BY69" s="26">
        <f ca="1">SUMIF('Outturn incl. VAT'!$D$9:$D$39,$C69,'Outturn incl. VAT'!CH$9:CH$39)</f>
        <v>0</v>
      </c>
      <c r="BZ69" s="26">
        <f ca="1">SUMIF('Outturn incl. VAT'!$D$9:$D$39,$C69,'Outturn incl. VAT'!CI$9:CI$39)</f>
        <v>0</v>
      </c>
      <c r="CA69" s="26">
        <f ca="1">SUMIF('Outturn incl. VAT'!$D$9:$D$39,$C69,'Outturn incl. VAT'!CJ$9:CJ$39)</f>
        <v>0</v>
      </c>
      <c r="CB69" s="26">
        <f ca="1">SUMIF('Outturn incl. VAT'!$D$9:$D$39,$C69,'Outturn incl. VAT'!CK$9:CK$39)</f>
        <v>0</v>
      </c>
      <c r="CC69" s="26">
        <f ca="1">SUMIF('Outturn incl. VAT'!$D$9:$D$39,$C69,'Outturn incl. VAT'!CL$9:CL$39)</f>
        <v>0</v>
      </c>
      <c r="CD69" s="26">
        <f ca="1">SUMIF('Outturn incl. VAT'!$D$9:$D$39,$C69,'Outturn incl. VAT'!CM$9:CM$39)</f>
        <v>0</v>
      </c>
      <c r="CE69" s="26">
        <f ca="1">SUMIF('Outturn incl. VAT'!$D$9:$D$39,$C69,'Outturn incl. VAT'!CN$9:CN$39)</f>
        <v>0</v>
      </c>
      <c r="CF69" s="26">
        <f ca="1">SUMIF('Outturn incl. VAT'!$D$9:$D$39,$C69,'Outturn incl. VAT'!CO$9:CO$39)</f>
        <v>0</v>
      </c>
      <c r="CG69" s="26">
        <f ca="1">SUMIF('Outturn incl. VAT'!$D$9:$D$39,$C69,'Outturn incl. VAT'!CP$9:CP$39)</f>
        <v>0</v>
      </c>
      <c r="CH69" s="26">
        <f ca="1">SUMIF('Outturn incl. VAT'!$D$9:$D$39,$C69,'Outturn incl. VAT'!CQ$9:CQ$39)</f>
        <v>0</v>
      </c>
      <c r="CI69" s="26">
        <f ca="1">SUMIF('Outturn incl. VAT'!$D$9:$D$39,$C69,'Outturn incl. VAT'!CR$9:CR$39)</f>
        <v>0</v>
      </c>
      <c r="CJ69" s="26">
        <f ca="1">SUMIF('Outturn incl. VAT'!$D$9:$D$39,$C69,'Outturn incl. VAT'!CS$9:CS$39)</f>
        <v>0</v>
      </c>
      <c r="CK69" s="26">
        <f ca="1">SUMIF('Outturn incl. VAT'!$D$9:$D$39,$C69,'Outturn incl. VAT'!CT$9:CT$39)</f>
        <v>0</v>
      </c>
      <c r="CL69" s="26">
        <f ca="1">SUMIF('Outturn incl. VAT'!$D$9:$D$39,$C69,'Outturn incl. VAT'!CU$9:CU$39)</f>
        <v>0</v>
      </c>
      <c r="CM69" s="26">
        <f ca="1">SUMIF('Outturn incl. VAT'!$D$9:$D$39,$C69,'Outturn incl. VAT'!CV$9:CV$39)</f>
        <v>0</v>
      </c>
      <c r="CN69" s="26">
        <f ca="1">SUMIF('Outturn incl. VAT'!$D$9:$D$39,$C69,'Outturn incl. VAT'!CW$9:CW$39)</f>
        <v>0</v>
      </c>
      <c r="CO69" s="26">
        <f ca="1">SUMIF('Outturn incl. VAT'!$D$9:$D$39,$C69,'Outturn incl. VAT'!CX$9:CX$39)</f>
        <v>0</v>
      </c>
    </row>
    <row r="70" spans="3:93" x14ac:dyDescent="0.3">
      <c r="C70" s="6" t="str">
        <f>Lookups!C8</f>
        <v>Manufacture</v>
      </c>
      <c r="D70" s="26">
        <f ca="1">SUMIF('Outturn incl. VAT'!$D$9:$D$39,$C70,'Outturn incl. VAT'!M$9:M$39)</f>
        <v>0</v>
      </c>
      <c r="E70" s="26">
        <f ca="1">SUMIF('Outturn incl. VAT'!$D$9:$D$39,$C70,'Outturn incl. VAT'!N$9:N$39)</f>
        <v>0</v>
      </c>
      <c r="F70" s="26">
        <f ca="1">SUMIF('Outturn incl. VAT'!$D$9:$D$39,$C70,'Outturn incl. VAT'!O$9:O$39)</f>
        <v>0</v>
      </c>
      <c r="G70" s="26">
        <f ca="1">SUMIF('Outturn incl. VAT'!$D$9:$D$39,$C70,'Outturn incl. VAT'!P$9:P$39)</f>
        <v>0</v>
      </c>
      <c r="H70" s="26">
        <f ca="1">SUMIF('Outturn incl. VAT'!$D$9:$D$39,$C70,'Outturn incl. VAT'!Q$9:Q$39)</f>
        <v>0</v>
      </c>
      <c r="I70" s="26">
        <f ca="1">SUMIF('Outturn incl. VAT'!$D$9:$D$39,$C70,'Outturn incl. VAT'!R$9:R$39)</f>
        <v>0</v>
      </c>
      <c r="J70" s="26">
        <f ca="1">SUMIF('Outturn incl. VAT'!$D$9:$D$39,$C70,'Outturn incl. VAT'!S$9:S$39)</f>
        <v>0</v>
      </c>
      <c r="K70" s="26">
        <f ca="1">SUMIF('Outturn incl. VAT'!$D$9:$D$39,$C70,'Outturn incl. VAT'!T$9:T$39)</f>
        <v>0</v>
      </c>
      <c r="L70" s="26">
        <f ca="1">SUMIF('Outturn incl. VAT'!$D$9:$D$39,$C70,'Outturn incl. VAT'!U$9:U$39)</f>
        <v>0</v>
      </c>
      <c r="M70" s="26">
        <f ca="1">SUMIF('Outturn incl. VAT'!$D$9:$D$39,$C70,'Outturn incl. VAT'!V$9:V$39)</f>
        <v>0</v>
      </c>
      <c r="N70" s="26">
        <f ca="1">SUMIF('Outturn incl. VAT'!$D$9:$D$39,$C70,'Outturn incl. VAT'!W$9:W$39)</f>
        <v>0</v>
      </c>
      <c r="O70" s="26">
        <f ca="1">SUMIF('Outturn incl. VAT'!$D$9:$D$39,$C70,'Outturn incl. VAT'!X$9:X$39)</f>
        <v>0</v>
      </c>
      <c r="P70" s="26">
        <f ca="1">SUMIF('Outturn incl. VAT'!$D$9:$D$39,$C70,'Outturn incl. VAT'!Y$9:Y$39)</f>
        <v>0</v>
      </c>
      <c r="Q70" s="26">
        <f ca="1">SUMIF('Outturn incl. VAT'!$D$9:$D$39,$C70,'Outturn incl. VAT'!Z$9:Z$39)</f>
        <v>0</v>
      </c>
      <c r="R70" s="26">
        <f ca="1">SUMIF('Outturn incl. VAT'!$D$9:$D$39,$C70,'Outturn incl. VAT'!AA$9:AA$39)</f>
        <v>0</v>
      </c>
      <c r="S70" s="26">
        <f ca="1">SUMIF('Outturn incl. VAT'!$D$9:$D$39,$C70,'Outturn incl. VAT'!AB$9:AB$39)</f>
        <v>0</v>
      </c>
      <c r="T70" s="26">
        <f ca="1">SUMIF('Outturn incl. VAT'!$D$9:$D$39,$C70,'Outturn incl. VAT'!AC$9:AC$39)</f>
        <v>0</v>
      </c>
      <c r="U70" s="26">
        <f ca="1">SUMIF('Outturn incl. VAT'!$D$9:$D$39,$C70,'Outturn incl. VAT'!AD$9:AD$39)</f>
        <v>0</v>
      </c>
      <c r="V70" s="26">
        <f ca="1">SUMIF('Outturn incl. VAT'!$D$9:$D$39,$C70,'Outturn incl. VAT'!AE$9:AE$39)</f>
        <v>0</v>
      </c>
      <c r="W70" s="26">
        <f ca="1">SUMIF('Outturn incl. VAT'!$D$9:$D$39,$C70,'Outturn incl. VAT'!AF$9:AF$39)</f>
        <v>0</v>
      </c>
      <c r="X70" s="26">
        <f ca="1">SUMIF('Outturn incl. VAT'!$D$9:$D$39,$C70,'Outturn incl. VAT'!AG$9:AG$39)</f>
        <v>2400</v>
      </c>
      <c r="Y70" s="26">
        <f ca="1">SUMIF('Outturn incl. VAT'!$D$9:$D$39,$C70,'Outturn incl. VAT'!AH$9:AH$39)</f>
        <v>0</v>
      </c>
      <c r="Z70" s="26">
        <f ca="1">SUMIF('Outturn incl. VAT'!$D$9:$D$39,$C70,'Outturn incl. VAT'!AI$9:AI$39)</f>
        <v>0</v>
      </c>
      <c r="AA70" s="26">
        <f ca="1">SUMIF('Outturn incl. VAT'!$D$9:$D$39,$C70,'Outturn incl. VAT'!AJ$9:AJ$39)</f>
        <v>0</v>
      </c>
      <c r="AB70" s="26">
        <f ca="1">SUMIF('Outturn incl. VAT'!$D$9:$D$39,$C70,'Outturn incl. VAT'!AK$9:AK$39)</f>
        <v>0</v>
      </c>
      <c r="AC70" s="26">
        <f ca="1">SUMIF('Outturn incl. VAT'!$D$9:$D$39,$C70,'Outturn incl. VAT'!AL$9:AL$39)</f>
        <v>0</v>
      </c>
      <c r="AD70" s="26">
        <f ca="1">SUMIF('Outturn incl. VAT'!$D$9:$D$39,$C70,'Outturn incl. VAT'!AM$9:AM$39)</f>
        <v>0</v>
      </c>
      <c r="AE70" s="26">
        <f ca="1">SUMIF('Outturn incl. VAT'!$D$9:$D$39,$C70,'Outturn incl. VAT'!AN$9:AN$39)</f>
        <v>0</v>
      </c>
      <c r="AF70" s="26">
        <f ca="1">SUMIF('Outturn incl. VAT'!$D$9:$D$39,$C70,'Outturn incl. VAT'!AO$9:AO$39)</f>
        <v>0</v>
      </c>
      <c r="AG70" s="26">
        <f ca="1">SUMIF('Outturn incl. VAT'!$D$9:$D$39,$C70,'Outturn incl. VAT'!AP$9:AP$39)</f>
        <v>0</v>
      </c>
      <c r="AH70" s="26">
        <f ca="1">SUMIF('Outturn incl. VAT'!$D$9:$D$39,$C70,'Outturn incl. VAT'!AQ$9:AQ$39)</f>
        <v>0</v>
      </c>
      <c r="AI70" s="26">
        <f ca="1">SUMIF('Outturn incl. VAT'!$D$9:$D$39,$C70,'Outturn incl. VAT'!AR$9:AR$39)</f>
        <v>0</v>
      </c>
      <c r="AJ70" s="26">
        <f ca="1">SUMIF('Outturn incl. VAT'!$D$9:$D$39,$C70,'Outturn incl. VAT'!AS$9:AS$39)</f>
        <v>0</v>
      </c>
      <c r="AK70" s="26">
        <f ca="1">SUMIF('Outturn incl. VAT'!$D$9:$D$39,$C70,'Outturn incl. VAT'!AT$9:AT$39)</f>
        <v>0</v>
      </c>
      <c r="AL70" s="26">
        <f ca="1">SUMIF('Outturn incl. VAT'!$D$9:$D$39,$C70,'Outturn incl. VAT'!AU$9:AU$39)</f>
        <v>0</v>
      </c>
      <c r="AM70" s="26">
        <f ca="1">SUMIF('Outturn incl. VAT'!$D$9:$D$39,$C70,'Outturn incl. VAT'!AV$9:AV$39)</f>
        <v>0</v>
      </c>
      <c r="AN70" s="26">
        <f ca="1">SUMIF('Outturn incl. VAT'!$D$9:$D$39,$C70,'Outturn incl. VAT'!AW$9:AW$39)</f>
        <v>0</v>
      </c>
      <c r="AO70" s="26">
        <f ca="1">SUMIF('Outturn incl. VAT'!$D$9:$D$39,$C70,'Outturn incl. VAT'!AX$9:AX$39)</f>
        <v>0</v>
      </c>
      <c r="AP70" s="26">
        <f ca="1">SUMIF('Outturn incl. VAT'!$D$9:$D$39,$C70,'Outturn incl. VAT'!AY$9:AY$39)</f>
        <v>0</v>
      </c>
      <c r="AQ70" s="26">
        <f ca="1">SUMIF('Outturn incl. VAT'!$D$9:$D$39,$C70,'Outturn incl. VAT'!AZ$9:AZ$39)</f>
        <v>0</v>
      </c>
      <c r="AR70" s="26">
        <f ca="1">SUMIF('Outturn incl. VAT'!$D$9:$D$39,$C70,'Outturn incl. VAT'!BA$9:BA$39)</f>
        <v>0</v>
      </c>
      <c r="AS70" s="26">
        <f ca="1">SUMIF('Outturn incl. VAT'!$D$9:$D$39,$C70,'Outturn incl. VAT'!BB$9:BB$39)</f>
        <v>0</v>
      </c>
      <c r="AT70" s="26">
        <f ca="1">SUMIF('Outturn incl. VAT'!$D$9:$D$39,$C70,'Outturn incl. VAT'!BC$9:BC$39)</f>
        <v>0</v>
      </c>
      <c r="AU70" s="26">
        <f ca="1">SUMIF('Outturn incl. VAT'!$D$9:$D$39,$C70,'Outturn incl. VAT'!BD$9:BD$39)</f>
        <v>0</v>
      </c>
      <c r="AV70" s="26">
        <f ca="1">SUMIF('Outturn incl. VAT'!$D$9:$D$39,$C70,'Outturn incl. VAT'!BE$9:BE$39)</f>
        <v>0</v>
      </c>
      <c r="AW70" s="26">
        <f ca="1">SUMIF('Outturn incl. VAT'!$D$9:$D$39,$C70,'Outturn incl. VAT'!BF$9:BF$39)</f>
        <v>0</v>
      </c>
      <c r="AX70" s="26">
        <f ca="1">SUMIF('Outturn incl. VAT'!$D$9:$D$39,$C70,'Outturn incl. VAT'!BG$9:BG$39)</f>
        <v>0</v>
      </c>
      <c r="AY70" s="26">
        <f ca="1">SUMIF('Outturn incl. VAT'!$D$9:$D$39,$C70,'Outturn incl. VAT'!BH$9:BH$39)</f>
        <v>0</v>
      </c>
      <c r="AZ70" s="26">
        <f ca="1">SUMIF('Outturn incl. VAT'!$D$9:$D$39,$C70,'Outturn incl. VAT'!BI$9:BI$39)</f>
        <v>0</v>
      </c>
      <c r="BA70" s="26">
        <f ca="1">SUMIF('Outturn incl. VAT'!$D$9:$D$39,$C70,'Outturn incl. VAT'!BJ$9:BJ$39)</f>
        <v>0</v>
      </c>
      <c r="BB70" s="26">
        <f ca="1">SUMIF('Outturn incl. VAT'!$D$9:$D$39,$C70,'Outturn incl. VAT'!BK$9:BK$39)</f>
        <v>0</v>
      </c>
      <c r="BC70" s="26">
        <f ca="1">SUMIF('Outturn incl. VAT'!$D$9:$D$39,$C70,'Outturn incl. VAT'!BL$9:BL$39)</f>
        <v>0</v>
      </c>
      <c r="BD70" s="26">
        <f ca="1">SUMIF('Outturn incl. VAT'!$D$9:$D$39,$C70,'Outturn incl. VAT'!BM$9:BM$39)</f>
        <v>0</v>
      </c>
      <c r="BE70" s="26">
        <f ca="1">SUMIF('Outturn incl. VAT'!$D$9:$D$39,$C70,'Outturn incl. VAT'!BN$9:BN$39)</f>
        <v>0</v>
      </c>
      <c r="BF70" s="26">
        <f ca="1">SUMIF('Outturn incl. VAT'!$D$9:$D$39,$C70,'Outturn incl. VAT'!BO$9:BO$39)</f>
        <v>0</v>
      </c>
      <c r="BG70" s="26">
        <f ca="1">SUMIF('Outturn incl. VAT'!$D$9:$D$39,$C70,'Outturn incl. VAT'!BP$9:BP$39)</f>
        <v>0</v>
      </c>
      <c r="BH70" s="26">
        <f ca="1">SUMIF('Outturn incl. VAT'!$D$9:$D$39,$C70,'Outturn incl. VAT'!BQ$9:BQ$39)</f>
        <v>0</v>
      </c>
      <c r="BI70" s="26">
        <f ca="1">SUMIF('Outturn incl. VAT'!$D$9:$D$39,$C70,'Outturn incl. VAT'!BR$9:BR$39)</f>
        <v>0</v>
      </c>
      <c r="BJ70" s="26">
        <f ca="1">SUMIF('Outturn incl. VAT'!$D$9:$D$39,$C70,'Outturn incl. VAT'!BS$9:BS$39)</f>
        <v>0</v>
      </c>
      <c r="BK70" s="26">
        <f ca="1">SUMIF('Outturn incl. VAT'!$D$9:$D$39,$C70,'Outturn incl. VAT'!BT$9:BT$39)</f>
        <v>0</v>
      </c>
      <c r="BL70" s="26">
        <f ca="1">SUMIF('Outturn incl. VAT'!$D$9:$D$39,$C70,'Outturn incl. VAT'!BU$9:BU$39)</f>
        <v>0</v>
      </c>
      <c r="BM70" s="26">
        <f ca="1">SUMIF('Outturn incl. VAT'!$D$9:$D$39,$C70,'Outturn incl. VAT'!BV$9:BV$39)</f>
        <v>0</v>
      </c>
      <c r="BN70" s="26">
        <f ca="1">SUMIF('Outturn incl. VAT'!$D$9:$D$39,$C70,'Outturn incl. VAT'!BW$9:BW$39)</f>
        <v>0</v>
      </c>
      <c r="BO70" s="26">
        <f ca="1">SUMIF('Outturn incl. VAT'!$D$9:$D$39,$C70,'Outturn incl. VAT'!BX$9:BX$39)</f>
        <v>0</v>
      </c>
      <c r="BP70" s="26">
        <f ca="1">SUMIF('Outturn incl. VAT'!$D$9:$D$39,$C70,'Outturn incl. VAT'!BY$9:BY$39)</f>
        <v>0</v>
      </c>
      <c r="BQ70" s="26">
        <f ca="1">SUMIF('Outturn incl. VAT'!$D$9:$D$39,$C70,'Outturn incl. VAT'!BZ$9:BZ$39)</f>
        <v>0</v>
      </c>
      <c r="BR70" s="26">
        <f ca="1">SUMIF('Outturn incl. VAT'!$D$9:$D$39,$C70,'Outturn incl. VAT'!CA$9:CA$39)</f>
        <v>0</v>
      </c>
      <c r="BS70" s="26">
        <f ca="1">SUMIF('Outturn incl. VAT'!$D$9:$D$39,$C70,'Outturn incl. VAT'!CB$9:CB$39)</f>
        <v>0</v>
      </c>
      <c r="BT70" s="26">
        <f ca="1">SUMIF('Outturn incl. VAT'!$D$9:$D$39,$C70,'Outturn incl. VAT'!CC$9:CC$39)</f>
        <v>0</v>
      </c>
      <c r="BU70" s="26">
        <f ca="1">SUMIF('Outturn incl. VAT'!$D$9:$D$39,$C70,'Outturn incl. VAT'!CD$9:CD$39)</f>
        <v>0</v>
      </c>
      <c r="BV70" s="26">
        <f ca="1">SUMIF('Outturn incl. VAT'!$D$9:$D$39,$C70,'Outturn incl. VAT'!CE$9:CE$39)</f>
        <v>0</v>
      </c>
      <c r="BW70" s="26">
        <f ca="1">SUMIF('Outturn incl. VAT'!$D$9:$D$39,$C70,'Outturn incl. VAT'!CF$9:CF$39)</f>
        <v>0</v>
      </c>
      <c r="BX70" s="26">
        <f ca="1">SUMIF('Outturn incl. VAT'!$D$9:$D$39,$C70,'Outturn incl. VAT'!CG$9:CG$39)</f>
        <v>0</v>
      </c>
      <c r="BY70" s="26">
        <f ca="1">SUMIF('Outturn incl. VAT'!$D$9:$D$39,$C70,'Outturn incl. VAT'!CH$9:CH$39)</f>
        <v>0</v>
      </c>
      <c r="BZ70" s="26">
        <f ca="1">SUMIF('Outturn incl. VAT'!$D$9:$D$39,$C70,'Outturn incl. VAT'!CI$9:CI$39)</f>
        <v>0</v>
      </c>
      <c r="CA70" s="26">
        <f ca="1">SUMIF('Outturn incl. VAT'!$D$9:$D$39,$C70,'Outturn incl. VAT'!CJ$9:CJ$39)</f>
        <v>0</v>
      </c>
      <c r="CB70" s="26">
        <f ca="1">SUMIF('Outturn incl. VAT'!$D$9:$D$39,$C70,'Outturn incl. VAT'!CK$9:CK$39)</f>
        <v>0</v>
      </c>
      <c r="CC70" s="26">
        <f ca="1">SUMIF('Outturn incl. VAT'!$D$9:$D$39,$C70,'Outturn incl. VAT'!CL$9:CL$39)</f>
        <v>0</v>
      </c>
      <c r="CD70" s="26">
        <f ca="1">SUMIF('Outturn incl. VAT'!$D$9:$D$39,$C70,'Outturn incl. VAT'!CM$9:CM$39)</f>
        <v>0</v>
      </c>
      <c r="CE70" s="26">
        <f ca="1">SUMIF('Outturn incl. VAT'!$D$9:$D$39,$C70,'Outturn incl. VAT'!CN$9:CN$39)</f>
        <v>0</v>
      </c>
      <c r="CF70" s="26">
        <f ca="1">SUMIF('Outturn incl. VAT'!$D$9:$D$39,$C70,'Outturn incl. VAT'!CO$9:CO$39)</f>
        <v>0</v>
      </c>
      <c r="CG70" s="26">
        <f ca="1">SUMIF('Outturn incl. VAT'!$D$9:$D$39,$C70,'Outturn incl. VAT'!CP$9:CP$39)</f>
        <v>0</v>
      </c>
      <c r="CH70" s="26">
        <f ca="1">SUMIF('Outturn incl. VAT'!$D$9:$D$39,$C70,'Outturn incl. VAT'!CQ$9:CQ$39)</f>
        <v>0</v>
      </c>
      <c r="CI70" s="26">
        <f ca="1">SUMIF('Outturn incl. VAT'!$D$9:$D$39,$C70,'Outturn incl. VAT'!CR$9:CR$39)</f>
        <v>0</v>
      </c>
      <c r="CJ70" s="26">
        <f ca="1">SUMIF('Outturn incl. VAT'!$D$9:$D$39,$C70,'Outturn incl. VAT'!CS$9:CS$39)</f>
        <v>0</v>
      </c>
      <c r="CK70" s="26">
        <f ca="1">SUMIF('Outturn incl. VAT'!$D$9:$D$39,$C70,'Outturn incl. VAT'!CT$9:CT$39)</f>
        <v>0</v>
      </c>
      <c r="CL70" s="26">
        <f ca="1">SUMIF('Outturn incl. VAT'!$D$9:$D$39,$C70,'Outturn incl. VAT'!CU$9:CU$39)</f>
        <v>0</v>
      </c>
      <c r="CM70" s="26">
        <f ca="1">SUMIF('Outturn incl. VAT'!$D$9:$D$39,$C70,'Outturn incl. VAT'!CV$9:CV$39)</f>
        <v>0</v>
      </c>
      <c r="CN70" s="26">
        <f ca="1">SUMIF('Outturn incl. VAT'!$D$9:$D$39,$C70,'Outturn incl. VAT'!CW$9:CW$39)</f>
        <v>0</v>
      </c>
      <c r="CO70" s="26">
        <f ca="1">SUMIF('Outturn incl. VAT'!$D$9:$D$39,$C70,'Outturn incl. VAT'!CX$9:CX$39)</f>
        <v>0</v>
      </c>
    </row>
    <row r="71" spans="3:93" x14ac:dyDescent="0.3">
      <c r="C71" s="6" t="str">
        <f>Lookups!C9</f>
        <v>In-Service</v>
      </c>
      <c r="D71" s="26">
        <f ca="1">SUMIF('Outturn incl. VAT'!$D$9:$D$39,$C71,'Outturn incl. VAT'!M$9:M$39)</f>
        <v>0</v>
      </c>
      <c r="E71" s="26">
        <f ca="1">SUMIF('Outturn incl. VAT'!$D$9:$D$39,$C71,'Outturn incl. VAT'!N$9:N$39)</f>
        <v>0</v>
      </c>
      <c r="F71" s="26">
        <f ca="1">SUMIF('Outturn incl. VAT'!$D$9:$D$39,$C71,'Outturn incl. VAT'!O$9:O$39)</f>
        <v>0</v>
      </c>
      <c r="G71" s="26">
        <f ca="1">SUMIF('Outturn incl. VAT'!$D$9:$D$39,$C71,'Outturn incl. VAT'!P$9:P$39)</f>
        <v>0</v>
      </c>
      <c r="H71" s="26">
        <f ca="1">SUMIF('Outturn incl. VAT'!$D$9:$D$39,$C71,'Outturn incl. VAT'!Q$9:Q$39)</f>
        <v>0</v>
      </c>
      <c r="I71" s="26">
        <f ca="1">SUMIF('Outturn incl. VAT'!$D$9:$D$39,$C71,'Outturn incl. VAT'!R$9:R$39)</f>
        <v>0</v>
      </c>
      <c r="J71" s="26">
        <f ca="1">SUMIF('Outturn incl. VAT'!$D$9:$D$39,$C71,'Outturn incl. VAT'!S$9:S$39)</f>
        <v>0</v>
      </c>
      <c r="K71" s="26">
        <f ca="1">SUMIF('Outturn incl. VAT'!$D$9:$D$39,$C71,'Outturn incl. VAT'!T$9:T$39)</f>
        <v>0</v>
      </c>
      <c r="L71" s="26">
        <f ca="1">SUMIF('Outturn incl. VAT'!$D$9:$D$39,$C71,'Outturn incl. VAT'!U$9:U$39)</f>
        <v>0</v>
      </c>
      <c r="M71" s="26">
        <f ca="1">SUMIF('Outturn incl. VAT'!$D$9:$D$39,$C71,'Outturn incl. VAT'!V$9:V$39)</f>
        <v>0</v>
      </c>
      <c r="N71" s="26">
        <f ca="1">SUMIF('Outturn incl. VAT'!$D$9:$D$39,$C71,'Outturn incl. VAT'!W$9:W$39)</f>
        <v>0</v>
      </c>
      <c r="O71" s="26">
        <f ca="1">SUMIF('Outturn incl. VAT'!$D$9:$D$39,$C71,'Outturn incl. VAT'!X$9:X$39)</f>
        <v>0</v>
      </c>
      <c r="P71" s="26">
        <f ca="1">SUMIF('Outturn incl. VAT'!$D$9:$D$39,$C71,'Outturn incl. VAT'!Y$9:Y$39)</f>
        <v>0</v>
      </c>
      <c r="Q71" s="26">
        <f ca="1">SUMIF('Outturn incl. VAT'!$D$9:$D$39,$C71,'Outturn incl. VAT'!Z$9:Z$39)</f>
        <v>0</v>
      </c>
      <c r="R71" s="26">
        <f ca="1">SUMIF('Outturn incl. VAT'!$D$9:$D$39,$C71,'Outturn incl. VAT'!AA$9:AA$39)</f>
        <v>0</v>
      </c>
      <c r="S71" s="26">
        <f ca="1">SUMIF('Outturn incl. VAT'!$D$9:$D$39,$C71,'Outturn incl. VAT'!AB$9:AB$39)</f>
        <v>0</v>
      </c>
      <c r="T71" s="26">
        <f ca="1">SUMIF('Outturn incl. VAT'!$D$9:$D$39,$C71,'Outturn incl. VAT'!AC$9:AC$39)</f>
        <v>0</v>
      </c>
      <c r="U71" s="26">
        <f ca="1">SUMIF('Outturn incl. VAT'!$D$9:$D$39,$C71,'Outturn incl. VAT'!AD$9:AD$39)</f>
        <v>0</v>
      </c>
      <c r="V71" s="26">
        <f ca="1">SUMIF('Outturn incl. VAT'!$D$9:$D$39,$C71,'Outturn incl. VAT'!AE$9:AE$39)</f>
        <v>0</v>
      </c>
      <c r="W71" s="26">
        <f ca="1">SUMIF('Outturn incl. VAT'!$D$9:$D$39,$C71,'Outturn incl. VAT'!AF$9:AF$39)</f>
        <v>0</v>
      </c>
      <c r="X71" s="26">
        <f ca="1">SUMIF('Outturn incl. VAT'!$D$9:$D$39,$C71,'Outturn incl. VAT'!AG$9:AG$39)</f>
        <v>0</v>
      </c>
      <c r="Y71" s="26">
        <f ca="1">SUMIF('Outturn incl. VAT'!$D$9:$D$39,$C71,'Outturn incl. VAT'!AH$9:AH$39)</f>
        <v>1787.4961779711439</v>
      </c>
      <c r="Z71" s="26">
        <f ca="1">SUMIF('Outturn incl. VAT'!$D$9:$D$39,$C71,'Outturn incl. VAT'!AI$9:AI$39)</f>
        <v>0</v>
      </c>
      <c r="AA71" s="26">
        <f ca="1">SUMIF('Outturn incl. VAT'!$D$9:$D$39,$C71,'Outturn incl. VAT'!AJ$9:AJ$39)</f>
        <v>0</v>
      </c>
      <c r="AB71" s="26">
        <f ca="1">SUMIF('Outturn incl. VAT'!$D$9:$D$39,$C71,'Outturn incl. VAT'!AK$9:AK$39)</f>
        <v>0</v>
      </c>
      <c r="AC71" s="26">
        <f ca="1">SUMIF('Outturn incl. VAT'!$D$9:$D$39,$C71,'Outturn incl. VAT'!AL$9:AL$39)</f>
        <v>0</v>
      </c>
      <c r="AD71" s="26">
        <f ca="1">SUMIF('Outturn incl. VAT'!$D$9:$D$39,$C71,'Outturn incl. VAT'!AM$9:AM$39)</f>
        <v>0</v>
      </c>
      <c r="AE71" s="26">
        <f ca="1">SUMIF('Outturn incl. VAT'!$D$9:$D$39,$C71,'Outturn incl. VAT'!AN$9:AN$39)</f>
        <v>0</v>
      </c>
      <c r="AF71" s="26">
        <f ca="1">SUMIF('Outturn incl. VAT'!$D$9:$D$39,$C71,'Outturn incl. VAT'!AO$9:AO$39)</f>
        <v>0</v>
      </c>
      <c r="AG71" s="26">
        <f ca="1">SUMIF('Outturn incl. VAT'!$D$9:$D$39,$C71,'Outturn incl. VAT'!AP$9:AP$39)</f>
        <v>0</v>
      </c>
      <c r="AH71" s="26">
        <f ca="1">SUMIF('Outturn incl. VAT'!$D$9:$D$39,$C71,'Outturn incl. VAT'!AQ$9:AQ$39)</f>
        <v>0</v>
      </c>
      <c r="AI71" s="26">
        <f ca="1">SUMIF('Outturn incl. VAT'!$D$9:$D$39,$C71,'Outturn incl. VAT'!AR$9:AR$39)</f>
        <v>0</v>
      </c>
      <c r="AJ71" s="26">
        <f ca="1">SUMIF('Outturn incl. VAT'!$D$9:$D$39,$C71,'Outturn incl. VAT'!AS$9:AS$39)</f>
        <v>0</v>
      </c>
      <c r="AK71" s="26">
        <f ca="1">SUMIF('Outturn incl. VAT'!$D$9:$D$39,$C71,'Outturn incl. VAT'!AT$9:AT$39)</f>
        <v>0</v>
      </c>
      <c r="AL71" s="26">
        <f ca="1">SUMIF('Outturn incl. VAT'!$D$9:$D$39,$C71,'Outturn incl. VAT'!AU$9:AU$39)</f>
        <v>0</v>
      </c>
      <c r="AM71" s="26">
        <f ca="1">SUMIF('Outturn incl. VAT'!$D$9:$D$39,$C71,'Outturn incl. VAT'!AV$9:AV$39)</f>
        <v>0</v>
      </c>
      <c r="AN71" s="26">
        <f ca="1">SUMIF('Outturn incl. VAT'!$D$9:$D$39,$C71,'Outturn incl. VAT'!AW$9:AW$39)</f>
        <v>0</v>
      </c>
      <c r="AO71" s="26">
        <f ca="1">SUMIF('Outturn incl. VAT'!$D$9:$D$39,$C71,'Outturn incl. VAT'!AX$9:AX$39)</f>
        <v>0</v>
      </c>
      <c r="AP71" s="26">
        <f ca="1">SUMIF('Outturn incl. VAT'!$D$9:$D$39,$C71,'Outturn incl. VAT'!AY$9:AY$39)</f>
        <v>0</v>
      </c>
      <c r="AQ71" s="26">
        <f ca="1">SUMIF('Outturn incl. VAT'!$D$9:$D$39,$C71,'Outturn incl. VAT'!AZ$9:AZ$39)</f>
        <v>0</v>
      </c>
      <c r="AR71" s="26">
        <f ca="1">SUMIF('Outturn incl. VAT'!$D$9:$D$39,$C71,'Outturn incl. VAT'!BA$9:BA$39)</f>
        <v>0</v>
      </c>
      <c r="AS71" s="26">
        <f ca="1">SUMIF('Outturn incl. VAT'!$D$9:$D$39,$C71,'Outturn incl. VAT'!BB$9:BB$39)</f>
        <v>0</v>
      </c>
      <c r="AT71" s="26">
        <f ca="1">SUMIF('Outturn incl. VAT'!$D$9:$D$39,$C71,'Outturn incl. VAT'!BC$9:BC$39)</f>
        <v>0</v>
      </c>
      <c r="AU71" s="26">
        <f ca="1">SUMIF('Outturn incl. VAT'!$D$9:$D$39,$C71,'Outturn incl. VAT'!BD$9:BD$39)</f>
        <v>0</v>
      </c>
      <c r="AV71" s="26">
        <f ca="1">SUMIF('Outturn incl. VAT'!$D$9:$D$39,$C71,'Outturn incl. VAT'!BE$9:BE$39)</f>
        <v>0</v>
      </c>
      <c r="AW71" s="26">
        <f ca="1">SUMIF('Outturn incl. VAT'!$D$9:$D$39,$C71,'Outturn incl. VAT'!BF$9:BF$39)</f>
        <v>0</v>
      </c>
      <c r="AX71" s="26">
        <f ca="1">SUMIF('Outturn incl. VAT'!$D$9:$D$39,$C71,'Outturn incl. VAT'!BG$9:BG$39)</f>
        <v>0</v>
      </c>
      <c r="AY71" s="26">
        <f ca="1">SUMIF('Outturn incl. VAT'!$D$9:$D$39,$C71,'Outturn incl. VAT'!BH$9:BH$39)</f>
        <v>0</v>
      </c>
      <c r="AZ71" s="26">
        <f ca="1">SUMIF('Outturn incl. VAT'!$D$9:$D$39,$C71,'Outturn incl. VAT'!BI$9:BI$39)</f>
        <v>0</v>
      </c>
      <c r="BA71" s="26">
        <f ca="1">SUMIF('Outturn incl. VAT'!$D$9:$D$39,$C71,'Outturn incl. VAT'!BJ$9:BJ$39)</f>
        <v>0</v>
      </c>
      <c r="BB71" s="26">
        <f ca="1">SUMIF('Outturn incl. VAT'!$D$9:$D$39,$C71,'Outturn incl. VAT'!BK$9:BK$39)</f>
        <v>0</v>
      </c>
      <c r="BC71" s="26">
        <f ca="1">SUMIF('Outturn incl. VAT'!$D$9:$D$39,$C71,'Outturn incl. VAT'!BL$9:BL$39)</f>
        <v>0</v>
      </c>
      <c r="BD71" s="26">
        <f ca="1">SUMIF('Outturn incl. VAT'!$D$9:$D$39,$C71,'Outturn incl. VAT'!BM$9:BM$39)</f>
        <v>0</v>
      </c>
      <c r="BE71" s="26">
        <f ca="1">SUMIF('Outturn incl. VAT'!$D$9:$D$39,$C71,'Outturn incl. VAT'!BN$9:BN$39)</f>
        <v>0</v>
      </c>
      <c r="BF71" s="26">
        <f ca="1">SUMIF('Outturn incl. VAT'!$D$9:$D$39,$C71,'Outturn incl. VAT'!BO$9:BO$39)</f>
        <v>0</v>
      </c>
      <c r="BG71" s="26">
        <f ca="1">SUMIF('Outturn incl. VAT'!$D$9:$D$39,$C71,'Outturn incl. VAT'!BP$9:BP$39)</f>
        <v>0</v>
      </c>
      <c r="BH71" s="26">
        <f ca="1">SUMIF('Outturn incl. VAT'!$D$9:$D$39,$C71,'Outturn incl. VAT'!BQ$9:BQ$39)</f>
        <v>0</v>
      </c>
      <c r="BI71" s="26">
        <f ca="1">SUMIF('Outturn incl. VAT'!$D$9:$D$39,$C71,'Outturn incl. VAT'!BR$9:BR$39)</f>
        <v>0</v>
      </c>
      <c r="BJ71" s="26">
        <f ca="1">SUMIF('Outturn incl. VAT'!$D$9:$D$39,$C71,'Outturn incl. VAT'!BS$9:BS$39)</f>
        <v>0</v>
      </c>
      <c r="BK71" s="26">
        <f ca="1">SUMIF('Outturn incl. VAT'!$D$9:$D$39,$C71,'Outturn incl. VAT'!BT$9:BT$39)</f>
        <v>0</v>
      </c>
      <c r="BL71" s="26">
        <f ca="1">SUMIF('Outturn incl. VAT'!$D$9:$D$39,$C71,'Outturn incl. VAT'!BU$9:BU$39)</f>
        <v>0</v>
      </c>
      <c r="BM71" s="26">
        <f ca="1">SUMIF('Outturn incl. VAT'!$D$9:$D$39,$C71,'Outturn incl. VAT'!BV$9:BV$39)</f>
        <v>0</v>
      </c>
      <c r="BN71" s="26">
        <f ca="1">SUMIF('Outturn incl. VAT'!$D$9:$D$39,$C71,'Outturn incl. VAT'!BW$9:BW$39)</f>
        <v>0</v>
      </c>
      <c r="BO71" s="26">
        <f ca="1">SUMIF('Outturn incl. VAT'!$D$9:$D$39,$C71,'Outturn incl. VAT'!BX$9:BX$39)</f>
        <v>0</v>
      </c>
      <c r="BP71" s="26">
        <f ca="1">SUMIF('Outturn incl. VAT'!$D$9:$D$39,$C71,'Outturn incl. VAT'!BY$9:BY$39)</f>
        <v>0</v>
      </c>
      <c r="BQ71" s="26">
        <f ca="1">SUMIF('Outturn incl. VAT'!$D$9:$D$39,$C71,'Outturn incl. VAT'!BZ$9:BZ$39)</f>
        <v>0</v>
      </c>
      <c r="BR71" s="26">
        <f ca="1">SUMIF('Outturn incl. VAT'!$D$9:$D$39,$C71,'Outturn incl. VAT'!CA$9:CA$39)</f>
        <v>0</v>
      </c>
      <c r="BS71" s="26">
        <f ca="1">SUMIF('Outturn incl. VAT'!$D$9:$D$39,$C71,'Outturn incl. VAT'!CB$9:CB$39)</f>
        <v>0</v>
      </c>
      <c r="BT71" s="26">
        <f ca="1">SUMIF('Outturn incl. VAT'!$D$9:$D$39,$C71,'Outturn incl. VAT'!CC$9:CC$39)</f>
        <v>0</v>
      </c>
      <c r="BU71" s="26">
        <f ca="1">SUMIF('Outturn incl. VAT'!$D$9:$D$39,$C71,'Outturn incl. VAT'!CD$9:CD$39)</f>
        <v>0</v>
      </c>
      <c r="BV71" s="26">
        <f ca="1">SUMIF('Outturn incl. VAT'!$D$9:$D$39,$C71,'Outturn incl. VAT'!CE$9:CE$39)</f>
        <v>0</v>
      </c>
      <c r="BW71" s="26">
        <f ca="1">SUMIF('Outturn incl. VAT'!$D$9:$D$39,$C71,'Outturn incl. VAT'!CF$9:CF$39)</f>
        <v>0</v>
      </c>
      <c r="BX71" s="26">
        <f ca="1">SUMIF('Outturn incl. VAT'!$D$9:$D$39,$C71,'Outturn incl. VAT'!CG$9:CG$39)</f>
        <v>0</v>
      </c>
      <c r="BY71" s="26">
        <f ca="1">SUMIF('Outturn incl. VAT'!$D$9:$D$39,$C71,'Outturn incl. VAT'!CH$9:CH$39)</f>
        <v>0</v>
      </c>
      <c r="BZ71" s="26">
        <f ca="1">SUMIF('Outturn incl. VAT'!$D$9:$D$39,$C71,'Outturn incl. VAT'!CI$9:CI$39)</f>
        <v>0</v>
      </c>
      <c r="CA71" s="26">
        <f ca="1">SUMIF('Outturn incl. VAT'!$D$9:$D$39,$C71,'Outturn incl. VAT'!CJ$9:CJ$39)</f>
        <v>0</v>
      </c>
      <c r="CB71" s="26">
        <f ca="1">SUMIF('Outturn incl. VAT'!$D$9:$D$39,$C71,'Outturn incl. VAT'!CK$9:CK$39)</f>
        <v>0</v>
      </c>
      <c r="CC71" s="26">
        <f ca="1">SUMIF('Outturn incl. VAT'!$D$9:$D$39,$C71,'Outturn incl. VAT'!CL$9:CL$39)</f>
        <v>0</v>
      </c>
      <c r="CD71" s="26">
        <f ca="1">SUMIF('Outturn incl. VAT'!$D$9:$D$39,$C71,'Outturn incl. VAT'!CM$9:CM$39)</f>
        <v>0</v>
      </c>
      <c r="CE71" s="26">
        <f ca="1">SUMIF('Outturn incl. VAT'!$D$9:$D$39,$C71,'Outturn incl. VAT'!CN$9:CN$39)</f>
        <v>0</v>
      </c>
      <c r="CF71" s="26">
        <f ca="1">SUMIF('Outturn incl. VAT'!$D$9:$D$39,$C71,'Outturn incl. VAT'!CO$9:CO$39)</f>
        <v>0</v>
      </c>
      <c r="CG71" s="26">
        <f ca="1">SUMIF('Outturn incl. VAT'!$D$9:$D$39,$C71,'Outturn incl. VAT'!CP$9:CP$39)</f>
        <v>0</v>
      </c>
      <c r="CH71" s="26">
        <f ca="1">SUMIF('Outturn incl. VAT'!$D$9:$D$39,$C71,'Outturn incl. VAT'!CQ$9:CQ$39)</f>
        <v>0</v>
      </c>
      <c r="CI71" s="26">
        <f ca="1">SUMIF('Outturn incl. VAT'!$D$9:$D$39,$C71,'Outturn incl. VAT'!CR$9:CR$39)</f>
        <v>0</v>
      </c>
      <c r="CJ71" s="26">
        <f ca="1">SUMIF('Outturn incl. VAT'!$D$9:$D$39,$C71,'Outturn incl. VAT'!CS$9:CS$39)</f>
        <v>0</v>
      </c>
      <c r="CK71" s="26">
        <f ca="1">SUMIF('Outturn incl. VAT'!$D$9:$D$39,$C71,'Outturn incl. VAT'!CT$9:CT$39)</f>
        <v>0</v>
      </c>
      <c r="CL71" s="26">
        <f ca="1">SUMIF('Outturn incl. VAT'!$D$9:$D$39,$C71,'Outturn incl. VAT'!CU$9:CU$39)</f>
        <v>0</v>
      </c>
      <c r="CM71" s="26">
        <f ca="1">SUMIF('Outturn incl. VAT'!$D$9:$D$39,$C71,'Outturn incl. VAT'!CV$9:CV$39)</f>
        <v>0</v>
      </c>
      <c r="CN71" s="26">
        <f ca="1">SUMIF('Outturn incl. VAT'!$D$9:$D$39,$C71,'Outturn incl. VAT'!CW$9:CW$39)</f>
        <v>0</v>
      </c>
      <c r="CO71" s="26">
        <f ca="1">SUMIF('Outturn incl. VAT'!$D$9:$D$39,$C71,'Outturn incl. VAT'!CX$9:CX$39)</f>
        <v>0</v>
      </c>
    </row>
    <row r="73" spans="3:93" x14ac:dyDescent="0.3">
      <c r="C73" s="6" t="s">
        <v>65</v>
      </c>
      <c r="D73" s="31">
        <f t="shared" ref="D73:AI73" ca="1" si="7">SUM(D67:D71)</f>
        <v>0</v>
      </c>
      <c r="E73" s="31">
        <f t="shared" ca="1" si="7"/>
        <v>0</v>
      </c>
      <c r="F73" s="31">
        <f t="shared" ca="1" si="7"/>
        <v>0</v>
      </c>
      <c r="G73" s="31">
        <f t="shared" ca="1" si="7"/>
        <v>0</v>
      </c>
      <c r="H73" s="31">
        <f t="shared" ca="1" si="7"/>
        <v>0</v>
      </c>
      <c r="I73" s="31">
        <f t="shared" ca="1" si="7"/>
        <v>0</v>
      </c>
      <c r="J73" s="31">
        <f t="shared" ca="1" si="7"/>
        <v>0</v>
      </c>
      <c r="K73" s="31">
        <f t="shared" ca="1" si="7"/>
        <v>0</v>
      </c>
      <c r="L73" s="31">
        <f t="shared" ca="1" si="7"/>
        <v>0</v>
      </c>
      <c r="M73" s="31">
        <f t="shared" ca="1" si="7"/>
        <v>0</v>
      </c>
      <c r="N73" s="31">
        <f t="shared" ca="1" si="7"/>
        <v>0</v>
      </c>
      <c r="O73" s="31">
        <f t="shared" ca="1" si="7"/>
        <v>0</v>
      </c>
      <c r="P73" s="31">
        <f t="shared" ca="1" si="7"/>
        <v>0</v>
      </c>
      <c r="Q73" s="31">
        <f t="shared" ca="1" si="7"/>
        <v>0</v>
      </c>
      <c r="R73" s="31">
        <f t="shared" ca="1" si="7"/>
        <v>0</v>
      </c>
      <c r="S73" s="31">
        <f t="shared" ca="1" si="7"/>
        <v>0</v>
      </c>
      <c r="T73" s="31">
        <f t="shared" ca="1" si="7"/>
        <v>0</v>
      </c>
      <c r="U73" s="31">
        <f t="shared" ca="1" si="7"/>
        <v>30948.474356940133</v>
      </c>
      <c r="V73" s="31">
        <f t="shared" ca="1" si="7"/>
        <v>31466.193754390741</v>
      </c>
      <c r="W73" s="31">
        <f t="shared" ca="1" si="7"/>
        <v>31466.193754390741</v>
      </c>
      <c r="X73" s="31">
        <f t="shared" ca="1" si="7"/>
        <v>31466.193754390741</v>
      </c>
      <c r="Y73" s="31">
        <f t="shared" ca="1" si="7"/>
        <v>30853.689932361885</v>
      </c>
      <c r="Z73" s="31">
        <f t="shared" ca="1" si="7"/>
        <v>0</v>
      </c>
      <c r="AA73" s="31">
        <f t="shared" ca="1" si="7"/>
        <v>0</v>
      </c>
      <c r="AB73" s="31">
        <f t="shared" ca="1" si="7"/>
        <v>0</v>
      </c>
      <c r="AC73" s="31">
        <f t="shared" ca="1" si="7"/>
        <v>0</v>
      </c>
      <c r="AD73" s="31">
        <f t="shared" ca="1" si="7"/>
        <v>0</v>
      </c>
      <c r="AE73" s="31">
        <f t="shared" ca="1" si="7"/>
        <v>0</v>
      </c>
      <c r="AF73" s="31">
        <f t="shared" ca="1" si="7"/>
        <v>0</v>
      </c>
      <c r="AG73" s="31">
        <f t="shared" ca="1" si="7"/>
        <v>0</v>
      </c>
      <c r="AH73" s="31">
        <f t="shared" ca="1" si="7"/>
        <v>0</v>
      </c>
      <c r="AI73" s="31">
        <f t="shared" ca="1" si="7"/>
        <v>0</v>
      </c>
      <c r="AJ73" s="31">
        <f t="shared" ref="AJ73:BO73" ca="1" si="8">SUM(AJ67:AJ71)</f>
        <v>0</v>
      </c>
      <c r="AK73" s="31">
        <f t="shared" ca="1" si="8"/>
        <v>0</v>
      </c>
      <c r="AL73" s="31">
        <f t="shared" ca="1" si="8"/>
        <v>0</v>
      </c>
      <c r="AM73" s="31">
        <f t="shared" ca="1" si="8"/>
        <v>0</v>
      </c>
      <c r="AN73" s="31">
        <f t="shared" ca="1" si="8"/>
        <v>0</v>
      </c>
      <c r="AO73" s="31">
        <f t="shared" ca="1" si="8"/>
        <v>0</v>
      </c>
      <c r="AP73" s="31">
        <f t="shared" ca="1" si="8"/>
        <v>0</v>
      </c>
      <c r="AQ73" s="31">
        <f t="shared" ca="1" si="8"/>
        <v>0</v>
      </c>
      <c r="AR73" s="31">
        <f t="shared" ca="1" si="8"/>
        <v>0</v>
      </c>
      <c r="AS73" s="31">
        <f t="shared" ca="1" si="8"/>
        <v>0</v>
      </c>
      <c r="AT73" s="31">
        <f t="shared" ca="1" si="8"/>
        <v>0</v>
      </c>
      <c r="AU73" s="31">
        <f t="shared" ca="1" si="8"/>
        <v>0</v>
      </c>
      <c r="AV73" s="31">
        <f t="shared" ca="1" si="8"/>
        <v>0</v>
      </c>
      <c r="AW73" s="31">
        <f t="shared" ca="1" si="8"/>
        <v>0</v>
      </c>
      <c r="AX73" s="31">
        <f t="shared" ca="1" si="8"/>
        <v>0</v>
      </c>
      <c r="AY73" s="31">
        <f t="shared" ca="1" si="8"/>
        <v>0</v>
      </c>
      <c r="AZ73" s="31">
        <f t="shared" ca="1" si="8"/>
        <v>0</v>
      </c>
      <c r="BA73" s="31">
        <f t="shared" ca="1" si="8"/>
        <v>0</v>
      </c>
      <c r="BB73" s="31">
        <f t="shared" ca="1" si="8"/>
        <v>0</v>
      </c>
      <c r="BC73" s="31">
        <f t="shared" ca="1" si="8"/>
        <v>0</v>
      </c>
      <c r="BD73" s="31">
        <f t="shared" ca="1" si="8"/>
        <v>0</v>
      </c>
      <c r="BE73" s="31">
        <f t="shared" ca="1" si="8"/>
        <v>0</v>
      </c>
      <c r="BF73" s="31">
        <f t="shared" ca="1" si="8"/>
        <v>0</v>
      </c>
      <c r="BG73" s="31">
        <f t="shared" ca="1" si="8"/>
        <v>0</v>
      </c>
      <c r="BH73" s="31">
        <f t="shared" ca="1" si="8"/>
        <v>0</v>
      </c>
      <c r="BI73" s="31">
        <f t="shared" ca="1" si="8"/>
        <v>0</v>
      </c>
      <c r="BJ73" s="31">
        <f t="shared" ca="1" si="8"/>
        <v>0</v>
      </c>
      <c r="BK73" s="31">
        <f t="shared" ca="1" si="8"/>
        <v>0</v>
      </c>
      <c r="BL73" s="31">
        <f t="shared" ca="1" si="8"/>
        <v>0</v>
      </c>
      <c r="BM73" s="31">
        <f t="shared" ca="1" si="8"/>
        <v>0</v>
      </c>
      <c r="BN73" s="31">
        <f t="shared" ca="1" si="8"/>
        <v>0</v>
      </c>
      <c r="BO73" s="31">
        <f t="shared" ca="1" si="8"/>
        <v>0</v>
      </c>
      <c r="BP73" s="31">
        <f t="shared" ref="BP73:CO73" ca="1" si="9">SUM(BP67:BP71)</f>
        <v>0</v>
      </c>
      <c r="BQ73" s="31">
        <f t="shared" ca="1" si="9"/>
        <v>0</v>
      </c>
      <c r="BR73" s="31">
        <f t="shared" ca="1" si="9"/>
        <v>0</v>
      </c>
      <c r="BS73" s="31">
        <f t="shared" ca="1" si="9"/>
        <v>0</v>
      </c>
      <c r="BT73" s="31">
        <f t="shared" ca="1" si="9"/>
        <v>0</v>
      </c>
      <c r="BU73" s="31">
        <f t="shared" ca="1" si="9"/>
        <v>0</v>
      </c>
      <c r="BV73" s="31">
        <f t="shared" ca="1" si="9"/>
        <v>0</v>
      </c>
      <c r="BW73" s="31">
        <f t="shared" ca="1" si="9"/>
        <v>0</v>
      </c>
      <c r="BX73" s="31">
        <f t="shared" ca="1" si="9"/>
        <v>0</v>
      </c>
      <c r="BY73" s="31">
        <f t="shared" ca="1" si="9"/>
        <v>0</v>
      </c>
      <c r="BZ73" s="31">
        <f t="shared" ca="1" si="9"/>
        <v>0</v>
      </c>
      <c r="CA73" s="31">
        <f t="shared" ca="1" si="9"/>
        <v>0</v>
      </c>
      <c r="CB73" s="31">
        <f t="shared" ca="1" si="9"/>
        <v>0</v>
      </c>
      <c r="CC73" s="31">
        <f t="shared" ca="1" si="9"/>
        <v>0</v>
      </c>
      <c r="CD73" s="31">
        <f t="shared" ca="1" si="9"/>
        <v>0</v>
      </c>
      <c r="CE73" s="31">
        <f t="shared" ca="1" si="9"/>
        <v>0</v>
      </c>
      <c r="CF73" s="31">
        <f t="shared" ca="1" si="9"/>
        <v>0</v>
      </c>
      <c r="CG73" s="31">
        <f t="shared" ca="1" si="9"/>
        <v>0</v>
      </c>
      <c r="CH73" s="31">
        <f t="shared" ca="1" si="9"/>
        <v>0</v>
      </c>
      <c r="CI73" s="31">
        <f t="shared" ca="1" si="9"/>
        <v>0</v>
      </c>
      <c r="CJ73" s="31">
        <f t="shared" ca="1" si="9"/>
        <v>0</v>
      </c>
      <c r="CK73" s="31">
        <f t="shared" ca="1" si="9"/>
        <v>0</v>
      </c>
      <c r="CL73" s="31">
        <f t="shared" ca="1" si="9"/>
        <v>0</v>
      </c>
      <c r="CM73" s="31">
        <f t="shared" ca="1" si="9"/>
        <v>0</v>
      </c>
      <c r="CN73" s="31">
        <f t="shared" ca="1" si="9"/>
        <v>0</v>
      </c>
      <c r="CO73" s="31">
        <f t="shared" ca="1" si="9"/>
        <v>0</v>
      </c>
    </row>
    <row r="75" spans="3:93" x14ac:dyDescent="0.3">
      <c r="C75" s="6" t="s">
        <v>94</v>
      </c>
      <c r="D75" s="50">
        <v>0.1</v>
      </c>
    </row>
    <row r="77" spans="3:93" x14ac:dyDescent="0.3">
      <c r="D77" s="6" t="str">
        <f>Timeline!F14</f>
        <v>19/20</v>
      </c>
      <c r="E77" s="6" t="str">
        <f>Timeline!G14</f>
        <v>20/21</v>
      </c>
      <c r="F77" s="6" t="str">
        <f>Timeline!H14</f>
        <v>21/22</v>
      </c>
      <c r="G77" s="6" t="str">
        <f>Timeline!I14</f>
        <v>22/23</v>
      </c>
      <c r="H77" s="6" t="str">
        <f>Timeline!J14</f>
        <v>23/24</v>
      </c>
      <c r="I77" s="6" t="str">
        <f>Timeline!K14</f>
        <v>24/25</v>
      </c>
      <c r="J77" s="6" t="str">
        <f>Timeline!L14</f>
        <v>25/26</v>
      </c>
      <c r="K77" s="6" t="str">
        <f>Timeline!M14</f>
        <v>26/27</v>
      </c>
      <c r="L77" s="6" t="str">
        <f>Timeline!N14</f>
        <v>27/28</v>
      </c>
      <c r="M77" s="6" t="str">
        <f>Timeline!O14</f>
        <v>28/29</v>
      </c>
      <c r="N77" s="6" t="str">
        <f>Timeline!P14</f>
        <v>29/30</v>
      </c>
      <c r="O77" s="6" t="str">
        <f>Timeline!Q14</f>
        <v>30/31</v>
      </c>
      <c r="P77" s="6" t="str">
        <f>Timeline!R14</f>
        <v>31/32</v>
      </c>
      <c r="Q77" s="6" t="str">
        <f>Timeline!S14</f>
        <v>32/33</v>
      </c>
      <c r="R77" s="6" t="str">
        <f>Timeline!T14</f>
        <v>33/34</v>
      </c>
      <c r="S77" s="6" t="str">
        <f>Timeline!U14</f>
        <v>34/35</v>
      </c>
      <c r="T77" s="6" t="str">
        <f>Timeline!V14</f>
        <v>35/36</v>
      </c>
      <c r="U77" s="6" t="str">
        <f>Timeline!W14</f>
        <v>36/37</v>
      </c>
      <c r="V77" s="6" t="str">
        <f>Timeline!X14</f>
        <v>37/38</v>
      </c>
      <c r="W77" s="6" t="str">
        <f>Timeline!Y14</f>
        <v>38/39</v>
      </c>
      <c r="X77" s="6" t="str">
        <f>Timeline!Z14</f>
        <v>39/40</v>
      </c>
      <c r="Y77" s="6" t="str">
        <f>Timeline!AA14</f>
        <v>40/41</v>
      </c>
      <c r="Z77" s="6" t="str">
        <f>Timeline!AB14</f>
        <v>41/42</v>
      </c>
      <c r="AA77" s="6" t="str">
        <f>Timeline!AC14</f>
        <v>42/43</v>
      </c>
      <c r="AB77" s="6" t="str">
        <f>Timeline!AD14</f>
        <v>43/44</v>
      </c>
      <c r="AC77" s="6" t="str">
        <f>Timeline!AE14</f>
        <v>44/45</v>
      </c>
      <c r="AD77" s="6" t="str">
        <f>Timeline!AF14</f>
        <v>45/46</v>
      </c>
      <c r="AE77" s="6" t="str">
        <f>Timeline!AG14</f>
        <v>46/47</v>
      </c>
      <c r="AF77" s="6" t="str">
        <f>Timeline!AH14</f>
        <v>47/48</v>
      </c>
      <c r="AG77" s="6" t="str">
        <f>Timeline!AI14</f>
        <v>48/49</v>
      </c>
      <c r="AH77" s="6" t="str">
        <f>Timeline!AJ14</f>
        <v>49/50</v>
      </c>
      <c r="AI77" s="6" t="str">
        <f>Timeline!AK14</f>
        <v>50/51</v>
      </c>
      <c r="AJ77" s="6" t="str">
        <f>Timeline!AL14</f>
        <v>51/52</v>
      </c>
      <c r="AK77" s="6" t="str">
        <f>Timeline!AM14</f>
        <v>52/53</v>
      </c>
      <c r="AL77" s="6" t="str">
        <f>Timeline!AN14</f>
        <v>53/54</v>
      </c>
      <c r="AM77" s="6" t="str">
        <f>Timeline!AO14</f>
        <v>54/55</v>
      </c>
      <c r="AN77" s="6" t="str">
        <f>Timeline!AP14</f>
        <v>55/56</v>
      </c>
      <c r="AO77" s="6" t="str">
        <f>Timeline!AQ14</f>
        <v>56/57</v>
      </c>
      <c r="AP77" s="6" t="str">
        <f>Timeline!AR14</f>
        <v>57/58</v>
      </c>
      <c r="AQ77" s="6" t="str">
        <f>Timeline!AS14</f>
        <v>58/59</v>
      </c>
      <c r="AR77" s="6" t="str">
        <f>Timeline!AT14</f>
        <v>59/60</v>
      </c>
      <c r="AS77" s="6" t="str">
        <f>Timeline!AU14</f>
        <v>60/61</v>
      </c>
      <c r="AT77" s="6" t="str">
        <f>Timeline!AV14</f>
        <v>61/62</v>
      </c>
      <c r="AU77" s="6" t="str">
        <f>Timeline!AW14</f>
        <v>62/63</v>
      </c>
      <c r="AV77" s="6" t="str">
        <f>Timeline!AX14</f>
        <v>63/64</v>
      </c>
      <c r="AW77" s="6" t="str">
        <f>Timeline!AY14</f>
        <v>64/65</v>
      </c>
      <c r="AX77" s="6" t="str">
        <f>Timeline!AZ14</f>
        <v>65/66</v>
      </c>
      <c r="AY77" s="6" t="str">
        <f>Timeline!BA14</f>
        <v>66/67</v>
      </c>
      <c r="AZ77" s="6" t="str">
        <f>Timeline!BB14</f>
        <v>67/68</v>
      </c>
      <c r="BA77" s="6" t="str">
        <f>Timeline!BC14</f>
        <v>68/69</v>
      </c>
      <c r="BB77" s="6" t="str">
        <f>Timeline!BD14</f>
        <v>69/70</v>
      </c>
      <c r="BC77" s="6" t="str">
        <f>Timeline!BE14</f>
        <v>70/71</v>
      </c>
      <c r="BD77" s="6" t="str">
        <f>Timeline!BF14</f>
        <v>71/72</v>
      </c>
      <c r="BE77" s="6" t="str">
        <f>Timeline!BG14</f>
        <v>72/73</v>
      </c>
      <c r="BF77" s="6" t="str">
        <f>Timeline!BH14</f>
        <v>73/74</v>
      </c>
      <c r="BG77" s="6" t="str">
        <f>Timeline!BI14</f>
        <v>74/75</v>
      </c>
      <c r="BH77" s="6" t="str">
        <f>Timeline!BJ14</f>
        <v>75/76</v>
      </c>
      <c r="BI77" s="6" t="str">
        <f>Timeline!BK14</f>
        <v>76/77</v>
      </c>
      <c r="BJ77" s="6" t="str">
        <f>Timeline!BL14</f>
        <v>77/78</v>
      </c>
      <c r="BK77" s="6" t="str">
        <f>Timeline!BM14</f>
        <v>78/79</v>
      </c>
      <c r="BL77" s="6" t="str">
        <f>Timeline!BN14</f>
        <v>79/80</v>
      </c>
      <c r="BM77" s="6" t="str">
        <f>Timeline!BO14</f>
        <v>80/81</v>
      </c>
      <c r="BN77" s="6" t="str">
        <f>Timeline!BP14</f>
        <v>81/82</v>
      </c>
      <c r="BO77" s="6" t="str">
        <f>Timeline!BQ14</f>
        <v>82/83</v>
      </c>
      <c r="BP77" s="6" t="str">
        <f>Timeline!BR14</f>
        <v>83/84</v>
      </c>
      <c r="BQ77" s="6" t="str">
        <f>Timeline!BS14</f>
        <v>84/85</v>
      </c>
      <c r="BR77" s="6" t="str">
        <f>Timeline!BT14</f>
        <v>85/86</v>
      </c>
      <c r="BS77" s="6" t="str">
        <f>Timeline!BU14</f>
        <v>86/87</v>
      </c>
      <c r="BT77" s="6" t="str">
        <f>Timeline!BV14</f>
        <v>87/88</v>
      </c>
      <c r="BU77" s="6" t="str">
        <f>Timeline!BW14</f>
        <v>88/89</v>
      </c>
      <c r="BV77" s="6" t="str">
        <f>Timeline!BX14</f>
        <v>89/90</v>
      </c>
      <c r="BW77" s="6" t="str">
        <f>Timeline!BY14</f>
        <v>90/91</v>
      </c>
      <c r="BX77" s="6" t="str">
        <f>Timeline!BZ14</f>
        <v>91/92</v>
      </c>
      <c r="BY77" s="6" t="str">
        <f>Timeline!CA14</f>
        <v>92/93</v>
      </c>
      <c r="BZ77" s="6" t="str">
        <f>Timeline!CB14</f>
        <v>93/94</v>
      </c>
      <c r="CA77" s="6" t="str">
        <f>Timeline!CC14</f>
        <v>94/95</v>
      </c>
      <c r="CB77" s="6" t="str">
        <f>Timeline!CD14</f>
        <v>95/96</v>
      </c>
      <c r="CC77" s="6" t="str">
        <f>Timeline!CE14</f>
        <v>96/97</v>
      </c>
      <c r="CD77" s="6" t="str">
        <f>Timeline!CF14</f>
        <v>97/98</v>
      </c>
      <c r="CE77" s="6" t="str">
        <f>Timeline!CG14</f>
        <v>98/99</v>
      </c>
      <c r="CF77" s="6" t="str">
        <f>Timeline!CH14</f>
        <v>99/00</v>
      </c>
      <c r="CG77" s="6" t="str">
        <f>Timeline!CI14</f>
        <v>00/01</v>
      </c>
      <c r="CH77" s="6" t="str">
        <f>Timeline!CJ14</f>
        <v>01/02</v>
      </c>
      <c r="CI77" s="6" t="str">
        <f>Timeline!CK14</f>
        <v>02/03</v>
      </c>
      <c r="CJ77" s="6" t="str">
        <f>Timeline!CL14</f>
        <v>03/04</v>
      </c>
      <c r="CK77" s="6" t="str">
        <f>Timeline!CM14</f>
        <v>04/05</v>
      </c>
      <c r="CL77" s="6" t="str">
        <f>Timeline!CN14</f>
        <v>05/06</v>
      </c>
      <c r="CM77" s="6" t="str">
        <f>Timeline!CO14</f>
        <v>06/07</v>
      </c>
      <c r="CN77" s="6" t="str">
        <f>Timeline!CP14</f>
        <v>07/08</v>
      </c>
      <c r="CO77" s="6" t="str">
        <f>Timeline!CQ14</f>
        <v>08/09</v>
      </c>
    </row>
    <row r="78" spans="3:93" x14ac:dyDescent="0.3">
      <c r="C78" s="6" t="str">
        <f>Lookups!C5</f>
        <v>Concept</v>
      </c>
      <c r="D78" s="26">
        <f ca="1">_xll.CampagnaOutputPercentile(D67,$D$75)</f>
        <v>0</v>
      </c>
      <c r="E78" s="26">
        <f ca="1">_xll.CampagnaOutputPercentile(E67,$D$75)</f>
        <v>0</v>
      </c>
      <c r="F78" s="26">
        <f ca="1">_xll.CampagnaOutputPercentile(F67,$D$75)</f>
        <v>0</v>
      </c>
      <c r="G78" s="26">
        <f ca="1">_xll.CampagnaOutputPercentile(G67,$D$75)</f>
        <v>0</v>
      </c>
      <c r="H78" s="26">
        <f ca="1">_xll.CampagnaOutputPercentile(H67,$D$75)</f>
        <v>0</v>
      </c>
      <c r="I78" s="26">
        <f ca="1">_xll.CampagnaOutputPercentile(I67,$D$75)</f>
        <v>0</v>
      </c>
      <c r="J78" s="26">
        <f ca="1">_xll.CampagnaOutputPercentile(J67,$D$75)</f>
        <v>0</v>
      </c>
      <c r="K78" s="26">
        <f ca="1">_xll.CampagnaOutputPercentile(K67,$D$75)</f>
        <v>0</v>
      </c>
      <c r="L78" s="26">
        <f ca="1">_xll.CampagnaOutputPercentile(L67,$D$75)</f>
        <v>0</v>
      </c>
      <c r="M78" s="26">
        <f ca="1">_xll.CampagnaOutputPercentile(M67,$D$75)</f>
        <v>0</v>
      </c>
      <c r="N78" s="26">
        <f ca="1">_xll.CampagnaOutputPercentile(N67,$D$75)</f>
        <v>0</v>
      </c>
      <c r="O78" s="26">
        <f ca="1">_xll.CampagnaOutputPercentile(O67,$D$75)</f>
        <v>0</v>
      </c>
      <c r="P78" s="26">
        <f ca="1">_xll.CampagnaOutputPercentile(P67,$D$75)</f>
        <v>0</v>
      </c>
      <c r="Q78" s="26">
        <f ca="1">_xll.CampagnaOutputPercentile(Q67,$D$75)</f>
        <v>0</v>
      </c>
      <c r="R78" s="26">
        <f ca="1">_xll.CampagnaOutputPercentile(R67,$D$75)</f>
        <v>0</v>
      </c>
      <c r="S78" s="26">
        <f ca="1">_xll.CampagnaOutputPercentile(S67,$D$75)</f>
        <v>0</v>
      </c>
      <c r="T78" s="26">
        <f ca="1">_xll.CampagnaOutputPercentile(T67,$D$75)</f>
        <v>0</v>
      </c>
      <c r="U78" s="26">
        <f ca="1">_xll.CampagnaOutputPercentile(U67,$D$75)</f>
        <v>5051.8107399999999</v>
      </c>
      <c r="V78" s="26">
        <f ca="1">_xll.CampagnaOutputPercentile(V67,$D$75)</f>
        <v>3169.5301399999998</v>
      </c>
      <c r="W78" s="26">
        <f ca="1">_xll.CampagnaOutputPercentile(W67,$D$75)</f>
        <v>3169.5301399999998</v>
      </c>
      <c r="X78" s="26">
        <f ca="1">_xll.CampagnaOutputPercentile(X67,$D$75)</f>
        <v>3169.5301399999998</v>
      </c>
      <c r="Y78" s="26">
        <f ca="1">_xll.CampagnaOutputPercentile(Y67,$D$75)</f>
        <v>3169.5301399999998</v>
      </c>
      <c r="Z78" s="26">
        <f ca="1">_xll.CampagnaOutputPercentile(Z67,$D$75)</f>
        <v>0</v>
      </c>
      <c r="AA78" s="26">
        <f ca="1">_xll.CampagnaOutputPercentile(AA67,$D$75)</f>
        <v>0</v>
      </c>
      <c r="AB78" s="26">
        <f ca="1">_xll.CampagnaOutputPercentile(AB67,$D$75)</f>
        <v>0</v>
      </c>
      <c r="AC78" s="26">
        <f ca="1">_xll.CampagnaOutputPercentile(AC67,$D$75)</f>
        <v>0</v>
      </c>
      <c r="AD78" s="26">
        <f ca="1">_xll.CampagnaOutputPercentile(AD67,$D$75)</f>
        <v>0</v>
      </c>
      <c r="AE78" s="26">
        <f ca="1">_xll.CampagnaOutputPercentile(AE67,$D$75)</f>
        <v>0</v>
      </c>
      <c r="AF78" s="26">
        <f ca="1">_xll.CampagnaOutputPercentile(AF67,$D$75)</f>
        <v>0</v>
      </c>
      <c r="AG78" s="26">
        <f ca="1">_xll.CampagnaOutputPercentile(AG67,$D$75)</f>
        <v>0</v>
      </c>
      <c r="AH78" s="26">
        <f ca="1">_xll.CampagnaOutputPercentile(AH67,$D$75)</f>
        <v>0</v>
      </c>
      <c r="AI78" s="26">
        <f ca="1">_xll.CampagnaOutputPercentile(AI67,$D$75)</f>
        <v>0</v>
      </c>
      <c r="AJ78" s="26">
        <f ca="1">_xll.CampagnaOutputPercentile(AJ67,$D$75)</f>
        <v>0</v>
      </c>
      <c r="AK78" s="26">
        <f ca="1">_xll.CampagnaOutputPercentile(AK67,$D$75)</f>
        <v>0</v>
      </c>
      <c r="AL78" s="26">
        <f ca="1">_xll.CampagnaOutputPercentile(AL67,$D$75)</f>
        <v>0</v>
      </c>
      <c r="AM78" s="26">
        <f ca="1">_xll.CampagnaOutputPercentile(AM67,$D$75)</f>
        <v>0</v>
      </c>
      <c r="AN78" s="26">
        <f ca="1">_xll.CampagnaOutputPercentile(AN67,$D$75)</f>
        <v>0</v>
      </c>
      <c r="AO78" s="26">
        <f ca="1">_xll.CampagnaOutputPercentile(AO67,$D$75)</f>
        <v>0</v>
      </c>
      <c r="AP78" s="26">
        <f ca="1">_xll.CampagnaOutputPercentile(AP67,$D$75)</f>
        <v>0</v>
      </c>
      <c r="AQ78" s="26">
        <f ca="1">_xll.CampagnaOutputPercentile(AQ67,$D$75)</f>
        <v>0</v>
      </c>
      <c r="AR78" s="26">
        <f ca="1">_xll.CampagnaOutputPercentile(AR67,$D$75)</f>
        <v>0</v>
      </c>
      <c r="AS78" s="26">
        <f ca="1">_xll.CampagnaOutputPercentile(AS67,$D$75)</f>
        <v>0</v>
      </c>
      <c r="AT78" s="26">
        <f ca="1">_xll.CampagnaOutputPercentile(AT67,$D$75)</f>
        <v>0</v>
      </c>
      <c r="AU78" s="26">
        <f ca="1">_xll.CampagnaOutputPercentile(AU67,$D$75)</f>
        <v>0</v>
      </c>
      <c r="AV78" s="26">
        <f ca="1">_xll.CampagnaOutputPercentile(AV67,$D$75)</f>
        <v>0</v>
      </c>
      <c r="AW78" s="26">
        <f ca="1">_xll.CampagnaOutputPercentile(AW67,$D$75)</f>
        <v>0</v>
      </c>
      <c r="AX78" s="26">
        <f ca="1">_xll.CampagnaOutputPercentile(AX67,$D$75)</f>
        <v>0</v>
      </c>
      <c r="AY78" s="26">
        <f ca="1">_xll.CampagnaOutputPercentile(AY67,$D$75)</f>
        <v>0</v>
      </c>
      <c r="AZ78" s="26">
        <f ca="1">_xll.CampagnaOutputPercentile(AZ67,$D$75)</f>
        <v>0</v>
      </c>
      <c r="BA78" s="26">
        <f ca="1">_xll.CampagnaOutputPercentile(BA67,$D$75)</f>
        <v>0</v>
      </c>
      <c r="BB78" s="26">
        <f ca="1">_xll.CampagnaOutputPercentile(BB67,$D$75)</f>
        <v>0</v>
      </c>
      <c r="BC78" s="26">
        <f ca="1">_xll.CampagnaOutputPercentile(BC67,$D$75)</f>
        <v>0</v>
      </c>
      <c r="BD78" s="26">
        <f ca="1">_xll.CampagnaOutputPercentile(BD67,$D$75)</f>
        <v>0</v>
      </c>
      <c r="BE78" s="26">
        <f ca="1">_xll.CampagnaOutputPercentile(BE67,$D$75)</f>
        <v>0</v>
      </c>
      <c r="BF78" s="26">
        <f ca="1">_xll.CampagnaOutputPercentile(BF67,$D$75)</f>
        <v>0</v>
      </c>
      <c r="BG78" s="26">
        <f ca="1">_xll.CampagnaOutputPercentile(BG67,$D$75)</f>
        <v>0</v>
      </c>
      <c r="BH78" s="26">
        <f ca="1">_xll.CampagnaOutputPercentile(BH67,$D$75)</f>
        <v>0</v>
      </c>
      <c r="BI78" s="26">
        <f ca="1">_xll.CampagnaOutputPercentile(BI67,$D$75)</f>
        <v>0</v>
      </c>
      <c r="BJ78" s="26">
        <f ca="1">_xll.CampagnaOutputPercentile(BJ67,$D$75)</f>
        <v>0</v>
      </c>
      <c r="BK78" s="26">
        <f ca="1">_xll.CampagnaOutputPercentile(BK67,$D$75)</f>
        <v>0</v>
      </c>
      <c r="BL78" s="26">
        <f ca="1">_xll.CampagnaOutputPercentile(BL67,$D$75)</f>
        <v>0</v>
      </c>
      <c r="BM78" s="26">
        <f ca="1">_xll.CampagnaOutputPercentile(BM67,$D$75)</f>
        <v>0</v>
      </c>
      <c r="BN78" s="26">
        <f ca="1">_xll.CampagnaOutputPercentile(BN67,$D$75)</f>
        <v>0</v>
      </c>
      <c r="BO78" s="26">
        <f ca="1">_xll.CampagnaOutputPercentile(BO67,$D$75)</f>
        <v>0</v>
      </c>
      <c r="BP78" s="26">
        <f ca="1">_xll.CampagnaOutputPercentile(BP67,$D$75)</f>
        <v>0</v>
      </c>
      <c r="BQ78" s="26">
        <f ca="1">_xll.CampagnaOutputPercentile(BQ67,$D$75)</f>
        <v>0</v>
      </c>
      <c r="BR78" s="26">
        <f ca="1">_xll.CampagnaOutputPercentile(BR67,$D$75)</f>
        <v>0</v>
      </c>
      <c r="BS78" s="26">
        <f ca="1">_xll.CampagnaOutputPercentile(BS67,$D$75)</f>
        <v>0</v>
      </c>
      <c r="BT78" s="26">
        <f ca="1">_xll.CampagnaOutputPercentile(BT67,$D$75)</f>
        <v>0</v>
      </c>
      <c r="BU78" s="26">
        <f ca="1">_xll.CampagnaOutputPercentile(BU67,$D$75)</f>
        <v>0</v>
      </c>
      <c r="BV78" s="26">
        <f ca="1">_xll.CampagnaOutputPercentile(BV67,$D$75)</f>
        <v>0</v>
      </c>
      <c r="BW78" s="26">
        <f ca="1">_xll.CampagnaOutputPercentile(BW67,$D$75)</f>
        <v>0</v>
      </c>
      <c r="BX78" s="26">
        <f ca="1">_xll.CampagnaOutputPercentile(BX67,$D$75)</f>
        <v>0</v>
      </c>
      <c r="BY78" s="26">
        <f ca="1">_xll.CampagnaOutputPercentile(BY67,$D$75)</f>
        <v>0</v>
      </c>
      <c r="BZ78" s="26">
        <f ca="1">_xll.CampagnaOutputPercentile(BZ67,$D$75)</f>
        <v>0</v>
      </c>
      <c r="CA78" s="26">
        <f ca="1">_xll.CampagnaOutputPercentile(CA67,$D$75)</f>
        <v>0</v>
      </c>
      <c r="CB78" s="26">
        <f ca="1">_xll.CampagnaOutputPercentile(CB67,$D$75)</f>
        <v>0</v>
      </c>
      <c r="CC78" s="26">
        <f ca="1">_xll.CampagnaOutputPercentile(CC67,$D$75)</f>
        <v>0</v>
      </c>
      <c r="CD78" s="26">
        <f ca="1">_xll.CampagnaOutputPercentile(CD67,$D$75)</f>
        <v>0</v>
      </c>
      <c r="CE78" s="26">
        <f ca="1">_xll.CampagnaOutputPercentile(CE67,$D$75)</f>
        <v>0</v>
      </c>
      <c r="CF78" s="26">
        <f ca="1">_xll.CampagnaOutputPercentile(CF67,$D$75)</f>
        <v>0</v>
      </c>
      <c r="CG78" s="26">
        <f ca="1">_xll.CampagnaOutputPercentile(CG67,$D$75)</f>
        <v>0</v>
      </c>
      <c r="CH78" s="26">
        <f ca="1">_xll.CampagnaOutputPercentile(CH67,$D$75)</f>
        <v>0</v>
      </c>
      <c r="CI78" s="26">
        <f ca="1">_xll.CampagnaOutputPercentile(CI67,$D$75)</f>
        <v>0</v>
      </c>
      <c r="CJ78" s="26">
        <f ca="1">_xll.CampagnaOutputPercentile(CJ67,$D$75)</f>
        <v>0</v>
      </c>
      <c r="CK78" s="26">
        <f ca="1">_xll.CampagnaOutputPercentile(CK67,$D$75)</f>
        <v>0</v>
      </c>
      <c r="CL78" s="26">
        <f ca="1">_xll.CampagnaOutputPercentile(CL67,$D$75)</f>
        <v>0</v>
      </c>
      <c r="CM78" s="26">
        <f ca="1">_xll.CampagnaOutputPercentile(CM67,$D$75)</f>
        <v>0</v>
      </c>
      <c r="CN78" s="26">
        <f ca="1">_xll.CampagnaOutputPercentile(CN67,$D$75)</f>
        <v>0</v>
      </c>
      <c r="CO78" s="26">
        <f ca="1">_xll.CampagnaOutputPercentile(CO67,$D$75)</f>
        <v>0</v>
      </c>
    </row>
    <row r="79" spans="3:93" x14ac:dyDescent="0.3">
      <c r="C79" s="6" t="str">
        <f>Lookups!C6</f>
        <v>Assessment</v>
      </c>
      <c r="D79" s="26">
        <f ca="1">_xll.CampagnaOutputPercentile(D68,$D$75)</f>
        <v>0</v>
      </c>
      <c r="E79" s="26">
        <f ca="1">_xll.CampagnaOutputPercentile(E68,$D$75)</f>
        <v>0</v>
      </c>
      <c r="F79" s="26">
        <f ca="1">_xll.CampagnaOutputPercentile(F68,$D$75)</f>
        <v>0</v>
      </c>
      <c r="G79" s="26">
        <f ca="1">_xll.CampagnaOutputPercentile(G68,$D$75)</f>
        <v>0</v>
      </c>
      <c r="H79" s="26">
        <f ca="1">_xll.CampagnaOutputPercentile(H68,$D$75)</f>
        <v>0</v>
      </c>
      <c r="I79" s="26">
        <f ca="1">_xll.CampagnaOutputPercentile(I68,$D$75)</f>
        <v>0</v>
      </c>
      <c r="J79" s="26">
        <f ca="1">_xll.CampagnaOutputPercentile(J68,$D$75)</f>
        <v>0</v>
      </c>
      <c r="K79" s="26">
        <f ca="1">_xll.CampagnaOutputPercentile(K68,$D$75)</f>
        <v>0</v>
      </c>
      <c r="L79" s="26">
        <f ca="1">_xll.CampagnaOutputPercentile(L68,$D$75)</f>
        <v>0</v>
      </c>
      <c r="M79" s="26">
        <f ca="1">_xll.CampagnaOutputPercentile(M68,$D$75)</f>
        <v>0</v>
      </c>
      <c r="N79" s="26">
        <f ca="1">_xll.CampagnaOutputPercentile(N68,$D$75)</f>
        <v>0</v>
      </c>
      <c r="O79" s="26">
        <f ca="1">_xll.CampagnaOutputPercentile(O68,$D$75)</f>
        <v>0</v>
      </c>
      <c r="P79" s="26">
        <f ca="1">_xll.CampagnaOutputPercentile(P68,$D$75)</f>
        <v>0</v>
      </c>
      <c r="Q79" s="26">
        <f ca="1">_xll.CampagnaOutputPercentile(Q68,$D$75)</f>
        <v>0</v>
      </c>
      <c r="R79" s="26">
        <f ca="1">_xll.CampagnaOutputPercentile(R68,$D$75)</f>
        <v>0</v>
      </c>
      <c r="S79" s="26">
        <f ca="1">_xll.CampagnaOutputPercentile(S68,$D$75)</f>
        <v>0</v>
      </c>
      <c r="T79" s="26">
        <f ca="1">_xll.CampagnaOutputPercentile(T68,$D$75)</f>
        <v>0</v>
      </c>
      <c r="U79" s="26">
        <f ca="1">_xll.CampagnaOutputPercentile(U68,$D$75)</f>
        <v>8392.6513599999998</v>
      </c>
      <c r="V79" s="26">
        <f ca="1">_xll.CampagnaOutputPercentile(V68,$D$75)</f>
        <v>10792.65136</v>
      </c>
      <c r="W79" s="26">
        <f ca="1">_xll.CampagnaOutputPercentile(W68,$D$75)</f>
        <v>8392.6513599999998</v>
      </c>
      <c r="X79" s="26">
        <f ca="1">_xll.CampagnaOutputPercentile(X68,$D$75)</f>
        <v>8392.6513599999998</v>
      </c>
      <c r="Y79" s="26">
        <f ca="1">_xll.CampagnaOutputPercentile(Y68,$D$75)</f>
        <v>8392.6513599999998</v>
      </c>
      <c r="Z79" s="26">
        <f ca="1">_xll.CampagnaOutputPercentile(Z68,$D$75)</f>
        <v>0</v>
      </c>
      <c r="AA79" s="26">
        <f ca="1">_xll.CampagnaOutputPercentile(AA68,$D$75)</f>
        <v>0</v>
      </c>
      <c r="AB79" s="26">
        <f ca="1">_xll.CampagnaOutputPercentile(AB68,$D$75)</f>
        <v>0</v>
      </c>
      <c r="AC79" s="26">
        <f ca="1">_xll.CampagnaOutputPercentile(AC68,$D$75)</f>
        <v>0</v>
      </c>
      <c r="AD79" s="26">
        <f ca="1">_xll.CampagnaOutputPercentile(AD68,$D$75)</f>
        <v>0</v>
      </c>
      <c r="AE79" s="26">
        <f ca="1">_xll.CampagnaOutputPercentile(AE68,$D$75)</f>
        <v>0</v>
      </c>
      <c r="AF79" s="26">
        <f ca="1">_xll.CampagnaOutputPercentile(AF68,$D$75)</f>
        <v>0</v>
      </c>
      <c r="AG79" s="26">
        <f ca="1">_xll.CampagnaOutputPercentile(AG68,$D$75)</f>
        <v>0</v>
      </c>
      <c r="AH79" s="26">
        <f ca="1">_xll.CampagnaOutputPercentile(AH68,$D$75)</f>
        <v>0</v>
      </c>
      <c r="AI79" s="26">
        <f ca="1">_xll.CampagnaOutputPercentile(AI68,$D$75)</f>
        <v>0</v>
      </c>
      <c r="AJ79" s="26">
        <f ca="1">_xll.CampagnaOutputPercentile(AJ68,$D$75)</f>
        <v>0</v>
      </c>
      <c r="AK79" s="26">
        <f ca="1">_xll.CampagnaOutputPercentile(AK68,$D$75)</f>
        <v>0</v>
      </c>
      <c r="AL79" s="26">
        <f ca="1">_xll.CampagnaOutputPercentile(AL68,$D$75)</f>
        <v>0</v>
      </c>
      <c r="AM79" s="26">
        <f ca="1">_xll.CampagnaOutputPercentile(AM68,$D$75)</f>
        <v>0</v>
      </c>
      <c r="AN79" s="26">
        <f ca="1">_xll.CampagnaOutputPercentile(AN68,$D$75)</f>
        <v>0</v>
      </c>
      <c r="AO79" s="26">
        <f ca="1">_xll.CampagnaOutputPercentile(AO68,$D$75)</f>
        <v>0</v>
      </c>
      <c r="AP79" s="26">
        <f ca="1">_xll.CampagnaOutputPercentile(AP68,$D$75)</f>
        <v>0</v>
      </c>
      <c r="AQ79" s="26">
        <f ca="1">_xll.CampagnaOutputPercentile(AQ68,$D$75)</f>
        <v>0</v>
      </c>
      <c r="AR79" s="26">
        <f ca="1">_xll.CampagnaOutputPercentile(AR68,$D$75)</f>
        <v>0</v>
      </c>
      <c r="AS79" s="26">
        <f ca="1">_xll.CampagnaOutputPercentile(AS68,$D$75)</f>
        <v>0</v>
      </c>
      <c r="AT79" s="26">
        <f ca="1">_xll.CampagnaOutputPercentile(AT68,$D$75)</f>
        <v>0</v>
      </c>
      <c r="AU79" s="26">
        <f ca="1">_xll.CampagnaOutputPercentile(AU68,$D$75)</f>
        <v>0</v>
      </c>
      <c r="AV79" s="26">
        <f ca="1">_xll.CampagnaOutputPercentile(AV68,$D$75)</f>
        <v>0</v>
      </c>
      <c r="AW79" s="26">
        <f ca="1">_xll.CampagnaOutputPercentile(AW68,$D$75)</f>
        <v>0</v>
      </c>
      <c r="AX79" s="26">
        <f ca="1">_xll.CampagnaOutputPercentile(AX68,$D$75)</f>
        <v>0</v>
      </c>
      <c r="AY79" s="26">
        <f ca="1">_xll.CampagnaOutputPercentile(AY68,$D$75)</f>
        <v>0</v>
      </c>
      <c r="AZ79" s="26">
        <f ca="1">_xll.CampagnaOutputPercentile(AZ68,$D$75)</f>
        <v>0</v>
      </c>
      <c r="BA79" s="26">
        <f ca="1">_xll.CampagnaOutputPercentile(BA68,$D$75)</f>
        <v>0</v>
      </c>
      <c r="BB79" s="26">
        <f ca="1">_xll.CampagnaOutputPercentile(BB68,$D$75)</f>
        <v>0</v>
      </c>
      <c r="BC79" s="26">
        <f ca="1">_xll.CampagnaOutputPercentile(BC68,$D$75)</f>
        <v>0</v>
      </c>
      <c r="BD79" s="26">
        <f ca="1">_xll.CampagnaOutputPercentile(BD68,$D$75)</f>
        <v>0</v>
      </c>
      <c r="BE79" s="26">
        <f ca="1">_xll.CampagnaOutputPercentile(BE68,$D$75)</f>
        <v>0</v>
      </c>
      <c r="BF79" s="26">
        <f ca="1">_xll.CampagnaOutputPercentile(BF68,$D$75)</f>
        <v>0</v>
      </c>
      <c r="BG79" s="26">
        <f ca="1">_xll.CampagnaOutputPercentile(BG68,$D$75)</f>
        <v>0</v>
      </c>
      <c r="BH79" s="26">
        <f ca="1">_xll.CampagnaOutputPercentile(BH68,$D$75)</f>
        <v>0</v>
      </c>
      <c r="BI79" s="26">
        <f ca="1">_xll.CampagnaOutputPercentile(BI68,$D$75)</f>
        <v>0</v>
      </c>
      <c r="BJ79" s="26">
        <f ca="1">_xll.CampagnaOutputPercentile(BJ68,$D$75)</f>
        <v>0</v>
      </c>
      <c r="BK79" s="26">
        <f ca="1">_xll.CampagnaOutputPercentile(BK68,$D$75)</f>
        <v>0</v>
      </c>
      <c r="BL79" s="26">
        <f ca="1">_xll.CampagnaOutputPercentile(BL68,$D$75)</f>
        <v>0</v>
      </c>
      <c r="BM79" s="26">
        <f ca="1">_xll.CampagnaOutputPercentile(BM68,$D$75)</f>
        <v>0</v>
      </c>
      <c r="BN79" s="26">
        <f ca="1">_xll.CampagnaOutputPercentile(BN68,$D$75)</f>
        <v>0</v>
      </c>
      <c r="BO79" s="26">
        <f ca="1">_xll.CampagnaOutputPercentile(BO68,$D$75)</f>
        <v>0</v>
      </c>
      <c r="BP79" s="26">
        <f ca="1">_xll.CampagnaOutputPercentile(BP68,$D$75)</f>
        <v>0</v>
      </c>
      <c r="BQ79" s="26">
        <f ca="1">_xll.CampagnaOutputPercentile(BQ68,$D$75)</f>
        <v>0</v>
      </c>
      <c r="BR79" s="26">
        <f ca="1">_xll.CampagnaOutputPercentile(BR68,$D$75)</f>
        <v>0</v>
      </c>
      <c r="BS79" s="26">
        <f ca="1">_xll.CampagnaOutputPercentile(BS68,$D$75)</f>
        <v>0</v>
      </c>
      <c r="BT79" s="26">
        <f ca="1">_xll.CampagnaOutputPercentile(BT68,$D$75)</f>
        <v>0</v>
      </c>
      <c r="BU79" s="26">
        <f ca="1">_xll.CampagnaOutputPercentile(BU68,$D$75)</f>
        <v>0</v>
      </c>
      <c r="BV79" s="26">
        <f ca="1">_xll.CampagnaOutputPercentile(BV68,$D$75)</f>
        <v>0</v>
      </c>
      <c r="BW79" s="26">
        <f ca="1">_xll.CampagnaOutputPercentile(BW68,$D$75)</f>
        <v>0</v>
      </c>
      <c r="BX79" s="26">
        <f ca="1">_xll.CampagnaOutputPercentile(BX68,$D$75)</f>
        <v>0</v>
      </c>
      <c r="BY79" s="26">
        <f ca="1">_xll.CampagnaOutputPercentile(BY68,$D$75)</f>
        <v>0</v>
      </c>
      <c r="BZ79" s="26">
        <f ca="1">_xll.CampagnaOutputPercentile(BZ68,$D$75)</f>
        <v>0</v>
      </c>
      <c r="CA79" s="26">
        <f ca="1">_xll.CampagnaOutputPercentile(CA68,$D$75)</f>
        <v>0</v>
      </c>
      <c r="CB79" s="26">
        <f ca="1">_xll.CampagnaOutputPercentile(CB68,$D$75)</f>
        <v>0</v>
      </c>
      <c r="CC79" s="26">
        <f ca="1">_xll.CampagnaOutputPercentile(CC68,$D$75)</f>
        <v>0</v>
      </c>
      <c r="CD79" s="26">
        <f ca="1">_xll.CampagnaOutputPercentile(CD68,$D$75)</f>
        <v>0</v>
      </c>
      <c r="CE79" s="26">
        <f ca="1">_xll.CampagnaOutputPercentile(CE68,$D$75)</f>
        <v>0</v>
      </c>
      <c r="CF79" s="26">
        <f ca="1">_xll.CampagnaOutputPercentile(CF68,$D$75)</f>
        <v>0</v>
      </c>
      <c r="CG79" s="26">
        <f ca="1">_xll.CampagnaOutputPercentile(CG68,$D$75)</f>
        <v>0</v>
      </c>
      <c r="CH79" s="26">
        <f ca="1">_xll.CampagnaOutputPercentile(CH68,$D$75)</f>
        <v>0</v>
      </c>
      <c r="CI79" s="26">
        <f ca="1">_xll.CampagnaOutputPercentile(CI68,$D$75)</f>
        <v>0</v>
      </c>
      <c r="CJ79" s="26">
        <f ca="1">_xll.CampagnaOutputPercentile(CJ68,$D$75)</f>
        <v>0</v>
      </c>
      <c r="CK79" s="26">
        <f ca="1">_xll.CampagnaOutputPercentile(CK68,$D$75)</f>
        <v>0</v>
      </c>
      <c r="CL79" s="26">
        <f ca="1">_xll.CampagnaOutputPercentile(CL68,$D$75)</f>
        <v>0</v>
      </c>
      <c r="CM79" s="26">
        <f ca="1">_xll.CampagnaOutputPercentile(CM68,$D$75)</f>
        <v>0</v>
      </c>
      <c r="CN79" s="26">
        <f ca="1">_xll.CampagnaOutputPercentile(CN68,$D$75)</f>
        <v>0</v>
      </c>
      <c r="CO79" s="26">
        <f ca="1">_xll.CampagnaOutputPercentile(CO68,$D$75)</f>
        <v>0</v>
      </c>
    </row>
    <row r="80" spans="3:93" x14ac:dyDescent="0.3">
      <c r="C80" s="6" t="str">
        <f>Lookups!C7</f>
        <v>Design</v>
      </c>
      <c r="D80" s="26">
        <f ca="1">_xll.CampagnaOutputPercentile(D69,$D$75)</f>
        <v>0</v>
      </c>
      <c r="E80" s="26">
        <f ca="1">_xll.CampagnaOutputPercentile(E69,$D$75)</f>
        <v>0</v>
      </c>
      <c r="F80" s="26">
        <f ca="1">_xll.CampagnaOutputPercentile(F69,$D$75)</f>
        <v>0</v>
      </c>
      <c r="G80" s="26">
        <f ca="1">_xll.CampagnaOutputPercentile(G69,$D$75)</f>
        <v>0</v>
      </c>
      <c r="H80" s="26">
        <f ca="1">_xll.CampagnaOutputPercentile(H69,$D$75)</f>
        <v>0</v>
      </c>
      <c r="I80" s="26">
        <f ca="1">_xll.CampagnaOutputPercentile(I69,$D$75)</f>
        <v>0</v>
      </c>
      <c r="J80" s="26">
        <f ca="1">_xll.CampagnaOutputPercentile(J69,$D$75)</f>
        <v>0</v>
      </c>
      <c r="K80" s="26">
        <f ca="1">_xll.CampagnaOutputPercentile(K69,$D$75)</f>
        <v>0</v>
      </c>
      <c r="L80" s="26">
        <f ca="1">_xll.CampagnaOutputPercentile(L69,$D$75)</f>
        <v>0</v>
      </c>
      <c r="M80" s="26">
        <f ca="1">_xll.CampagnaOutputPercentile(M69,$D$75)</f>
        <v>0</v>
      </c>
      <c r="N80" s="26">
        <f ca="1">_xll.CampagnaOutputPercentile(N69,$D$75)</f>
        <v>0</v>
      </c>
      <c r="O80" s="26">
        <f ca="1">_xll.CampagnaOutputPercentile(O69,$D$75)</f>
        <v>0</v>
      </c>
      <c r="P80" s="26">
        <f ca="1">_xll.CampagnaOutputPercentile(P69,$D$75)</f>
        <v>0</v>
      </c>
      <c r="Q80" s="26">
        <f ca="1">_xll.CampagnaOutputPercentile(Q69,$D$75)</f>
        <v>0</v>
      </c>
      <c r="R80" s="26">
        <f ca="1">_xll.CampagnaOutputPercentile(R69,$D$75)</f>
        <v>0</v>
      </c>
      <c r="S80" s="26">
        <f ca="1">_xll.CampagnaOutputPercentile(S69,$D$75)</f>
        <v>0</v>
      </c>
      <c r="T80" s="26">
        <f ca="1">_xll.CampagnaOutputPercentile(T69,$D$75)</f>
        <v>0</v>
      </c>
      <c r="U80" s="26">
        <f ca="1">_xll.CampagnaOutputPercentile(U69,$D$75)</f>
        <v>11283.89726</v>
      </c>
      <c r="V80" s="26">
        <f ca="1">_xll.CampagnaOutputPercentile(V69,$D$75)</f>
        <v>11283.89726</v>
      </c>
      <c r="W80" s="26">
        <f ca="1">_xll.CampagnaOutputPercentile(W69,$D$75)</f>
        <v>13683.89726</v>
      </c>
      <c r="X80" s="26">
        <f ca="1">_xll.CampagnaOutputPercentile(X69,$D$75)</f>
        <v>11283.89726</v>
      </c>
      <c r="Y80" s="26">
        <f ca="1">_xll.CampagnaOutputPercentile(Y69,$D$75)</f>
        <v>11283.89726</v>
      </c>
      <c r="Z80" s="26">
        <f ca="1">_xll.CampagnaOutputPercentile(Z69,$D$75)</f>
        <v>0</v>
      </c>
      <c r="AA80" s="26">
        <f ca="1">_xll.CampagnaOutputPercentile(AA69,$D$75)</f>
        <v>0</v>
      </c>
      <c r="AB80" s="26">
        <f ca="1">_xll.CampagnaOutputPercentile(AB69,$D$75)</f>
        <v>0</v>
      </c>
      <c r="AC80" s="26">
        <f ca="1">_xll.CampagnaOutputPercentile(AC69,$D$75)</f>
        <v>0</v>
      </c>
      <c r="AD80" s="26">
        <f ca="1">_xll.CampagnaOutputPercentile(AD69,$D$75)</f>
        <v>0</v>
      </c>
      <c r="AE80" s="26">
        <f ca="1">_xll.CampagnaOutputPercentile(AE69,$D$75)</f>
        <v>0</v>
      </c>
      <c r="AF80" s="26">
        <f ca="1">_xll.CampagnaOutputPercentile(AF69,$D$75)</f>
        <v>0</v>
      </c>
      <c r="AG80" s="26">
        <f ca="1">_xll.CampagnaOutputPercentile(AG69,$D$75)</f>
        <v>0</v>
      </c>
      <c r="AH80" s="26">
        <f ca="1">_xll.CampagnaOutputPercentile(AH69,$D$75)</f>
        <v>0</v>
      </c>
      <c r="AI80" s="26">
        <f ca="1">_xll.CampagnaOutputPercentile(AI69,$D$75)</f>
        <v>0</v>
      </c>
      <c r="AJ80" s="26">
        <f ca="1">_xll.CampagnaOutputPercentile(AJ69,$D$75)</f>
        <v>0</v>
      </c>
      <c r="AK80" s="26">
        <f ca="1">_xll.CampagnaOutputPercentile(AK69,$D$75)</f>
        <v>0</v>
      </c>
      <c r="AL80" s="26">
        <f ca="1">_xll.CampagnaOutputPercentile(AL69,$D$75)</f>
        <v>0</v>
      </c>
      <c r="AM80" s="26">
        <f ca="1">_xll.CampagnaOutputPercentile(AM69,$D$75)</f>
        <v>0</v>
      </c>
      <c r="AN80" s="26">
        <f ca="1">_xll.CampagnaOutputPercentile(AN69,$D$75)</f>
        <v>0</v>
      </c>
      <c r="AO80" s="26">
        <f ca="1">_xll.CampagnaOutputPercentile(AO69,$D$75)</f>
        <v>0</v>
      </c>
      <c r="AP80" s="26">
        <f ca="1">_xll.CampagnaOutputPercentile(AP69,$D$75)</f>
        <v>0</v>
      </c>
      <c r="AQ80" s="26">
        <f ca="1">_xll.CampagnaOutputPercentile(AQ69,$D$75)</f>
        <v>0</v>
      </c>
      <c r="AR80" s="26">
        <f ca="1">_xll.CampagnaOutputPercentile(AR69,$D$75)</f>
        <v>0</v>
      </c>
      <c r="AS80" s="26">
        <f ca="1">_xll.CampagnaOutputPercentile(AS69,$D$75)</f>
        <v>0</v>
      </c>
      <c r="AT80" s="26">
        <f ca="1">_xll.CampagnaOutputPercentile(AT69,$D$75)</f>
        <v>0</v>
      </c>
      <c r="AU80" s="26">
        <f ca="1">_xll.CampagnaOutputPercentile(AU69,$D$75)</f>
        <v>0</v>
      </c>
      <c r="AV80" s="26">
        <f ca="1">_xll.CampagnaOutputPercentile(AV69,$D$75)</f>
        <v>0</v>
      </c>
      <c r="AW80" s="26">
        <f ca="1">_xll.CampagnaOutputPercentile(AW69,$D$75)</f>
        <v>0</v>
      </c>
      <c r="AX80" s="26">
        <f ca="1">_xll.CampagnaOutputPercentile(AX69,$D$75)</f>
        <v>0</v>
      </c>
      <c r="AY80" s="26">
        <f ca="1">_xll.CampagnaOutputPercentile(AY69,$D$75)</f>
        <v>0</v>
      </c>
      <c r="AZ80" s="26">
        <f ca="1">_xll.CampagnaOutputPercentile(AZ69,$D$75)</f>
        <v>0</v>
      </c>
      <c r="BA80" s="26">
        <f ca="1">_xll.CampagnaOutputPercentile(BA69,$D$75)</f>
        <v>0</v>
      </c>
      <c r="BB80" s="26">
        <f ca="1">_xll.CampagnaOutputPercentile(BB69,$D$75)</f>
        <v>0</v>
      </c>
      <c r="BC80" s="26">
        <f ca="1">_xll.CampagnaOutputPercentile(BC69,$D$75)</f>
        <v>0</v>
      </c>
      <c r="BD80" s="26">
        <f ca="1">_xll.CampagnaOutputPercentile(BD69,$D$75)</f>
        <v>0</v>
      </c>
      <c r="BE80" s="26">
        <f ca="1">_xll.CampagnaOutputPercentile(BE69,$D$75)</f>
        <v>0</v>
      </c>
      <c r="BF80" s="26">
        <f ca="1">_xll.CampagnaOutputPercentile(BF69,$D$75)</f>
        <v>0</v>
      </c>
      <c r="BG80" s="26">
        <f ca="1">_xll.CampagnaOutputPercentile(BG69,$D$75)</f>
        <v>0</v>
      </c>
      <c r="BH80" s="26">
        <f ca="1">_xll.CampagnaOutputPercentile(BH69,$D$75)</f>
        <v>0</v>
      </c>
      <c r="BI80" s="26">
        <f ca="1">_xll.CampagnaOutputPercentile(BI69,$D$75)</f>
        <v>0</v>
      </c>
      <c r="BJ80" s="26">
        <f ca="1">_xll.CampagnaOutputPercentile(BJ69,$D$75)</f>
        <v>0</v>
      </c>
      <c r="BK80" s="26">
        <f ca="1">_xll.CampagnaOutputPercentile(BK69,$D$75)</f>
        <v>0</v>
      </c>
      <c r="BL80" s="26">
        <f ca="1">_xll.CampagnaOutputPercentile(BL69,$D$75)</f>
        <v>0</v>
      </c>
      <c r="BM80" s="26">
        <f ca="1">_xll.CampagnaOutputPercentile(BM69,$D$75)</f>
        <v>0</v>
      </c>
      <c r="BN80" s="26">
        <f ca="1">_xll.CampagnaOutputPercentile(BN69,$D$75)</f>
        <v>0</v>
      </c>
      <c r="BO80" s="26">
        <f ca="1">_xll.CampagnaOutputPercentile(BO69,$D$75)</f>
        <v>0</v>
      </c>
      <c r="BP80" s="26">
        <f ca="1">_xll.CampagnaOutputPercentile(BP69,$D$75)</f>
        <v>0</v>
      </c>
      <c r="BQ80" s="26">
        <f ca="1">_xll.CampagnaOutputPercentile(BQ69,$D$75)</f>
        <v>0</v>
      </c>
      <c r="BR80" s="26">
        <f ca="1">_xll.CampagnaOutputPercentile(BR69,$D$75)</f>
        <v>0</v>
      </c>
      <c r="BS80" s="26">
        <f ca="1">_xll.CampagnaOutputPercentile(BS69,$D$75)</f>
        <v>0</v>
      </c>
      <c r="BT80" s="26">
        <f ca="1">_xll.CampagnaOutputPercentile(BT69,$D$75)</f>
        <v>0</v>
      </c>
      <c r="BU80" s="26">
        <f ca="1">_xll.CampagnaOutputPercentile(BU69,$D$75)</f>
        <v>0</v>
      </c>
      <c r="BV80" s="26">
        <f ca="1">_xll.CampagnaOutputPercentile(BV69,$D$75)</f>
        <v>0</v>
      </c>
      <c r="BW80" s="26">
        <f ca="1">_xll.CampagnaOutputPercentile(BW69,$D$75)</f>
        <v>0</v>
      </c>
      <c r="BX80" s="26">
        <f ca="1">_xll.CampagnaOutputPercentile(BX69,$D$75)</f>
        <v>0</v>
      </c>
      <c r="BY80" s="26">
        <f ca="1">_xll.CampagnaOutputPercentile(BY69,$D$75)</f>
        <v>0</v>
      </c>
      <c r="BZ80" s="26">
        <f ca="1">_xll.CampagnaOutputPercentile(BZ69,$D$75)</f>
        <v>0</v>
      </c>
      <c r="CA80" s="26">
        <f ca="1">_xll.CampagnaOutputPercentile(CA69,$D$75)</f>
        <v>0</v>
      </c>
      <c r="CB80" s="26">
        <f ca="1">_xll.CampagnaOutputPercentile(CB69,$D$75)</f>
        <v>0</v>
      </c>
      <c r="CC80" s="26">
        <f ca="1">_xll.CampagnaOutputPercentile(CC69,$D$75)</f>
        <v>0</v>
      </c>
      <c r="CD80" s="26">
        <f ca="1">_xll.CampagnaOutputPercentile(CD69,$D$75)</f>
        <v>0</v>
      </c>
      <c r="CE80" s="26">
        <f ca="1">_xll.CampagnaOutputPercentile(CE69,$D$75)</f>
        <v>0</v>
      </c>
      <c r="CF80" s="26">
        <f ca="1">_xll.CampagnaOutputPercentile(CF69,$D$75)</f>
        <v>0</v>
      </c>
      <c r="CG80" s="26">
        <f ca="1">_xll.CampagnaOutputPercentile(CG69,$D$75)</f>
        <v>0</v>
      </c>
      <c r="CH80" s="26">
        <f ca="1">_xll.CampagnaOutputPercentile(CH69,$D$75)</f>
        <v>0</v>
      </c>
      <c r="CI80" s="26">
        <f ca="1">_xll.CampagnaOutputPercentile(CI69,$D$75)</f>
        <v>0</v>
      </c>
      <c r="CJ80" s="26">
        <f ca="1">_xll.CampagnaOutputPercentile(CJ69,$D$75)</f>
        <v>0</v>
      </c>
      <c r="CK80" s="26">
        <f ca="1">_xll.CampagnaOutputPercentile(CK69,$D$75)</f>
        <v>0</v>
      </c>
      <c r="CL80" s="26">
        <f ca="1">_xll.CampagnaOutputPercentile(CL69,$D$75)</f>
        <v>0</v>
      </c>
      <c r="CM80" s="26">
        <f ca="1">_xll.CampagnaOutputPercentile(CM69,$D$75)</f>
        <v>0</v>
      </c>
      <c r="CN80" s="26">
        <f ca="1">_xll.CampagnaOutputPercentile(CN69,$D$75)</f>
        <v>0</v>
      </c>
      <c r="CO80" s="26">
        <f ca="1">_xll.CampagnaOutputPercentile(CO69,$D$75)</f>
        <v>0</v>
      </c>
    </row>
    <row r="81" spans="3:93" x14ac:dyDescent="0.3">
      <c r="C81" s="6" t="str">
        <f>Lookups!C8</f>
        <v>Manufacture</v>
      </c>
      <c r="D81" s="26">
        <f ca="1">_xll.CampagnaOutputPercentile(D70,$D$75)</f>
        <v>0</v>
      </c>
      <c r="E81" s="26">
        <f ca="1">_xll.CampagnaOutputPercentile(E70,$D$75)</f>
        <v>0</v>
      </c>
      <c r="F81" s="26">
        <f ca="1">_xll.CampagnaOutputPercentile(F70,$D$75)</f>
        <v>0</v>
      </c>
      <c r="G81" s="26">
        <f ca="1">_xll.CampagnaOutputPercentile(G70,$D$75)</f>
        <v>0</v>
      </c>
      <c r="H81" s="26">
        <f ca="1">_xll.CampagnaOutputPercentile(H70,$D$75)</f>
        <v>0</v>
      </c>
      <c r="I81" s="26">
        <f ca="1">_xll.CampagnaOutputPercentile(I70,$D$75)</f>
        <v>0</v>
      </c>
      <c r="J81" s="26">
        <f ca="1">_xll.CampagnaOutputPercentile(J70,$D$75)</f>
        <v>0</v>
      </c>
      <c r="K81" s="26">
        <f ca="1">_xll.CampagnaOutputPercentile(K70,$D$75)</f>
        <v>0</v>
      </c>
      <c r="L81" s="26">
        <f ca="1">_xll.CampagnaOutputPercentile(L70,$D$75)</f>
        <v>0</v>
      </c>
      <c r="M81" s="26">
        <f ca="1">_xll.CampagnaOutputPercentile(M70,$D$75)</f>
        <v>0</v>
      </c>
      <c r="N81" s="26">
        <f ca="1">_xll.CampagnaOutputPercentile(N70,$D$75)</f>
        <v>0</v>
      </c>
      <c r="O81" s="26">
        <f ca="1">_xll.CampagnaOutputPercentile(O70,$D$75)</f>
        <v>0</v>
      </c>
      <c r="P81" s="26">
        <f ca="1">_xll.CampagnaOutputPercentile(P70,$D$75)</f>
        <v>0</v>
      </c>
      <c r="Q81" s="26">
        <f ca="1">_xll.CampagnaOutputPercentile(Q70,$D$75)</f>
        <v>0</v>
      </c>
      <c r="R81" s="26">
        <f ca="1">_xll.CampagnaOutputPercentile(R70,$D$75)</f>
        <v>0</v>
      </c>
      <c r="S81" s="26">
        <f ca="1">_xll.CampagnaOutputPercentile(S70,$D$75)</f>
        <v>0</v>
      </c>
      <c r="T81" s="26">
        <f ca="1">_xll.CampagnaOutputPercentile(T70,$D$75)</f>
        <v>0</v>
      </c>
      <c r="U81" s="26">
        <f ca="1">_xll.CampagnaOutputPercentile(U70,$D$75)</f>
        <v>0</v>
      </c>
      <c r="V81" s="26">
        <f ca="1">_xll.CampagnaOutputPercentile(V70,$D$75)</f>
        <v>0</v>
      </c>
      <c r="W81" s="26">
        <f ca="1">_xll.CampagnaOutputPercentile(W70,$D$75)</f>
        <v>0</v>
      </c>
      <c r="X81" s="26">
        <f ca="1">_xll.CampagnaOutputPercentile(X70,$D$75)</f>
        <v>2400</v>
      </c>
      <c r="Y81" s="26">
        <f ca="1">_xll.CampagnaOutputPercentile(Y70,$D$75)</f>
        <v>0</v>
      </c>
      <c r="Z81" s="26">
        <f ca="1">_xll.CampagnaOutputPercentile(Z70,$D$75)</f>
        <v>0</v>
      </c>
      <c r="AA81" s="26">
        <f ca="1">_xll.CampagnaOutputPercentile(AA70,$D$75)</f>
        <v>0</v>
      </c>
      <c r="AB81" s="26">
        <f ca="1">_xll.CampagnaOutputPercentile(AB70,$D$75)</f>
        <v>0</v>
      </c>
      <c r="AC81" s="26">
        <f ca="1">_xll.CampagnaOutputPercentile(AC70,$D$75)</f>
        <v>0</v>
      </c>
      <c r="AD81" s="26">
        <f ca="1">_xll.CampagnaOutputPercentile(AD70,$D$75)</f>
        <v>0</v>
      </c>
      <c r="AE81" s="26">
        <f ca="1">_xll.CampagnaOutputPercentile(AE70,$D$75)</f>
        <v>0</v>
      </c>
      <c r="AF81" s="26">
        <f ca="1">_xll.CampagnaOutputPercentile(AF70,$D$75)</f>
        <v>0</v>
      </c>
      <c r="AG81" s="26">
        <f ca="1">_xll.CampagnaOutputPercentile(AG70,$D$75)</f>
        <v>0</v>
      </c>
      <c r="AH81" s="26">
        <f ca="1">_xll.CampagnaOutputPercentile(AH70,$D$75)</f>
        <v>0</v>
      </c>
      <c r="AI81" s="26">
        <f ca="1">_xll.CampagnaOutputPercentile(AI70,$D$75)</f>
        <v>0</v>
      </c>
      <c r="AJ81" s="26">
        <f ca="1">_xll.CampagnaOutputPercentile(AJ70,$D$75)</f>
        <v>0</v>
      </c>
      <c r="AK81" s="26">
        <f ca="1">_xll.CampagnaOutputPercentile(AK70,$D$75)</f>
        <v>0</v>
      </c>
      <c r="AL81" s="26">
        <f ca="1">_xll.CampagnaOutputPercentile(AL70,$D$75)</f>
        <v>0</v>
      </c>
      <c r="AM81" s="26">
        <f ca="1">_xll.CampagnaOutputPercentile(AM70,$D$75)</f>
        <v>0</v>
      </c>
      <c r="AN81" s="26">
        <f ca="1">_xll.CampagnaOutputPercentile(AN70,$D$75)</f>
        <v>0</v>
      </c>
      <c r="AO81" s="26">
        <f ca="1">_xll.CampagnaOutputPercentile(AO70,$D$75)</f>
        <v>0</v>
      </c>
      <c r="AP81" s="26">
        <f ca="1">_xll.CampagnaOutputPercentile(AP70,$D$75)</f>
        <v>0</v>
      </c>
      <c r="AQ81" s="26">
        <f ca="1">_xll.CampagnaOutputPercentile(AQ70,$D$75)</f>
        <v>0</v>
      </c>
      <c r="AR81" s="26">
        <f ca="1">_xll.CampagnaOutputPercentile(AR70,$D$75)</f>
        <v>0</v>
      </c>
      <c r="AS81" s="26">
        <f ca="1">_xll.CampagnaOutputPercentile(AS70,$D$75)</f>
        <v>0</v>
      </c>
      <c r="AT81" s="26">
        <f ca="1">_xll.CampagnaOutputPercentile(AT70,$D$75)</f>
        <v>0</v>
      </c>
      <c r="AU81" s="26">
        <f ca="1">_xll.CampagnaOutputPercentile(AU70,$D$75)</f>
        <v>0</v>
      </c>
      <c r="AV81" s="26">
        <f ca="1">_xll.CampagnaOutputPercentile(AV70,$D$75)</f>
        <v>0</v>
      </c>
      <c r="AW81" s="26">
        <f ca="1">_xll.CampagnaOutputPercentile(AW70,$D$75)</f>
        <v>0</v>
      </c>
      <c r="AX81" s="26">
        <f ca="1">_xll.CampagnaOutputPercentile(AX70,$D$75)</f>
        <v>0</v>
      </c>
      <c r="AY81" s="26">
        <f ca="1">_xll.CampagnaOutputPercentile(AY70,$D$75)</f>
        <v>0</v>
      </c>
      <c r="AZ81" s="26">
        <f ca="1">_xll.CampagnaOutputPercentile(AZ70,$D$75)</f>
        <v>0</v>
      </c>
      <c r="BA81" s="26">
        <f ca="1">_xll.CampagnaOutputPercentile(BA70,$D$75)</f>
        <v>0</v>
      </c>
      <c r="BB81" s="26">
        <f ca="1">_xll.CampagnaOutputPercentile(BB70,$D$75)</f>
        <v>0</v>
      </c>
      <c r="BC81" s="26">
        <f ca="1">_xll.CampagnaOutputPercentile(BC70,$D$75)</f>
        <v>0</v>
      </c>
      <c r="BD81" s="26">
        <f ca="1">_xll.CampagnaOutputPercentile(BD70,$D$75)</f>
        <v>0</v>
      </c>
      <c r="BE81" s="26">
        <f ca="1">_xll.CampagnaOutputPercentile(BE70,$D$75)</f>
        <v>0</v>
      </c>
      <c r="BF81" s="26">
        <f ca="1">_xll.CampagnaOutputPercentile(BF70,$D$75)</f>
        <v>0</v>
      </c>
      <c r="BG81" s="26">
        <f ca="1">_xll.CampagnaOutputPercentile(BG70,$D$75)</f>
        <v>0</v>
      </c>
      <c r="BH81" s="26">
        <f ca="1">_xll.CampagnaOutputPercentile(BH70,$D$75)</f>
        <v>0</v>
      </c>
      <c r="BI81" s="26">
        <f ca="1">_xll.CampagnaOutputPercentile(BI70,$D$75)</f>
        <v>0</v>
      </c>
      <c r="BJ81" s="26">
        <f ca="1">_xll.CampagnaOutputPercentile(BJ70,$D$75)</f>
        <v>0</v>
      </c>
      <c r="BK81" s="26">
        <f ca="1">_xll.CampagnaOutputPercentile(BK70,$D$75)</f>
        <v>0</v>
      </c>
      <c r="BL81" s="26">
        <f ca="1">_xll.CampagnaOutputPercentile(BL70,$D$75)</f>
        <v>0</v>
      </c>
      <c r="BM81" s="26">
        <f ca="1">_xll.CampagnaOutputPercentile(BM70,$D$75)</f>
        <v>0</v>
      </c>
      <c r="BN81" s="26">
        <f ca="1">_xll.CampagnaOutputPercentile(BN70,$D$75)</f>
        <v>0</v>
      </c>
      <c r="BO81" s="26">
        <f ca="1">_xll.CampagnaOutputPercentile(BO70,$D$75)</f>
        <v>0</v>
      </c>
      <c r="BP81" s="26">
        <f ca="1">_xll.CampagnaOutputPercentile(BP70,$D$75)</f>
        <v>0</v>
      </c>
      <c r="BQ81" s="26">
        <f ca="1">_xll.CampagnaOutputPercentile(BQ70,$D$75)</f>
        <v>0</v>
      </c>
      <c r="BR81" s="26">
        <f ca="1">_xll.CampagnaOutputPercentile(BR70,$D$75)</f>
        <v>0</v>
      </c>
      <c r="BS81" s="26">
        <f ca="1">_xll.CampagnaOutputPercentile(BS70,$D$75)</f>
        <v>0</v>
      </c>
      <c r="BT81" s="26">
        <f ca="1">_xll.CampagnaOutputPercentile(BT70,$D$75)</f>
        <v>0</v>
      </c>
      <c r="BU81" s="26">
        <f ca="1">_xll.CampagnaOutputPercentile(BU70,$D$75)</f>
        <v>0</v>
      </c>
      <c r="BV81" s="26">
        <f ca="1">_xll.CampagnaOutputPercentile(BV70,$D$75)</f>
        <v>0</v>
      </c>
      <c r="BW81" s="26">
        <f ca="1">_xll.CampagnaOutputPercentile(BW70,$D$75)</f>
        <v>0</v>
      </c>
      <c r="BX81" s="26">
        <f ca="1">_xll.CampagnaOutputPercentile(BX70,$D$75)</f>
        <v>0</v>
      </c>
      <c r="BY81" s="26">
        <f ca="1">_xll.CampagnaOutputPercentile(BY70,$D$75)</f>
        <v>0</v>
      </c>
      <c r="BZ81" s="26">
        <f ca="1">_xll.CampagnaOutputPercentile(BZ70,$D$75)</f>
        <v>0</v>
      </c>
      <c r="CA81" s="26">
        <f ca="1">_xll.CampagnaOutputPercentile(CA70,$D$75)</f>
        <v>0</v>
      </c>
      <c r="CB81" s="26">
        <f ca="1">_xll.CampagnaOutputPercentile(CB70,$D$75)</f>
        <v>0</v>
      </c>
      <c r="CC81" s="26">
        <f ca="1">_xll.CampagnaOutputPercentile(CC70,$D$75)</f>
        <v>0</v>
      </c>
      <c r="CD81" s="26">
        <f ca="1">_xll.CampagnaOutputPercentile(CD70,$D$75)</f>
        <v>0</v>
      </c>
      <c r="CE81" s="26">
        <f ca="1">_xll.CampagnaOutputPercentile(CE70,$D$75)</f>
        <v>0</v>
      </c>
      <c r="CF81" s="26">
        <f ca="1">_xll.CampagnaOutputPercentile(CF70,$D$75)</f>
        <v>0</v>
      </c>
      <c r="CG81" s="26">
        <f ca="1">_xll.CampagnaOutputPercentile(CG70,$D$75)</f>
        <v>0</v>
      </c>
      <c r="CH81" s="26">
        <f ca="1">_xll.CampagnaOutputPercentile(CH70,$D$75)</f>
        <v>0</v>
      </c>
      <c r="CI81" s="26">
        <f ca="1">_xll.CampagnaOutputPercentile(CI70,$D$75)</f>
        <v>0</v>
      </c>
      <c r="CJ81" s="26">
        <f ca="1">_xll.CampagnaOutputPercentile(CJ70,$D$75)</f>
        <v>0</v>
      </c>
      <c r="CK81" s="26">
        <f ca="1">_xll.CampagnaOutputPercentile(CK70,$D$75)</f>
        <v>0</v>
      </c>
      <c r="CL81" s="26">
        <f ca="1">_xll.CampagnaOutputPercentile(CL70,$D$75)</f>
        <v>0</v>
      </c>
      <c r="CM81" s="26">
        <f ca="1">_xll.CampagnaOutputPercentile(CM70,$D$75)</f>
        <v>0</v>
      </c>
      <c r="CN81" s="26">
        <f ca="1">_xll.CampagnaOutputPercentile(CN70,$D$75)</f>
        <v>0</v>
      </c>
      <c r="CO81" s="26">
        <f ca="1">_xll.CampagnaOutputPercentile(CO70,$D$75)</f>
        <v>0</v>
      </c>
    </row>
    <row r="82" spans="3:93" x14ac:dyDescent="0.3">
      <c r="C82" s="6" t="str">
        <f>Lookups!C9</f>
        <v>In-Service</v>
      </c>
      <c r="D82" s="26">
        <f ca="1">_xll.CampagnaOutputPercentile(D71,$D$75)</f>
        <v>0</v>
      </c>
      <c r="E82" s="26">
        <f ca="1">_xll.CampagnaOutputPercentile(E71,$D$75)</f>
        <v>0</v>
      </c>
      <c r="F82" s="26">
        <f ca="1">_xll.CampagnaOutputPercentile(F71,$D$75)</f>
        <v>0</v>
      </c>
      <c r="G82" s="26">
        <f ca="1">_xll.CampagnaOutputPercentile(G71,$D$75)</f>
        <v>0</v>
      </c>
      <c r="H82" s="26">
        <f ca="1">_xll.CampagnaOutputPercentile(H71,$D$75)</f>
        <v>0</v>
      </c>
      <c r="I82" s="26">
        <f ca="1">_xll.CampagnaOutputPercentile(I71,$D$75)</f>
        <v>0</v>
      </c>
      <c r="J82" s="26">
        <f ca="1">_xll.CampagnaOutputPercentile(J71,$D$75)</f>
        <v>0</v>
      </c>
      <c r="K82" s="26">
        <f ca="1">_xll.CampagnaOutputPercentile(K71,$D$75)</f>
        <v>0</v>
      </c>
      <c r="L82" s="26">
        <f ca="1">_xll.CampagnaOutputPercentile(L71,$D$75)</f>
        <v>0</v>
      </c>
      <c r="M82" s="26">
        <f ca="1">_xll.CampagnaOutputPercentile(M71,$D$75)</f>
        <v>0</v>
      </c>
      <c r="N82" s="26">
        <f ca="1">_xll.CampagnaOutputPercentile(N71,$D$75)</f>
        <v>0</v>
      </c>
      <c r="O82" s="26">
        <f ca="1">_xll.CampagnaOutputPercentile(O71,$D$75)</f>
        <v>0</v>
      </c>
      <c r="P82" s="26">
        <f ca="1">_xll.CampagnaOutputPercentile(P71,$D$75)</f>
        <v>0</v>
      </c>
      <c r="Q82" s="26">
        <f ca="1">_xll.CampagnaOutputPercentile(Q71,$D$75)</f>
        <v>0</v>
      </c>
      <c r="R82" s="26">
        <f ca="1">_xll.CampagnaOutputPercentile(R71,$D$75)</f>
        <v>0</v>
      </c>
      <c r="S82" s="26">
        <f ca="1">_xll.CampagnaOutputPercentile(S71,$D$75)</f>
        <v>0</v>
      </c>
      <c r="T82" s="26">
        <f ca="1">_xll.CampagnaOutputPercentile(T71,$D$75)</f>
        <v>0</v>
      </c>
      <c r="U82" s="26">
        <f ca="1">_xll.CampagnaOutputPercentile(U71,$D$75)</f>
        <v>0</v>
      </c>
      <c r="V82" s="26">
        <f ca="1">_xll.CampagnaOutputPercentile(V71,$D$75)</f>
        <v>0</v>
      </c>
      <c r="W82" s="26">
        <f ca="1">_xll.CampagnaOutputPercentile(W71,$D$75)</f>
        <v>0</v>
      </c>
      <c r="X82" s="26">
        <f ca="1">_xll.CampagnaOutputPercentile(X71,$D$75)</f>
        <v>0</v>
      </c>
      <c r="Y82" s="26">
        <f ca="1">_xll.CampagnaOutputPercentile(Y71,$D$75)</f>
        <v>1386.7913100000001</v>
      </c>
      <c r="Z82" s="26">
        <f ca="1">_xll.CampagnaOutputPercentile(Z71,$D$75)</f>
        <v>0</v>
      </c>
      <c r="AA82" s="26">
        <f ca="1">_xll.CampagnaOutputPercentile(AA71,$D$75)</f>
        <v>0</v>
      </c>
      <c r="AB82" s="26">
        <f ca="1">_xll.CampagnaOutputPercentile(AB71,$D$75)</f>
        <v>0</v>
      </c>
      <c r="AC82" s="26">
        <f ca="1">_xll.CampagnaOutputPercentile(AC71,$D$75)</f>
        <v>0</v>
      </c>
      <c r="AD82" s="26">
        <f ca="1">_xll.CampagnaOutputPercentile(AD71,$D$75)</f>
        <v>0</v>
      </c>
      <c r="AE82" s="26">
        <f ca="1">_xll.CampagnaOutputPercentile(AE71,$D$75)</f>
        <v>0</v>
      </c>
      <c r="AF82" s="26">
        <f ca="1">_xll.CampagnaOutputPercentile(AF71,$D$75)</f>
        <v>0</v>
      </c>
      <c r="AG82" s="26">
        <f ca="1">_xll.CampagnaOutputPercentile(AG71,$D$75)</f>
        <v>0</v>
      </c>
      <c r="AH82" s="26">
        <f ca="1">_xll.CampagnaOutputPercentile(AH71,$D$75)</f>
        <v>0</v>
      </c>
      <c r="AI82" s="26">
        <f ca="1">_xll.CampagnaOutputPercentile(AI71,$D$75)</f>
        <v>0</v>
      </c>
      <c r="AJ82" s="26">
        <f ca="1">_xll.CampagnaOutputPercentile(AJ71,$D$75)</f>
        <v>0</v>
      </c>
      <c r="AK82" s="26">
        <f ca="1">_xll.CampagnaOutputPercentile(AK71,$D$75)</f>
        <v>0</v>
      </c>
      <c r="AL82" s="26">
        <f ca="1">_xll.CampagnaOutputPercentile(AL71,$D$75)</f>
        <v>0</v>
      </c>
      <c r="AM82" s="26">
        <f ca="1">_xll.CampagnaOutputPercentile(AM71,$D$75)</f>
        <v>0</v>
      </c>
      <c r="AN82" s="26">
        <f ca="1">_xll.CampagnaOutputPercentile(AN71,$D$75)</f>
        <v>0</v>
      </c>
      <c r="AO82" s="26">
        <f ca="1">_xll.CampagnaOutputPercentile(AO71,$D$75)</f>
        <v>0</v>
      </c>
      <c r="AP82" s="26">
        <f ca="1">_xll.CampagnaOutputPercentile(AP71,$D$75)</f>
        <v>0</v>
      </c>
      <c r="AQ82" s="26">
        <f ca="1">_xll.CampagnaOutputPercentile(AQ71,$D$75)</f>
        <v>0</v>
      </c>
      <c r="AR82" s="26">
        <f ca="1">_xll.CampagnaOutputPercentile(AR71,$D$75)</f>
        <v>0</v>
      </c>
      <c r="AS82" s="26">
        <f ca="1">_xll.CampagnaOutputPercentile(AS71,$D$75)</f>
        <v>0</v>
      </c>
      <c r="AT82" s="26">
        <f ca="1">_xll.CampagnaOutputPercentile(AT71,$D$75)</f>
        <v>0</v>
      </c>
      <c r="AU82" s="26">
        <f ca="1">_xll.CampagnaOutputPercentile(AU71,$D$75)</f>
        <v>0</v>
      </c>
      <c r="AV82" s="26">
        <f ca="1">_xll.CampagnaOutputPercentile(AV71,$D$75)</f>
        <v>0</v>
      </c>
      <c r="AW82" s="26">
        <f ca="1">_xll.CampagnaOutputPercentile(AW71,$D$75)</f>
        <v>0</v>
      </c>
      <c r="AX82" s="26">
        <f ca="1">_xll.CampagnaOutputPercentile(AX71,$D$75)</f>
        <v>0</v>
      </c>
      <c r="AY82" s="26">
        <f ca="1">_xll.CampagnaOutputPercentile(AY71,$D$75)</f>
        <v>0</v>
      </c>
      <c r="AZ82" s="26">
        <f ca="1">_xll.CampagnaOutputPercentile(AZ71,$D$75)</f>
        <v>0</v>
      </c>
      <c r="BA82" s="26">
        <f ca="1">_xll.CampagnaOutputPercentile(BA71,$D$75)</f>
        <v>0</v>
      </c>
      <c r="BB82" s="26">
        <f ca="1">_xll.CampagnaOutputPercentile(BB71,$D$75)</f>
        <v>0</v>
      </c>
      <c r="BC82" s="26">
        <f ca="1">_xll.CampagnaOutputPercentile(BC71,$D$75)</f>
        <v>0</v>
      </c>
      <c r="BD82" s="26">
        <f ca="1">_xll.CampagnaOutputPercentile(BD71,$D$75)</f>
        <v>0</v>
      </c>
      <c r="BE82" s="26">
        <f ca="1">_xll.CampagnaOutputPercentile(BE71,$D$75)</f>
        <v>0</v>
      </c>
      <c r="BF82" s="26">
        <f ca="1">_xll.CampagnaOutputPercentile(BF71,$D$75)</f>
        <v>0</v>
      </c>
      <c r="BG82" s="26">
        <f ca="1">_xll.CampagnaOutputPercentile(BG71,$D$75)</f>
        <v>0</v>
      </c>
      <c r="BH82" s="26">
        <f ca="1">_xll.CampagnaOutputPercentile(BH71,$D$75)</f>
        <v>0</v>
      </c>
      <c r="BI82" s="26">
        <f ca="1">_xll.CampagnaOutputPercentile(BI71,$D$75)</f>
        <v>0</v>
      </c>
      <c r="BJ82" s="26">
        <f ca="1">_xll.CampagnaOutputPercentile(BJ71,$D$75)</f>
        <v>0</v>
      </c>
      <c r="BK82" s="26">
        <f ca="1">_xll.CampagnaOutputPercentile(BK71,$D$75)</f>
        <v>0</v>
      </c>
      <c r="BL82" s="26">
        <f ca="1">_xll.CampagnaOutputPercentile(BL71,$D$75)</f>
        <v>0</v>
      </c>
      <c r="BM82" s="26">
        <f ca="1">_xll.CampagnaOutputPercentile(BM71,$D$75)</f>
        <v>0</v>
      </c>
      <c r="BN82" s="26">
        <f ca="1">_xll.CampagnaOutputPercentile(BN71,$D$75)</f>
        <v>0</v>
      </c>
      <c r="BO82" s="26">
        <f ca="1">_xll.CampagnaOutputPercentile(BO71,$D$75)</f>
        <v>0</v>
      </c>
      <c r="BP82" s="26">
        <f ca="1">_xll.CampagnaOutputPercentile(BP71,$D$75)</f>
        <v>0</v>
      </c>
      <c r="BQ82" s="26">
        <f ca="1">_xll.CampagnaOutputPercentile(BQ71,$D$75)</f>
        <v>0</v>
      </c>
      <c r="BR82" s="26">
        <f ca="1">_xll.CampagnaOutputPercentile(BR71,$D$75)</f>
        <v>0</v>
      </c>
      <c r="BS82" s="26">
        <f ca="1">_xll.CampagnaOutputPercentile(BS71,$D$75)</f>
        <v>0</v>
      </c>
      <c r="BT82" s="26">
        <f ca="1">_xll.CampagnaOutputPercentile(BT71,$D$75)</f>
        <v>0</v>
      </c>
      <c r="BU82" s="26">
        <f ca="1">_xll.CampagnaOutputPercentile(BU71,$D$75)</f>
        <v>0</v>
      </c>
      <c r="BV82" s="26">
        <f ca="1">_xll.CampagnaOutputPercentile(BV71,$D$75)</f>
        <v>0</v>
      </c>
      <c r="BW82" s="26">
        <f ca="1">_xll.CampagnaOutputPercentile(BW71,$D$75)</f>
        <v>0</v>
      </c>
      <c r="BX82" s="26">
        <f ca="1">_xll.CampagnaOutputPercentile(BX71,$D$75)</f>
        <v>0</v>
      </c>
      <c r="BY82" s="26">
        <f ca="1">_xll.CampagnaOutputPercentile(BY71,$D$75)</f>
        <v>0</v>
      </c>
      <c r="BZ82" s="26">
        <f ca="1">_xll.CampagnaOutputPercentile(BZ71,$D$75)</f>
        <v>0</v>
      </c>
      <c r="CA82" s="26">
        <f ca="1">_xll.CampagnaOutputPercentile(CA71,$D$75)</f>
        <v>0</v>
      </c>
      <c r="CB82" s="26">
        <f ca="1">_xll.CampagnaOutputPercentile(CB71,$D$75)</f>
        <v>0</v>
      </c>
      <c r="CC82" s="26">
        <f ca="1">_xll.CampagnaOutputPercentile(CC71,$D$75)</f>
        <v>0</v>
      </c>
      <c r="CD82" s="26">
        <f ca="1">_xll.CampagnaOutputPercentile(CD71,$D$75)</f>
        <v>0</v>
      </c>
      <c r="CE82" s="26">
        <f ca="1">_xll.CampagnaOutputPercentile(CE71,$D$75)</f>
        <v>0</v>
      </c>
      <c r="CF82" s="26">
        <f ca="1">_xll.CampagnaOutputPercentile(CF71,$D$75)</f>
        <v>0</v>
      </c>
      <c r="CG82" s="26">
        <f ca="1">_xll.CampagnaOutputPercentile(CG71,$D$75)</f>
        <v>0</v>
      </c>
      <c r="CH82" s="26">
        <f ca="1">_xll.CampagnaOutputPercentile(CH71,$D$75)</f>
        <v>0</v>
      </c>
      <c r="CI82" s="26">
        <f ca="1">_xll.CampagnaOutputPercentile(CI71,$D$75)</f>
        <v>0</v>
      </c>
      <c r="CJ82" s="26">
        <f ca="1">_xll.CampagnaOutputPercentile(CJ71,$D$75)</f>
        <v>0</v>
      </c>
      <c r="CK82" s="26">
        <f ca="1">_xll.CampagnaOutputPercentile(CK71,$D$75)</f>
        <v>0</v>
      </c>
      <c r="CL82" s="26">
        <f ca="1">_xll.CampagnaOutputPercentile(CL71,$D$75)</f>
        <v>0</v>
      </c>
      <c r="CM82" s="26">
        <f ca="1">_xll.CampagnaOutputPercentile(CM71,$D$75)</f>
        <v>0</v>
      </c>
      <c r="CN82" s="26">
        <f ca="1">_xll.CampagnaOutputPercentile(CN71,$D$75)</f>
        <v>0</v>
      </c>
      <c r="CO82" s="26">
        <f ca="1">_xll.CampagnaOutputPercentile(CO71,$D$75)</f>
        <v>0</v>
      </c>
    </row>
    <row r="84" spans="3:93" x14ac:dyDescent="0.3">
      <c r="C84" s="6" t="s">
        <v>65</v>
      </c>
      <c r="D84" s="31">
        <f ca="1">SUM(D78:D82)</f>
        <v>0</v>
      </c>
      <c r="E84" s="31">
        <f t="shared" ref="E84:BP84" ca="1" si="10">SUM(E78:E82)</f>
        <v>0</v>
      </c>
      <c r="F84" s="31">
        <f t="shared" ca="1" si="10"/>
        <v>0</v>
      </c>
      <c r="G84" s="31">
        <f t="shared" ca="1" si="10"/>
        <v>0</v>
      </c>
      <c r="H84" s="31">
        <f t="shared" ca="1" si="10"/>
        <v>0</v>
      </c>
      <c r="I84" s="31">
        <f t="shared" ca="1" si="10"/>
        <v>0</v>
      </c>
      <c r="J84" s="31">
        <f t="shared" ca="1" si="10"/>
        <v>0</v>
      </c>
      <c r="K84" s="31">
        <f t="shared" ca="1" si="10"/>
        <v>0</v>
      </c>
      <c r="L84" s="31">
        <f t="shared" ca="1" si="10"/>
        <v>0</v>
      </c>
      <c r="M84" s="31">
        <f t="shared" ca="1" si="10"/>
        <v>0</v>
      </c>
      <c r="N84" s="31">
        <f t="shared" ca="1" si="10"/>
        <v>0</v>
      </c>
      <c r="O84" s="31">
        <f t="shared" ca="1" si="10"/>
        <v>0</v>
      </c>
      <c r="P84" s="31">
        <f t="shared" ca="1" si="10"/>
        <v>0</v>
      </c>
      <c r="Q84" s="31">
        <f t="shared" ca="1" si="10"/>
        <v>0</v>
      </c>
      <c r="R84" s="31">
        <f t="shared" ca="1" si="10"/>
        <v>0</v>
      </c>
      <c r="S84" s="31">
        <f t="shared" ca="1" si="10"/>
        <v>0</v>
      </c>
      <c r="T84" s="31">
        <f t="shared" ca="1" si="10"/>
        <v>0</v>
      </c>
      <c r="U84" s="31">
        <f t="shared" ca="1" si="10"/>
        <v>24728.359360000002</v>
      </c>
      <c r="V84" s="31">
        <f t="shared" ca="1" si="10"/>
        <v>25246.078759999997</v>
      </c>
      <c r="W84" s="31">
        <f t="shared" ca="1" si="10"/>
        <v>25246.078759999997</v>
      </c>
      <c r="X84" s="31">
        <f t="shared" ca="1" si="10"/>
        <v>25246.078759999997</v>
      </c>
      <c r="Y84" s="31">
        <f t="shared" ca="1" si="10"/>
        <v>24232.870069999997</v>
      </c>
      <c r="Z84" s="31">
        <f t="shared" ca="1" si="10"/>
        <v>0</v>
      </c>
      <c r="AA84" s="31">
        <f t="shared" ca="1" si="10"/>
        <v>0</v>
      </c>
      <c r="AB84" s="31">
        <f t="shared" ca="1" si="10"/>
        <v>0</v>
      </c>
      <c r="AC84" s="31">
        <f t="shared" ca="1" si="10"/>
        <v>0</v>
      </c>
      <c r="AD84" s="31">
        <f t="shared" ca="1" si="10"/>
        <v>0</v>
      </c>
      <c r="AE84" s="31">
        <f t="shared" ca="1" si="10"/>
        <v>0</v>
      </c>
      <c r="AF84" s="31">
        <f t="shared" ca="1" si="10"/>
        <v>0</v>
      </c>
      <c r="AG84" s="31">
        <f t="shared" ca="1" si="10"/>
        <v>0</v>
      </c>
      <c r="AH84" s="31">
        <f t="shared" ca="1" si="10"/>
        <v>0</v>
      </c>
      <c r="AI84" s="31">
        <f t="shared" ca="1" si="10"/>
        <v>0</v>
      </c>
      <c r="AJ84" s="31">
        <f t="shared" ca="1" si="10"/>
        <v>0</v>
      </c>
      <c r="AK84" s="31">
        <f t="shared" ca="1" si="10"/>
        <v>0</v>
      </c>
      <c r="AL84" s="31">
        <f t="shared" ca="1" si="10"/>
        <v>0</v>
      </c>
      <c r="AM84" s="31">
        <f t="shared" ca="1" si="10"/>
        <v>0</v>
      </c>
      <c r="AN84" s="31">
        <f t="shared" ca="1" si="10"/>
        <v>0</v>
      </c>
      <c r="AO84" s="31">
        <f t="shared" ca="1" si="10"/>
        <v>0</v>
      </c>
      <c r="AP84" s="31">
        <f t="shared" ca="1" si="10"/>
        <v>0</v>
      </c>
      <c r="AQ84" s="31">
        <f t="shared" ca="1" si="10"/>
        <v>0</v>
      </c>
      <c r="AR84" s="31">
        <f t="shared" ca="1" si="10"/>
        <v>0</v>
      </c>
      <c r="AS84" s="31">
        <f t="shared" ca="1" si="10"/>
        <v>0</v>
      </c>
      <c r="AT84" s="31">
        <f t="shared" ca="1" si="10"/>
        <v>0</v>
      </c>
      <c r="AU84" s="31">
        <f t="shared" ca="1" si="10"/>
        <v>0</v>
      </c>
      <c r="AV84" s="31">
        <f t="shared" ca="1" si="10"/>
        <v>0</v>
      </c>
      <c r="AW84" s="31">
        <f t="shared" ca="1" si="10"/>
        <v>0</v>
      </c>
      <c r="AX84" s="31">
        <f t="shared" ca="1" si="10"/>
        <v>0</v>
      </c>
      <c r="AY84" s="31">
        <f t="shared" ca="1" si="10"/>
        <v>0</v>
      </c>
      <c r="AZ84" s="31">
        <f t="shared" ca="1" si="10"/>
        <v>0</v>
      </c>
      <c r="BA84" s="31">
        <f t="shared" ca="1" si="10"/>
        <v>0</v>
      </c>
      <c r="BB84" s="31">
        <f t="shared" ca="1" si="10"/>
        <v>0</v>
      </c>
      <c r="BC84" s="31">
        <f t="shared" ca="1" si="10"/>
        <v>0</v>
      </c>
      <c r="BD84" s="31">
        <f t="shared" ca="1" si="10"/>
        <v>0</v>
      </c>
      <c r="BE84" s="31">
        <f t="shared" ca="1" si="10"/>
        <v>0</v>
      </c>
      <c r="BF84" s="31">
        <f t="shared" ca="1" si="10"/>
        <v>0</v>
      </c>
      <c r="BG84" s="31">
        <f t="shared" ca="1" si="10"/>
        <v>0</v>
      </c>
      <c r="BH84" s="31">
        <f t="shared" ca="1" si="10"/>
        <v>0</v>
      </c>
      <c r="BI84" s="31">
        <f t="shared" ca="1" si="10"/>
        <v>0</v>
      </c>
      <c r="BJ84" s="31">
        <f t="shared" ca="1" si="10"/>
        <v>0</v>
      </c>
      <c r="BK84" s="31">
        <f t="shared" ca="1" si="10"/>
        <v>0</v>
      </c>
      <c r="BL84" s="31">
        <f t="shared" ca="1" si="10"/>
        <v>0</v>
      </c>
      <c r="BM84" s="31">
        <f t="shared" ca="1" si="10"/>
        <v>0</v>
      </c>
      <c r="BN84" s="31">
        <f t="shared" ca="1" si="10"/>
        <v>0</v>
      </c>
      <c r="BO84" s="31">
        <f t="shared" ca="1" si="10"/>
        <v>0</v>
      </c>
      <c r="BP84" s="31">
        <f t="shared" ca="1" si="10"/>
        <v>0</v>
      </c>
      <c r="BQ84" s="31">
        <f t="shared" ref="BQ84:CO84" ca="1" si="11">SUM(BQ78:BQ82)</f>
        <v>0</v>
      </c>
      <c r="BR84" s="31">
        <f t="shared" ca="1" si="11"/>
        <v>0</v>
      </c>
      <c r="BS84" s="31">
        <f t="shared" ca="1" si="11"/>
        <v>0</v>
      </c>
      <c r="BT84" s="31">
        <f t="shared" ca="1" si="11"/>
        <v>0</v>
      </c>
      <c r="BU84" s="31">
        <f t="shared" ca="1" si="11"/>
        <v>0</v>
      </c>
      <c r="BV84" s="31">
        <f t="shared" ca="1" si="11"/>
        <v>0</v>
      </c>
      <c r="BW84" s="31">
        <f t="shared" ca="1" si="11"/>
        <v>0</v>
      </c>
      <c r="BX84" s="31">
        <f t="shared" ca="1" si="11"/>
        <v>0</v>
      </c>
      <c r="BY84" s="31">
        <f t="shared" ca="1" si="11"/>
        <v>0</v>
      </c>
      <c r="BZ84" s="31">
        <f t="shared" ca="1" si="11"/>
        <v>0</v>
      </c>
      <c r="CA84" s="31">
        <f t="shared" ca="1" si="11"/>
        <v>0</v>
      </c>
      <c r="CB84" s="31">
        <f t="shared" ca="1" si="11"/>
        <v>0</v>
      </c>
      <c r="CC84" s="31">
        <f t="shared" ca="1" si="11"/>
        <v>0</v>
      </c>
      <c r="CD84" s="31">
        <f t="shared" ca="1" si="11"/>
        <v>0</v>
      </c>
      <c r="CE84" s="31">
        <f t="shared" ca="1" si="11"/>
        <v>0</v>
      </c>
      <c r="CF84" s="31">
        <f t="shared" ca="1" si="11"/>
        <v>0</v>
      </c>
      <c r="CG84" s="31">
        <f t="shared" ca="1" si="11"/>
        <v>0</v>
      </c>
      <c r="CH84" s="31">
        <f t="shared" ca="1" si="11"/>
        <v>0</v>
      </c>
      <c r="CI84" s="31">
        <f t="shared" ca="1" si="11"/>
        <v>0</v>
      </c>
      <c r="CJ84" s="31">
        <f t="shared" ca="1" si="11"/>
        <v>0</v>
      </c>
      <c r="CK84" s="31">
        <f t="shared" ca="1" si="11"/>
        <v>0</v>
      </c>
      <c r="CL84" s="31">
        <f t="shared" ca="1" si="11"/>
        <v>0</v>
      </c>
      <c r="CM84" s="31">
        <f t="shared" ca="1" si="11"/>
        <v>0</v>
      </c>
      <c r="CN84" s="31">
        <f t="shared" ca="1" si="11"/>
        <v>0</v>
      </c>
      <c r="CO84" s="31">
        <f t="shared" ca="1" si="11"/>
        <v>0</v>
      </c>
    </row>
    <row r="86" spans="3:93" x14ac:dyDescent="0.3">
      <c r="C86" s="6" t="s">
        <v>94</v>
      </c>
      <c r="D86" s="50">
        <v>0.5</v>
      </c>
    </row>
    <row r="88" spans="3:93" x14ac:dyDescent="0.3">
      <c r="D88" s="6" t="str">
        <f>Timeline!F14</f>
        <v>19/20</v>
      </c>
      <c r="E88" s="6" t="str">
        <f>Timeline!G14</f>
        <v>20/21</v>
      </c>
      <c r="F88" s="6" t="str">
        <f>Timeline!H14</f>
        <v>21/22</v>
      </c>
      <c r="G88" s="6" t="str">
        <f>Timeline!I14</f>
        <v>22/23</v>
      </c>
      <c r="H88" s="6" t="str">
        <f>Timeline!J14</f>
        <v>23/24</v>
      </c>
      <c r="I88" s="6" t="str">
        <f>Timeline!K14</f>
        <v>24/25</v>
      </c>
      <c r="J88" s="6" t="str">
        <f>Timeline!L14</f>
        <v>25/26</v>
      </c>
      <c r="K88" s="6" t="str">
        <f>Timeline!M14</f>
        <v>26/27</v>
      </c>
      <c r="L88" s="6" t="str">
        <f>Timeline!N14</f>
        <v>27/28</v>
      </c>
      <c r="M88" s="6" t="str">
        <f>Timeline!O14</f>
        <v>28/29</v>
      </c>
      <c r="N88" s="6" t="str">
        <f>Timeline!P14</f>
        <v>29/30</v>
      </c>
      <c r="O88" s="6" t="str">
        <f>Timeline!Q14</f>
        <v>30/31</v>
      </c>
      <c r="P88" s="6" t="str">
        <f>Timeline!R14</f>
        <v>31/32</v>
      </c>
      <c r="Q88" s="6" t="str">
        <f>Timeline!S14</f>
        <v>32/33</v>
      </c>
      <c r="R88" s="6" t="str">
        <f>Timeline!T14</f>
        <v>33/34</v>
      </c>
      <c r="S88" s="6" t="str">
        <f>Timeline!U14</f>
        <v>34/35</v>
      </c>
      <c r="T88" s="6" t="str">
        <f>Timeline!V14</f>
        <v>35/36</v>
      </c>
      <c r="U88" s="6" t="str">
        <f>Timeline!W14</f>
        <v>36/37</v>
      </c>
      <c r="V88" s="6" t="str">
        <f>Timeline!X14</f>
        <v>37/38</v>
      </c>
      <c r="W88" s="6" t="str">
        <f>Timeline!Y14</f>
        <v>38/39</v>
      </c>
      <c r="X88" s="6" t="str">
        <f>Timeline!Z14</f>
        <v>39/40</v>
      </c>
      <c r="Y88" s="6" t="str">
        <f>Timeline!AA14</f>
        <v>40/41</v>
      </c>
      <c r="Z88" s="6" t="str">
        <f>Timeline!AB14</f>
        <v>41/42</v>
      </c>
      <c r="AA88" s="6" t="str">
        <f>Timeline!AC14</f>
        <v>42/43</v>
      </c>
      <c r="AB88" s="6" t="str">
        <f>Timeline!AD14</f>
        <v>43/44</v>
      </c>
      <c r="AC88" s="6" t="str">
        <f>Timeline!AE14</f>
        <v>44/45</v>
      </c>
      <c r="AD88" s="6" t="str">
        <f>Timeline!AF14</f>
        <v>45/46</v>
      </c>
      <c r="AE88" s="6" t="str">
        <f>Timeline!AG14</f>
        <v>46/47</v>
      </c>
      <c r="AF88" s="6" t="str">
        <f>Timeline!AH14</f>
        <v>47/48</v>
      </c>
      <c r="AG88" s="6" t="str">
        <f>Timeline!AI14</f>
        <v>48/49</v>
      </c>
      <c r="AH88" s="6" t="str">
        <f>Timeline!AJ14</f>
        <v>49/50</v>
      </c>
      <c r="AI88" s="6" t="str">
        <f>Timeline!AK14</f>
        <v>50/51</v>
      </c>
      <c r="AJ88" s="6" t="str">
        <f>Timeline!AL14</f>
        <v>51/52</v>
      </c>
      <c r="AK88" s="6" t="str">
        <f>Timeline!AM14</f>
        <v>52/53</v>
      </c>
      <c r="AL88" s="6" t="str">
        <f>Timeline!AN14</f>
        <v>53/54</v>
      </c>
      <c r="AM88" s="6" t="str">
        <f>Timeline!AO14</f>
        <v>54/55</v>
      </c>
      <c r="AN88" s="6" t="str">
        <f>Timeline!AP14</f>
        <v>55/56</v>
      </c>
      <c r="AO88" s="6" t="str">
        <f>Timeline!AQ14</f>
        <v>56/57</v>
      </c>
      <c r="AP88" s="6" t="str">
        <f>Timeline!AR14</f>
        <v>57/58</v>
      </c>
      <c r="AQ88" s="6" t="str">
        <f>Timeline!AS14</f>
        <v>58/59</v>
      </c>
      <c r="AR88" s="6" t="str">
        <f>Timeline!AT14</f>
        <v>59/60</v>
      </c>
      <c r="AS88" s="6" t="str">
        <f>Timeline!AU14</f>
        <v>60/61</v>
      </c>
      <c r="AT88" s="6" t="str">
        <f>Timeline!AV14</f>
        <v>61/62</v>
      </c>
      <c r="AU88" s="6" t="str">
        <f>Timeline!AW14</f>
        <v>62/63</v>
      </c>
      <c r="AV88" s="6" t="str">
        <f>Timeline!AX14</f>
        <v>63/64</v>
      </c>
      <c r="AW88" s="6" t="str">
        <f>Timeline!AY14</f>
        <v>64/65</v>
      </c>
      <c r="AX88" s="6" t="str">
        <f>Timeline!AZ14</f>
        <v>65/66</v>
      </c>
      <c r="AY88" s="6" t="str">
        <f>Timeline!BA14</f>
        <v>66/67</v>
      </c>
      <c r="AZ88" s="6" t="str">
        <f>Timeline!BB14</f>
        <v>67/68</v>
      </c>
      <c r="BA88" s="6" t="str">
        <f>Timeline!BC14</f>
        <v>68/69</v>
      </c>
      <c r="BB88" s="6" t="str">
        <f>Timeline!BD14</f>
        <v>69/70</v>
      </c>
      <c r="BC88" s="6" t="str">
        <f>Timeline!BE14</f>
        <v>70/71</v>
      </c>
      <c r="BD88" s="6" t="str">
        <f>Timeline!BF14</f>
        <v>71/72</v>
      </c>
      <c r="BE88" s="6" t="str">
        <f>Timeline!BG14</f>
        <v>72/73</v>
      </c>
      <c r="BF88" s="6" t="str">
        <f>Timeline!BH14</f>
        <v>73/74</v>
      </c>
      <c r="BG88" s="6" t="str">
        <f>Timeline!BI14</f>
        <v>74/75</v>
      </c>
      <c r="BH88" s="6" t="str">
        <f>Timeline!BJ14</f>
        <v>75/76</v>
      </c>
      <c r="BI88" s="6" t="str">
        <f>Timeline!BK14</f>
        <v>76/77</v>
      </c>
      <c r="BJ88" s="6" t="str">
        <f>Timeline!BL14</f>
        <v>77/78</v>
      </c>
      <c r="BK88" s="6" t="str">
        <f>Timeline!BM14</f>
        <v>78/79</v>
      </c>
      <c r="BL88" s="6" t="str">
        <f>Timeline!BN14</f>
        <v>79/80</v>
      </c>
      <c r="BM88" s="6" t="str">
        <f>Timeline!BO14</f>
        <v>80/81</v>
      </c>
      <c r="BN88" s="6" t="str">
        <f>Timeline!BP14</f>
        <v>81/82</v>
      </c>
      <c r="BO88" s="6" t="str">
        <f>Timeline!BQ14</f>
        <v>82/83</v>
      </c>
      <c r="BP88" s="6" t="str">
        <f>Timeline!BR14</f>
        <v>83/84</v>
      </c>
      <c r="BQ88" s="6" t="str">
        <f>Timeline!BS14</f>
        <v>84/85</v>
      </c>
      <c r="BR88" s="6" t="str">
        <f>Timeline!BT14</f>
        <v>85/86</v>
      </c>
      <c r="BS88" s="6" t="str">
        <f>Timeline!BU14</f>
        <v>86/87</v>
      </c>
      <c r="BT88" s="6" t="str">
        <f>Timeline!BV14</f>
        <v>87/88</v>
      </c>
      <c r="BU88" s="6" t="str">
        <f>Timeline!BW14</f>
        <v>88/89</v>
      </c>
      <c r="BV88" s="6" t="str">
        <f>Timeline!BX14</f>
        <v>89/90</v>
      </c>
      <c r="BW88" s="6" t="str">
        <f>Timeline!BY14</f>
        <v>90/91</v>
      </c>
      <c r="BX88" s="6" t="str">
        <f>Timeline!BZ14</f>
        <v>91/92</v>
      </c>
      <c r="BY88" s="6" t="str">
        <f>Timeline!CA14</f>
        <v>92/93</v>
      </c>
      <c r="BZ88" s="6" t="str">
        <f>Timeline!CB14</f>
        <v>93/94</v>
      </c>
      <c r="CA88" s="6" t="str">
        <f>Timeline!CC14</f>
        <v>94/95</v>
      </c>
      <c r="CB88" s="6" t="str">
        <f>Timeline!CD14</f>
        <v>95/96</v>
      </c>
      <c r="CC88" s="6" t="str">
        <f>Timeline!CE14</f>
        <v>96/97</v>
      </c>
      <c r="CD88" s="6" t="str">
        <f>Timeline!CF14</f>
        <v>97/98</v>
      </c>
      <c r="CE88" s="6" t="str">
        <f>Timeline!CG14</f>
        <v>98/99</v>
      </c>
      <c r="CF88" s="6" t="str">
        <f>Timeline!CH14</f>
        <v>99/00</v>
      </c>
      <c r="CG88" s="6" t="str">
        <f>Timeline!CI14</f>
        <v>00/01</v>
      </c>
      <c r="CH88" s="6" t="str">
        <f>Timeline!CJ14</f>
        <v>01/02</v>
      </c>
      <c r="CI88" s="6" t="str">
        <f>Timeline!CK14</f>
        <v>02/03</v>
      </c>
      <c r="CJ88" s="6" t="str">
        <f>Timeline!CL14</f>
        <v>03/04</v>
      </c>
      <c r="CK88" s="6" t="str">
        <f>Timeline!CM14</f>
        <v>04/05</v>
      </c>
      <c r="CL88" s="6" t="str">
        <f>Timeline!CN14</f>
        <v>05/06</v>
      </c>
      <c r="CM88" s="6" t="str">
        <f>Timeline!CO14</f>
        <v>06/07</v>
      </c>
      <c r="CN88" s="6" t="str">
        <f>Timeline!CP14</f>
        <v>07/08</v>
      </c>
      <c r="CO88" s="6" t="str">
        <f>Timeline!CQ14</f>
        <v>08/09</v>
      </c>
    </row>
    <row r="89" spans="3:93" x14ac:dyDescent="0.3">
      <c r="C89" s="6" t="str">
        <f>Lookups!C5</f>
        <v>Concept</v>
      </c>
      <c r="D89" s="26">
        <f ca="1">_xll.CampagnaOutputPercentile(D67,$D$86)</f>
        <v>0</v>
      </c>
      <c r="E89" s="26">
        <f ca="1">_xll.CampagnaOutputPercentile(E67,$D$86)</f>
        <v>0</v>
      </c>
      <c r="F89" s="26">
        <f ca="1">_xll.CampagnaOutputPercentile(F67,$D$86)</f>
        <v>0</v>
      </c>
      <c r="G89" s="26">
        <f ca="1">_xll.CampagnaOutputPercentile(G67,$D$86)</f>
        <v>0</v>
      </c>
      <c r="H89" s="26">
        <f ca="1">_xll.CampagnaOutputPercentile(H67,$D$86)</f>
        <v>0</v>
      </c>
      <c r="I89" s="26">
        <f ca="1">_xll.CampagnaOutputPercentile(I67,$D$86)</f>
        <v>0</v>
      </c>
      <c r="J89" s="26">
        <f ca="1">_xll.CampagnaOutputPercentile(J67,$D$86)</f>
        <v>0</v>
      </c>
      <c r="K89" s="26">
        <f ca="1">_xll.CampagnaOutputPercentile(K67,$D$86)</f>
        <v>0</v>
      </c>
      <c r="L89" s="26">
        <f ca="1">_xll.CampagnaOutputPercentile(L67,$D$86)</f>
        <v>0</v>
      </c>
      <c r="M89" s="26">
        <f ca="1">_xll.CampagnaOutputPercentile(M67,$D$86)</f>
        <v>0</v>
      </c>
      <c r="N89" s="26">
        <f ca="1">_xll.CampagnaOutputPercentile(N67,$D$86)</f>
        <v>0</v>
      </c>
      <c r="O89" s="26">
        <f ca="1">_xll.CampagnaOutputPercentile(O67,$D$86)</f>
        <v>0</v>
      </c>
      <c r="P89" s="26">
        <f ca="1">_xll.CampagnaOutputPercentile(P67,$D$86)</f>
        <v>0</v>
      </c>
      <c r="Q89" s="26">
        <f ca="1">_xll.CampagnaOutputPercentile(Q67,$D$86)</f>
        <v>0</v>
      </c>
      <c r="R89" s="26">
        <f ca="1">_xll.CampagnaOutputPercentile(R67,$D$86)</f>
        <v>0</v>
      </c>
      <c r="S89" s="26">
        <f ca="1">_xll.CampagnaOutputPercentile(S67,$D$86)</f>
        <v>0</v>
      </c>
      <c r="T89" s="26">
        <f ca="1">_xll.CampagnaOutputPercentile(T67,$D$86)</f>
        <v>0</v>
      </c>
      <c r="U89" s="26">
        <f ca="1">_xll.CampagnaOutputPercentile(U67,$D$86)</f>
        <v>6178.9349500000008</v>
      </c>
      <c r="V89" s="26">
        <f ca="1">_xll.CampagnaOutputPercentile(V67,$D$86)</f>
        <v>4296.6543500000007</v>
      </c>
      <c r="W89" s="26">
        <f ca="1">_xll.CampagnaOutputPercentile(W67,$D$86)</f>
        <v>4296.6543500000007</v>
      </c>
      <c r="X89" s="26">
        <f ca="1">_xll.CampagnaOutputPercentile(X67,$D$86)</f>
        <v>4296.6543500000007</v>
      </c>
      <c r="Y89" s="26">
        <f ca="1">_xll.CampagnaOutputPercentile(Y67,$D$86)</f>
        <v>4296.6543500000007</v>
      </c>
      <c r="Z89" s="26">
        <f ca="1">_xll.CampagnaOutputPercentile(Z67,$D$86)</f>
        <v>0</v>
      </c>
      <c r="AA89" s="26">
        <f ca="1">_xll.CampagnaOutputPercentile(AA67,$D$86)</f>
        <v>0</v>
      </c>
      <c r="AB89" s="26">
        <f ca="1">_xll.CampagnaOutputPercentile(AB67,$D$86)</f>
        <v>0</v>
      </c>
      <c r="AC89" s="26">
        <f ca="1">_xll.CampagnaOutputPercentile(AC67,$D$86)</f>
        <v>0</v>
      </c>
      <c r="AD89" s="26">
        <f ca="1">_xll.CampagnaOutputPercentile(AD67,$D$86)</f>
        <v>0</v>
      </c>
      <c r="AE89" s="26">
        <f ca="1">_xll.CampagnaOutputPercentile(AE67,$D$86)</f>
        <v>0</v>
      </c>
      <c r="AF89" s="26">
        <f ca="1">_xll.CampagnaOutputPercentile(AF67,$D$86)</f>
        <v>0</v>
      </c>
      <c r="AG89" s="26">
        <f ca="1">_xll.CampagnaOutputPercentile(AG67,$D$86)</f>
        <v>0</v>
      </c>
      <c r="AH89" s="26">
        <f ca="1">_xll.CampagnaOutputPercentile(AH67,$D$86)</f>
        <v>0</v>
      </c>
      <c r="AI89" s="26">
        <f ca="1">_xll.CampagnaOutputPercentile(AI67,$D$86)</f>
        <v>0</v>
      </c>
      <c r="AJ89" s="26">
        <f ca="1">_xll.CampagnaOutputPercentile(AJ67,$D$86)</f>
        <v>0</v>
      </c>
      <c r="AK89" s="26">
        <f ca="1">_xll.CampagnaOutputPercentile(AK67,$D$86)</f>
        <v>0</v>
      </c>
      <c r="AL89" s="26">
        <f ca="1">_xll.CampagnaOutputPercentile(AL67,$D$86)</f>
        <v>0</v>
      </c>
      <c r="AM89" s="26">
        <f ca="1">_xll.CampagnaOutputPercentile(AM67,$D$86)</f>
        <v>0</v>
      </c>
      <c r="AN89" s="26">
        <f ca="1">_xll.CampagnaOutputPercentile(AN67,$D$86)</f>
        <v>0</v>
      </c>
      <c r="AO89" s="26">
        <f ca="1">_xll.CampagnaOutputPercentile(AO67,$D$86)</f>
        <v>0</v>
      </c>
      <c r="AP89" s="26">
        <f ca="1">_xll.CampagnaOutputPercentile(AP67,$D$86)</f>
        <v>0</v>
      </c>
      <c r="AQ89" s="26">
        <f ca="1">_xll.CampagnaOutputPercentile(AQ67,$D$86)</f>
        <v>0</v>
      </c>
      <c r="AR89" s="26">
        <f ca="1">_xll.CampagnaOutputPercentile(AR67,$D$86)</f>
        <v>0</v>
      </c>
      <c r="AS89" s="26">
        <f ca="1">_xll.CampagnaOutputPercentile(AS67,$D$86)</f>
        <v>0</v>
      </c>
      <c r="AT89" s="26">
        <f ca="1">_xll.CampagnaOutputPercentile(AT67,$D$86)</f>
        <v>0</v>
      </c>
      <c r="AU89" s="26">
        <f ca="1">_xll.CampagnaOutputPercentile(AU67,$D$86)</f>
        <v>0</v>
      </c>
      <c r="AV89" s="26">
        <f ca="1">_xll.CampagnaOutputPercentile(AV67,$D$86)</f>
        <v>0</v>
      </c>
      <c r="AW89" s="26">
        <f ca="1">_xll.CampagnaOutputPercentile(AW67,$D$86)</f>
        <v>0</v>
      </c>
      <c r="AX89" s="26">
        <f ca="1">_xll.CampagnaOutputPercentile(AX67,$D$86)</f>
        <v>0</v>
      </c>
      <c r="AY89" s="26">
        <f ca="1">_xll.CampagnaOutputPercentile(AY67,$D$86)</f>
        <v>0</v>
      </c>
      <c r="AZ89" s="26">
        <f ca="1">_xll.CampagnaOutputPercentile(AZ67,$D$86)</f>
        <v>0</v>
      </c>
      <c r="BA89" s="26">
        <f ca="1">_xll.CampagnaOutputPercentile(BA67,$D$86)</f>
        <v>0</v>
      </c>
      <c r="BB89" s="26">
        <f ca="1">_xll.CampagnaOutputPercentile(BB67,$D$86)</f>
        <v>0</v>
      </c>
      <c r="BC89" s="26">
        <f ca="1">_xll.CampagnaOutputPercentile(BC67,$D$86)</f>
        <v>0</v>
      </c>
      <c r="BD89" s="26">
        <f ca="1">_xll.CampagnaOutputPercentile(BD67,$D$86)</f>
        <v>0</v>
      </c>
      <c r="BE89" s="26">
        <f ca="1">_xll.CampagnaOutputPercentile(BE67,$D$86)</f>
        <v>0</v>
      </c>
      <c r="BF89" s="26">
        <f ca="1">_xll.CampagnaOutputPercentile(BF67,$D$86)</f>
        <v>0</v>
      </c>
      <c r="BG89" s="26">
        <f ca="1">_xll.CampagnaOutputPercentile(BG67,$D$86)</f>
        <v>0</v>
      </c>
      <c r="BH89" s="26">
        <f ca="1">_xll.CampagnaOutputPercentile(BH67,$D$86)</f>
        <v>0</v>
      </c>
      <c r="BI89" s="26">
        <f ca="1">_xll.CampagnaOutputPercentile(BI67,$D$86)</f>
        <v>0</v>
      </c>
      <c r="BJ89" s="26">
        <f ca="1">_xll.CampagnaOutputPercentile(BJ67,$D$86)</f>
        <v>0</v>
      </c>
      <c r="BK89" s="26">
        <f ca="1">_xll.CampagnaOutputPercentile(BK67,$D$86)</f>
        <v>0</v>
      </c>
      <c r="BL89" s="26">
        <f ca="1">_xll.CampagnaOutputPercentile(BL67,$D$86)</f>
        <v>0</v>
      </c>
      <c r="BM89" s="26">
        <f ca="1">_xll.CampagnaOutputPercentile(BM67,$D$86)</f>
        <v>0</v>
      </c>
      <c r="BN89" s="26">
        <f ca="1">_xll.CampagnaOutputPercentile(BN67,$D$86)</f>
        <v>0</v>
      </c>
      <c r="BO89" s="26">
        <f ca="1">_xll.CampagnaOutputPercentile(BO67,$D$86)</f>
        <v>0</v>
      </c>
      <c r="BP89" s="26">
        <f ca="1">_xll.CampagnaOutputPercentile(BP67,$D$86)</f>
        <v>0</v>
      </c>
      <c r="BQ89" s="26">
        <f ca="1">_xll.CampagnaOutputPercentile(BQ67,$D$86)</f>
        <v>0</v>
      </c>
      <c r="BR89" s="26">
        <f ca="1">_xll.CampagnaOutputPercentile(BR67,$D$86)</f>
        <v>0</v>
      </c>
      <c r="BS89" s="26">
        <f ca="1">_xll.CampagnaOutputPercentile(BS67,$D$86)</f>
        <v>0</v>
      </c>
      <c r="BT89" s="26">
        <f ca="1">_xll.CampagnaOutputPercentile(BT67,$D$86)</f>
        <v>0</v>
      </c>
      <c r="BU89" s="26">
        <f ca="1">_xll.CampagnaOutputPercentile(BU67,$D$86)</f>
        <v>0</v>
      </c>
      <c r="BV89" s="26">
        <f ca="1">_xll.CampagnaOutputPercentile(BV67,$D$86)</f>
        <v>0</v>
      </c>
      <c r="BW89" s="26">
        <f ca="1">_xll.CampagnaOutputPercentile(BW67,$D$86)</f>
        <v>0</v>
      </c>
      <c r="BX89" s="26">
        <f ca="1">_xll.CampagnaOutputPercentile(BX67,$D$86)</f>
        <v>0</v>
      </c>
      <c r="BY89" s="26">
        <f ca="1">_xll.CampagnaOutputPercentile(BY67,$D$86)</f>
        <v>0</v>
      </c>
      <c r="BZ89" s="26">
        <f ca="1">_xll.CampagnaOutputPercentile(BZ67,$D$86)</f>
        <v>0</v>
      </c>
      <c r="CA89" s="26">
        <f ca="1">_xll.CampagnaOutputPercentile(CA67,$D$86)</f>
        <v>0</v>
      </c>
      <c r="CB89" s="26">
        <f ca="1">_xll.CampagnaOutputPercentile(CB67,$D$86)</f>
        <v>0</v>
      </c>
      <c r="CC89" s="26">
        <f ca="1">_xll.CampagnaOutputPercentile(CC67,$D$86)</f>
        <v>0</v>
      </c>
      <c r="CD89" s="26">
        <f ca="1">_xll.CampagnaOutputPercentile(CD67,$D$86)</f>
        <v>0</v>
      </c>
      <c r="CE89" s="26">
        <f ca="1">_xll.CampagnaOutputPercentile(CE67,$D$86)</f>
        <v>0</v>
      </c>
      <c r="CF89" s="26">
        <f ca="1">_xll.CampagnaOutputPercentile(CF67,$D$86)</f>
        <v>0</v>
      </c>
      <c r="CG89" s="26">
        <f ca="1">_xll.CampagnaOutputPercentile(CG67,$D$86)</f>
        <v>0</v>
      </c>
      <c r="CH89" s="26">
        <f ca="1">_xll.CampagnaOutputPercentile(CH67,$D$86)</f>
        <v>0</v>
      </c>
      <c r="CI89" s="26">
        <f ca="1">_xll.CampagnaOutputPercentile(CI67,$D$86)</f>
        <v>0</v>
      </c>
      <c r="CJ89" s="26">
        <f ca="1">_xll.CampagnaOutputPercentile(CJ67,$D$86)</f>
        <v>0</v>
      </c>
      <c r="CK89" s="26">
        <f ca="1">_xll.CampagnaOutputPercentile(CK67,$D$86)</f>
        <v>0</v>
      </c>
      <c r="CL89" s="26">
        <f ca="1">_xll.CampagnaOutputPercentile(CL67,$D$86)</f>
        <v>0</v>
      </c>
      <c r="CM89" s="26">
        <f ca="1">_xll.CampagnaOutputPercentile(CM67,$D$86)</f>
        <v>0</v>
      </c>
      <c r="CN89" s="26">
        <f ca="1">_xll.CampagnaOutputPercentile(CN67,$D$86)</f>
        <v>0</v>
      </c>
      <c r="CO89" s="26">
        <f ca="1">_xll.CampagnaOutputPercentile(CO67,$D$86)</f>
        <v>0</v>
      </c>
    </row>
    <row r="90" spans="3:93" x14ac:dyDescent="0.3">
      <c r="C90" s="6" t="str">
        <f>Lookups!C6</f>
        <v>Assessment</v>
      </c>
      <c r="D90" s="26">
        <f ca="1">_xll.CampagnaOutputPercentile(D68,$D$86)</f>
        <v>0</v>
      </c>
      <c r="E90" s="26">
        <f ca="1">_xll.CampagnaOutputPercentile(E68,$D$86)</f>
        <v>0</v>
      </c>
      <c r="F90" s="26">
        <f ca="1">_xll.CampagnaOutputPercentile(F68,$D$86)</f>
        <v>0</v>
      </c>
      <c r="G90" s="26">
        <f ca="1">_xll.CampagnaOutputPercentile(G68,$D$86)</f>
        <v>0</v>
      </c>
      <c r="H90" s="26">
        <f ca="1">_xll.CampagnaOutputPercentile(H68,$D$86)</f>
        <v>0</v>
      </c>
      <c r="I90" s="26">
        <f ca="1">_xll.CampagnaOutputPercentile(I68,$D$86)</f>
        <v>0</v>
      </c>
      <c r="J90" s="26">
        <f ca="1">_xll.CampagnaOutputPercentile(J68,$D$86)</f>
        <v>0</v>
      </c>
      <c r="K90" s="26">
        <f ca="1">_xll.CampagnaOutputPercentile(K68,$D$86)</f>
        <v>0</v>
      </c>
      <c r="L90" s="26">
        <f ca="1">_xll.CampagnaOutputPercentile(L68,$D$86)</f>
        <v>0</v>
      </c>
      <c r="M90" s="26">
        <f ca="1">_xll.CampagnaOutputPercentile(M68,$D$86)</f>
        <v>0</v>
      </c>
      <c r="N90" s="26">
        <f ca="1">_xll.CampagnaOutputPercentile(N68,$D$86)</f>
        <v>0</v>
      </c>
      <c r="O90" s="26">
        <f ca="1">_xll.CampagnaOutputPercentile(O68,$D$86)</f>
        <v>0</v>
      </c>
      <c r="P90" s="26">
        <f ca="1">_xll.CampagnaOutputPercentile(P68,$D$86)</f>
        <v>0</v>
      </c>
      <c r="Q90" s="26">
        <f ca="1">_xll.CampagnaOutputPercentile(Q68,$D$86)</f>
        <v>0</v>
      </c>
      <c r="R90" s="26">
        <f ca="1">_xll.CampagnaOutputPercentile(R68,$D$86)</f>
        <v>0</v>
      </c>
      <c r="S90" s="26">
        <f ca="1">_xll.CampagnaOutputPercentile(S68,$D$86)</f>
        <v>0</v>
      </c>
      <c r="T90" s="26">
        <f ca="1">_xll.CampagnaOutputPercentile(T68,$D$86)</f>
        <v>0</v>
      </c>
      <c r="U90" s="26">
        <f ca="1">_xll.CampagnaOutputPercentile(U68,$D$86)</f>
        <v>10596.887650000001</v>
      </c>
      <c r="V90" s="26">
        <f ca="1">_xll.CampagnaOutputPercentile(V68,$D$86)</f>
        <v>12996.887650000001</v>
      </c>
      <c r="W90" s="26">
        <f ca="1">_xll.CampagnaOutputPercentile(W68,$D$86)</f>
        <v>10596.887650000001</v>
      </c>
      <c r="X90" s="26">
        <f ca="1">_xll.CampagnaOutputPercentile(X68,$D$86)</f>
        <v>10596.887650000001</v>
      </c>
      <c r="Y90" s="26">
        <f ca="1">_xll.CampagnaOutputPercentile(Y68,$D$86)</f>
        <v>10596.887650000001</v>
      </c>
      <c r="Z90" s="26">
        <f ca="1">_xll.CampagnaOutputPercentile(Z68,$D$86)</f>
        <v>0</v>
      </c>
      <c r="AA90" s="26">
        <f ca="1">_xll.CampagnaOutputPercentile(AA68,$D$86)</f>
        <v>0</v>
      </c>
      <c r="AB90" s="26">
        <f ca="1">_xll.CampagnaOutputPercentile(AB68,$D$86)</f>
        <v>0</v>
      </c>
      <c r="AC90" s="26">
        <f ca="1">_xll.CampagnaOutputPercentile(AC68,$D$86)</f>
        <v>0</v>
      </c>
      <c r="AD90" s="26">
        <f ca="1">_xll.CampagnaOutputPercentile(AD68,$D$86)</f>
        <v>0</v>
      </c>
      <c r="AE90" s="26">
        <f ca="1">_xll.CampagnaOutputPercentile(AE68,$D$86)</f>
        <v>0</v>
      </c>
      <c r="AF90" s="26">
        <f ca="1">_xll.CampagnaOutputPercentile(AF68,$D$86)</f>
        <v>0</v>
      </c>
      <c r="AG90" s="26">
        <f ca="1">_xll.CampagnaOutputPercentile(AG68,$D$86)</f>
        <v>0</v>
      </c>
      <c r="AH90" s="26">
        <f ca="1">_xll.CampagnaOutputPercentile(AH68,$D$86)</f>
        <v>0</v>
      </c>
      <c r="AI90" s="26">
        <f ca="1">_xll.CampagnaOutputPercentile(AI68,$D$86)</f>
        <v>0</v>
      </c>
      <c r="AJ90" s="26">
        <f ca="1">_xll.CampagnaOutputPercentile(AJ68,$D$86)</f>
        <v>0</v>
      </c>
      <c r="AK90" s="26">
        <f ca="1">_xll.CampagnaOutputPercentile(AK68,$D$86)</f>
        <v>0</v>
      </c>
      <c r="AL90" s="26">
        <f ca="1">_xll.CampagnaOutputPercentile(AL68,$D$86)</f>
        <v>0</v>
      </c>
      <c r="AM90" s="26">
        <f ca="1">_xll.CampagnaOutputPercentile(AM68,$D$86)</f>
        <v>0</v>
      </c>
      <c r="AN90" s="26">
        <f ca="1">_xll.CampagnaOutputPercentile(AN68,$D$86)</f>
        <v>0</v>
      </c>
      <c r="AO90" s="26">
        <f ca="1">_xll.CampagnaOutputPercentile(AO68,$D$86)</f>
        <v>0</v>
      </c>
      <c r="AP90" s="26">
        <f ca="1">_xll.CampagnaOutputPercentile(AP68,$D$86)</f>
        <v>0</v>
      </c>
      <c r="AQ90" s="26">
        <f ca="1">_xll.CampagnaOutputPercentile(AQ68,$D$86)</f>
        <v>0</v>
      </c>
      <c r="AR90" s="26">
        <f ca="1">_xll.CampagnaOutputPercentile(AR68,$D$86)</f>
        <v>0</v>
      </c>
      <c r="AS90" s="26">
        <f ca="1">_xll.CampagnaOutputPercentile(AS68,$D$86)</f>
        <v>0</v>
      </c>
      <c r="AT90" s="26">
        <f ca="1">_xll.CampagnaOutputPercentile(AT68,$D$86)</f>
        <v>0</v>
      </c>
      <c r="AU90" s="26">
        <f ca="1">_xll.CampagnaOutputPercentile(AU68,$D$86)</f>
        <v>0</v>
      </c>
      <c r="AV90" s="26">
        <f ca="1">_xll.CampagnaOutputPercentile(AV68,$D$86)</f>
        <v>0</v>
      </c>
      <c r="AW90" s="26">
        <f ca="1">_xll.CampagnaOutputPercentile(AW68,$D$86)</f>
        <v>0</v>
      </c>
      <c r="AX90" s="26">
        <f ca="1">_xll.CampagnaOutputPercentile(AX68,$D$86)</f>
        <v>0</v>
      </c>
      <c r="AY90" s="26">
        <f ca="1">_xll.CampagnaOutputPercentile(AY68,$D$86)</f>
        <v>0</v>
      </c>
      <c r="AZ90" s="26">
        <f ca="1">_xll.CampagnaOutputPercentile(AZ68,$D$86)</f>
        <v>0</v>
      </c>
      <c r="BA90" s="26">
        <f ca="1">_xll.CampagnaOutputPercentile(BA68,$D$86)</f>
        <v>0</v>
      </c>
      <c r="BB90" s="26">
        <f ca="1">_xll.CampagnaOutputPercentile(BB68,$D$86)</f>
        <v>0</v>
      </c>
      <c r="BC90" s="26">
        <f ca="1">_xll.CampagnaOutputPercentile(BC68,$D$86)</f>
        <v>0</v>
      </c>
      <c r="BD90" s="26">
        <f ca="1">_xll.CampagnaOutputPercentile(BD68,$D$86)</f>
        <v>0</v>
      </c>
      <c r="BE90" s="26">
        <f ca="1">_xll.CampagnaOutputPercentile(BE68,$D$86)</f>
        <v>0</v>
      </c>
      <c r="BF90" s="26">
        <f ca="1">_xll.CampagnaOutputPercentile(BF68,$D$86)</f>
        <v>0</v>
      </c>
      <c r="BG90" s="26">
        <f ca="1">_xll.CampagnaOutputPercentile(BG68,$D$86)</f>
        <v>0</v>
      </c>
      <c r="BH90" s="26">
        <f ca="1">_xll.CampagnaOutputPercentile(BH68,$D$86)</f>
        <v>0</v>
      </c>
      <c r="BI90" s="26">
        <f ca="1">_xll.CampagnaOutputPercentile(BI68,$D$86)</f>
        <v>0</v>
      </c>
      <c r="BJ90" s="26">
        <f ca="1">_xll.CampagnaOutputPercentile(BJ68,$D$86)</f>
        <v>0</v>
      </c>
      <c r="BK90" s="26">
        <f ca="1">_xll.CampagnaOutputPercentile(BK68,$D$86)</f>
        <v>0</v>
      </c>
      <c r="BL90" s="26">
        <f ca="1">_xll.CampagnaOutputPercentile(BL68,$D$86)</f>
        <v>0</v>
      </c>
      <c r="BM90" s="26">
        <f ca="1">_xll.CampagnaOutputPercentile(BM68,$D$86)</f>
        <v>0</v>
      </c>
      <c r="BN90" s="26">
        <f ca="1">_xll.CampagnaOutputPercentile(BN68,$D$86)</f>
        <v>0</v>
      </c>
      <c r="BO90" s="26">
        <f ca="1">_xll.CampagnaOutputPercentile(BO68,$D$86)</f>
        <v>0</v>
      </c>
      <c r="BP90" s="26">
        <f ca="1">_xll.CampagnaOutputPercentile(BP68,$D$86)</f>
        <v>0</v>
      </c>
      <c r="BQ90" s="26">
        <f ca="1">_xll.CampagnaOutputPercentile(BQ68,$D$86)</f>
        <v>0</v>
      </c>
      <c r="BR90" s="26">
        <f ca="1">_xll.CampagnaOutputPercentile(BR68,$D$86)</f>
        <v>0</v>
      </c>
      <c r="BS90" s="26">
        <f ca="1">_xll.CampagnaOutputPercentile(BS68,$D$86)</f>
        <v>0</v>
      </c>
      <c r="BT90" s="26">
        <f ca="1">_xll.CampagnaOutputPercentile(BT68,$D$86)</f>
        <v>0</v>
      </c>
      <c r="BU90" s="26">
        <f ca="1">_xll.CampagnaOutputPercentile(BU68,$D$86)</f>
        <v>0</v>
      </c>
      <c r="BV90" s="26">
        <f ca="1">_xll.CampagnaOutputPercentile(BV68,$D$86)</f>
        <v>0</v>
      </c>
      <c r="BW90" s="26">
        <f ca="1">_xll.CampagnaOutputPercentile(BW68,$D$86)</f>
        <v>0</v>
      </c>
      <c r="BX90" s="26">
        <f ca="1">_xll.CampagnaOutputPercentile(BX68,$D$86)</f>
        <v>0</v>
      </c>
      <c r="BY90" s="26">
        <f ca="1">_xll.CampagnaOutputPercentile(BY68,$D$86)</f>
        <v>0</v>
      </c>
      <c r="BZ90" s="26">
        <f ca="1">_xll.CampagnaOutputPercentile(BZ68,$D$86)</f>
        <v>0</v>
      </c>
      <c r="CA90" s="26">
        <f ca="1">_xll.CampagnaOutputPercentile(CA68,$D$86)</f>
        <v>0</v>
      </c>
      <c r="CB90" s="26">
        <f ca="1">_xll.CampagnaOutputPercentile(CB68,$D$86)</f>
        <v>0</v>
      </c>
      <c r="CC90" s="26">
        <f ca="1">_xll.CampagnaOutputPercentile(CC68,$D$86)</f>
        <v>0</v>
      </c>
      <c r="CD90" s="26">
        <f ca="1">_xll.CampagnaOutputPercentile(CD68,$D$86)</f>
        <v>0</v>
      </c>
      <c r="CE90" s="26">
        <f ca="1">_xll.CampagnaOutputPercentile(CE68,$D$86)</f>
        <v>0</v>
      </c>
      <c r="CF90" s="26">
        <f ca="1">_xll.CampagnaOutputPercentile(CF68,$D$86)</f>
        <v>0</v>
      </c>
      <c r="CG90" s="26">
        <f ca="1">_xll.CampagnaOutputPercentile(CG68,$D$86)</f>
        <v>0</v>
      </c>
      <c r="CH90" s="26">
        <f ca="1">_xll.CampagnaOutputPercentile(CH68,$D$86)</f>
        <v>0</v>
      </c>
      <c r="CI90" s="26">
        <f ca="1">_xll.CampagnaOutputPercentile(CI68,$D$86)</f>
        <v>0</v>
      </c>
      <c r="CJ90" s="26">
        <f ca="1">_xll.CampagnaOutputPercentile(CJ68,$D$86)</f>
        <v>0</v>
      </c>
      <c r="CK90" s="26">
        <f ca="1">_xll.CampagnaOutputPercentile(CK68,$D$86)</f>
        <v>0</v>
      </c>
      <c r="CL90" s="26">
        <f ca="1">_xll.CampagnaOutputPercentile(CL68,$D$86)</f>
        <v>0</v>
      </c>
      <c r="CM90" s="26">
        <f ca="1">_xll.CampagnaOutputPercentile(CM68,$D$86)</f>
        <v>0</v>
      </c>
      <c r="CN90" s="26">
        <f ca="1">_xll.CampagnaOutputPercentile(CN68,$D$86)</f>
        <v>0</v>
      </c>
      <c r="CO90" s="26">
        <f ca="1">_xll.CampagnaOutputPercentile(CO68,$D$86)</f>
        <v>0</v>
      </c>
    </row>
    <row r="91" spans="3:93" x14ac:dyDescent="0.3">
      <c r="C91" s="6" t="str">
        <f>Lookups!C7</f>
        <v>Design</v>
      </c>
      <c r="D91" s="26">
        <f ca="1">_xll.CampagnaOutputPercentile(D69,$D$86)</f>
        <v>0</v>
      </c>
      <c r="E91" s="26">
        <f ca="1">_xll.CampagnaOutputPercentile(E69,$D$86)</f>
        <v>0</v>
      </c>
      <c r="F91" s="26">
        <f ca="1">_xll.CampagnaOutputPercentile(F69,$D$86)</f>
        <v>0</v>
      </c>
      <c r="G91" s="26">
        <f ca="1">_xll.CampagnaOutputPercentile(G69,$D$86)</f>
        <v>0</v>
      </c>
      <c r="H91" s="26">
        <f ca="1">_xll.CampagnaOutputPercentile(H69,$D$86)</f>
        <v>0</v>
      </c>
      <c r="I91" s="26">
        <f ca="1">_xll.CampagnaOutputPercentile(I69,$D$86)</f>
        <v>0</v>
      </c>
      <c r="J91" s="26">
        <f ca="1">_xll.CampagnaOutputPercentile(J69,$D$86)</f>
        <v>0</v>
      </c>
      <c r="K91" s="26">
        <f ca="1">_xll.CampagnaOutputPercentile(K69,$D$86)</f>
        <v>0</v>
      </c>
      <c r="L91" s="26">
        <f ca="1">_xll.CampagnaOutputPercentile(L69,$D$86)</f>
        <v>0</v>
      </c>
      <c r="M91" s="26">
        <f ca="1">_xll.CampagnaOutputPercentile(M69,$D$86)</f>
        <v>0</v>
      </c>
      <c r="N91" s="26">
        <f ca="1">_xll.CampagnaOutputPercentile(N69,$D$86)</f>
        <v>0</v>
      </c>
      <c r="O91" s="26">
        <f ca="1">_xll.CampagnaOutputPercentile(O69,$D$86)</f>
        <v>0</v>
      </c>
      <c r="P91" s="26">
        <f ca="1">_xll.CampagnaOutputPercentile(P69,$D$86)</f>
        <v>0</v>
      </c>
      <c r="Q91" s="26">
        <f ca="1">_xll.CampagnaOutputPercentile(Q69,$D$86)</f>
        <v>0</v>
      </c>
      <c r="R91" s="26">
        <f ca="1">_xll.CampagnaOutputPercentile(R69,$D$86)</f>
        <v>0</v>
      </c>
      <c r="S91" s="26">
        <f ca="1">_xll.CampagnaOutputPercentile(S69,$D$86)</f>
        <v>0</v>
      </c>
      <c r="T91" s="26">
        <f ca="1">_xll.CampagnaOutputPercentile(T69,$D$86)</f>
        <v>0</v>
      </c>
      <c r="U91" s="26">
        <f ca="1">_xll.CampagnaOutputPercentile(U69,$D$86)</f>
        <v>15688.686399999999</v>
      </c>
      <c r="V91" s="26">
        <f ca="1">_xll.CampagnaOutputPercentile(V69,$D$86)</f>
        <v>15688.686399999999</v>
      </c>
      <c r="W91" s="26">
        <f ca="1">_xll.CampagnaOutputPercentile(W69,$D$86)</f>
        <v>18088.686399999999</v>
      </c>
      <c r="X91" s="26">
        <f ca="1">_xll.CampagnaOutputPercentile(X69,$D$86)</f>
        <v>15688.686399999999</v>
      </c>
      <c r="Y91" s="26">
        <f ca="1">_xll.CampagnaOutputPercentile(Y69,$D$86)</f>
        <v>15688.686399999999</v>
      </c>
      <c r="Z91" s="26">
        <f ca="1">_xll.CampagnaOutputPercentile(Z69,$D$86)</f>
        <v>0</v>
      </c>
      <c r="AA91" s="26">
        <f ca="1">_xll.CampagnaOutputPercentile(AA69,$D$86)</f>
        <v>0</v>
      </c>
      <c r="AB91" s="26">
        <f ca="1">_xll.CampagnaOutputPercentile(AB69,$D$86)</f>
        <v>0</v>
      </c>
      <c r="AC91" s="26">
        <f ca="1">_xll.CampagnaOutputPercentile(AC69,$D$86)</f>
        <v>0</v>
      </c>
      <c r="AD91" s="26">
        <f ca="1">_xll.CampagnaOutputPercentile(AD69,$D$86)</f>
        <v>0</v>
      </c>
      <c r="AE91" s="26">
        <f ca="1">_xll.CampagnaOutputPercentile(AE69,$D$86)</f>
        <v>0</v>
      </c>
      <c r="AF91" s="26">
        <f ca="1">_xll.CampagnaOutputPercentile(AF69,$D$86)</f>
        <v>0</v>
      </c>
      <c r="AG91" s="26">
        <f ca="1">_xll.CampagnaOutputPercentile(AG69,$D$86)</f>
        <v>0</v>
      </c>
      <c r="AH91" s="26">
        <f ca="1">_xll.CampagnaOutputPercentile(AH69,$D$86)</f>
        <v>0</v>
      </c>
      <c r="AI91" s="26">
        <f ca="1">_xll.CampagnaOutputPercentile(AI69,$D$86)</f>
        <v>0</v>
      </c>
      <c r="AJ91" s="26">
        <f ca="1">_xll.CampagnaOutputPercentile(AJ69,$D$86)</f>
        <v>0</v>
      </c>
      <c r="AK91" s="26">
        <f ca="1">_xll.CampagnaOutputPercentile(AK69,$D$86)</f>
        <v>0</v>
      </c>
      <c r="AL91" s="26">
        <f ca="1">_xll.CampagnaOutputPercentile(AL69,$D$86)</f>
        <v>0</v>
      </c>
      <c r="AM91" s="26">
        <f ca="1">_xll.CampagnaOutputPercentile(AM69,$D$86)</f>
        <v>0</v>
      </c>
      <c r="AN91" s="26">
        <f ca="1">_xll.CampagnaOutputPercentile(AN69,$D$86)</f>
        <v>0</v>
      </c>
      <c r="AO91" s="26">
        <f ca="1">_xll.CampagnaOutputPercentile(AO69,$D$86)</f>
        <v>0</v>
      </c>
      <c r="AP91" s="26">
        <f ca="1">_xll.CampagnaOutputPercentile(AP69,$D$86)</f>
        <v>0</v>
      </c>
      <c r="AQ91" s="26">
        <f ca="1">_xll.CampagnaOutputPercentile(AQ69,$D$86)</f>
        <v>0</v>
      </c>
      <c r="AR91" s="26">
        <f ca="1">_xll.CampagnaOutputPercentile(AR69,$D$86)</f>
        <v>0</v>
      </c>
      <c r="AS91" s="26">
        <f ca="1">_xll.CampagnaOutputPercentile(AS69,$D$86)</f>
        <v>0</v>
      </c>
      <c r="AT91" s="26">
        <f ca="1">_xll.CampagnaOutputPercentile(AT69,$D$86)</f>
        <v>0</v>
      </c>
      <c r="AU91" s="26">
        <f ca="1">_xll.CampagnaOutputPercentile(AU69,$D$86)</f>
        <v>0</v>
      </c>
      <c r="AV91" s="26">
        <f ca="1">_xll.CampagnaOutputPercentile(AV69,$D$86)</f>
        <v>0</v>
      </c>
      <c r="AW91" s="26">
        <f ca="1">_xll.CampagnaOutputPercentile(AW69,$D$86)</f>
        <v>0</v>
      </c>
      <c r="AX91" s="26">
        <f ca="1">_xll.CampagnaOutputPercentile(AX69,$D$86)</f>
        <v>0</v>
      </c>
      <c r="AY91" s="26">
        <f ca="1">_xll.CampagnaOutputPercentile(AY69,$D$86)</f>
        <v>0</v>
      </c>
      <c r="AZ91" s="26">
        <f ca="1">_xll.CampagnaOutputPercentile(AZ69,$D$86)</f>
        <v>0</v>
      </c>
      <c r="BA91" s="26">
        <f ca="1">_xll.CampagnaOutputPercentile(BA69,$D$86)</f>
        <v>0</v>
      </c>
      <c r="BB91" s="26">
        <f ca="1">_xll.CampagnaOutputPercentile(BB69,$D$86)</f>
        <v>0</v>
      </c>
      <c r="BC91" s="26">
        <f ca="1">_xll.CampagnaOutputPercentile(BC69,$D$86)</f>
        <v>0</v>
      </c>
      <c r="BD91" s="26">
        <f ca="1">_xll.CampagnaOutputPercentile(BD69,$D$86)</f>
        <v>0</v>
      </c>
      <c r="BE91" s="26">
        <f ca="1">_xll.CampagnaOutputPercentile(BE69,$D$86)</f>
        <v>0</v>
      </c>
      <c r="BF91" s="26">
        <f ca="1">_xll.CampagnaOutputPercentile(BF69,$D$86)</f>
        <v>0</v>
      </c>
      <c r="BG91" s="26">
        <f ca="1">_xll.CampagnaOutputPercentile(BG69,$D$86)</f>
        <v>0</v>
      </c>
      <c r="BH91" s="26">
        <f ca="1">_xll.CampagnaOutputPercentile(BH69,$D$86)</f>
        <v>0</v>
      </c>
      <c r="BI91" s="26">
        <f ca="1">_xll.CampagnaOutputPercentile(BI69,$D$86)</f>
        <v>0</v>
      </c>
      <c r="BJ91" s="26">
        <f ca="1">_xll.CampagnaOutputPercentile(BJ69,$D$86)</f>
        <v>0</v>
      </c>
      <c r="BK91" s="26">
        <f ca="1">_xll.CampagnaOutputPercentile(BK69,$D$86)</f>
        <v>0</v>
      </c>
      <c r="BL91" s="26">
        <f ca="1">_xll.CampagnaOutputPercentile(BL69,$D$86)</f>
        <v>0</v>
      </c>
      <c r="BM91" s="26">
        <f ca="1">_xll.CampagnaOutputPercentile(BM69,$D$86)</f>
        <v>0</v>
      </c>
      <c r="BN91" s="26">
        <f ca="1">_xll.CampagnaOutputPercentile(BN69,$D$86)</f>
        <v>0</v>
      </c>
      <c r="BO91" s="26">
        <f ca="1">_xll.CampagnaOutputPercentile(BO69,$D$86)</f>
        <v>0</v>
      </c>
      <c r="BP91" s="26">
        <f ca="1">_xll.CampagnaOutputPercentile(BP69,$D$86)</f>
        <v>0</v>
      </c>
      <c r="BQ91" s="26">
        <f ca="1">_xll.CampagnaOutputPercentile(BQ69,$D$86)</f>
        <v>0</v>
      </c>
      <c r="BR91" s="26">
        <f ca="1">_xll.CampagnaOutputPercentile(BR69,$D$86)</f>
        <v>0</v>
      </c>
      <c r="BS91" s="26">
        <f ca="1">_xll.CampagnaOutputPercentile(BS69,$D$86)</f>
        <v>0</v>
      </c>
      <c r="BT91" s="26">
        <f ca="1">_xll.CampagnaOutputPercentile(BT69,$D$86)</f>
        <v>0</v>
      </c>
      <c r="BU91" s="26">
        <f ca="1">_xll.CampagnaOutputPercentile(BU69,$D$86)</f>
        <v>0</v>
      </c>
      <c r="BV91" s="26">
        <f ca="1">_xll.CampagnaOutputPercentile(BV69,$D$86)</f>
        <v>0</v>
      </c>
      <c r="BW91" s="26">
        <f ca="1">_xll.CampagnaOutputPercentile(BW69,$D$86)</f>
        <v>0</v>
      </c>
      <c r="BX91" s="26">
        <f ca="1">_xll.CampagnaOutputPercentile(BX69,$D$86)</f>
        <v>0</v>
      </c>
      <c r="BY91" s="26">
        <f ca="1">_xll.CampagnaOutputPercentile(BY69,$D$86)</f>
        <v>0</v>
      </c>
      <c r="BZ91" s="26">
        <f ca="1">_xll.CampagnaOutputPercentile(BZ69,$D$86)</f>
        <v>0</v>
      </c>
      <c r="CA91" s="26">
        <f ca="1">_xll.CampagnaOutputPercentile(CA69,$D$86)</f>
        <v>0</v>
      </c>
      <c r="CB91" s="26">
        <f ca="1">_xll.CampagnaOutputPercentile(CB69,$D$86)</f>
        <v>0</v>
      </c>
      <c r="CC91" s="26">
        <f ca="1">_xll.CampagnaOutputPercentile(CC69,$D$86)</f>
        <v>0</v>
      </c>
      <c r="CD91" s="26">
        <f ca="1">_xll.CampagnaOutputPercentile(CD69,$D$86)</f>
        <v>0</v>
      </c>
      <c r="CE91" s="26">
        <f ca="1">_xll.CampagnaOutputPercentile(CE69,$D$86)</f>
        <v>0</v>
      </c>
      <c r="CF91" s="26">
        <f ca="1">_xll.CampagnaOutputPercentile(CF69,$D$86)</f>
        <v>0</v>
      </c>
      <c r="CG91" s="26">
        <f ca="1">_xll.CampagnaOutputPercentile(CG69,$D$86)</f>
        <v>0</v>
      </c>
      <c r="CH91" s="26">
        <f ca="1">_xll.CampagnaOutputPercentile(CH69,$D$86)</f>
        <v>0</v>
      </c>
      <c r="CI91" s="26">
        <f ca="1">_xll.CampagnaOutputPercentile(CI69,$D$86)</f>
        <v>0</v>
      </c>
      <c r="CJ91" s="26">
        <f ca="1">_xll.CampagnaOutputPercentile(CJ69,$D$86)</f>
        <v>0</v>
      </c>
      <c r="CK91" s="26">
        <f ca="1">_xll.CampagnaOutputPercentile(CK69,$D$86)</f>
        <v>0</v>
      </c>
      <c r="CL91" s="26">
        <f ca="1">_xll.CampagnaOutputPercentile(CL69,$D$86)</f>
        <v>0</v>
      </c>
      <c r="CM91" s="26">
        <f ca="1">_xll.CampagnaOutputPercentile(CM69,$D$86)</f>
        <v>0</v>
      </c>
      <c r="CN91" s="26">
        <f ca="1">_xll.CampagnaOutputPercentile(CN69,$D$86)</f>
        <v>0</v>
      </c>
      <c r="CO91" s="26">
        <f ca="1">_xll.CampagnaOutputPercentile(CO69,$D$86)</f>
        <v>0</v>
      </c>
    </row>
    <row r="92" spans="3:93" x14ac:dyDescent="0.3">
      <c r="C92" s="6" t="str">
        <f>Lookups!C8</f>
        <v>Manufacture</v>
      </c>
      <c r="D92" s="26">
        <f ca="1">_xll.CampagnaOutputPercentile(D70,$D$86)</f>
        <v>0</v>
      </c>
      <c r="E92" s="26">
        <f ca="1">_xll.CampagnaOutputPercentile(E70,$D$86)</f>
        <v>0</v>
      </c>
      <c r="F92" s="26">
        <f ca="1">_xll.CampagnaOutputPercentile(F70,$D$86)</f>
        <v>0</v>
      </c>
      <c r="G92" s="26">
        <f ca="1">_xll.CampagnaOutputPercentile(G70,$D$86)</f>
        <v>0</v>
      </c>
      <c r="H92" s="26">
        <f ca="1">_xll.CampagnaOutputPercentile(H70,$D$86)</f>
        <v>0</v>
      </c>
      <c r="I92" s="26">
        <f ca="1">_xll.CampagnaOutputPercentile(I70,$D$86)</f>
        <v>0</v>
      </c>
      <c r="J92" s="26">
        <f ca="1">_xll.CampagnaOutputPercentile(J70,$D$86)</f>
        <v>0</v>
      </c>
      <c r="K92" s="26">
        <f ca="1">_xll.CampagnaOutputPercentile(K70,$D$86)</f>
        <v>0</v>
      </c>
      <c r="L92" s="26">
        <f ca="1">_xll.CampagnaOutputPercentile(L70,$D$86)</f>
        <v>0</v>
      </c>
      <c r="M92" s="26">
        <f ca="1">_xll.CampagnaOutputPercentile(M70,$D$86)</f>
        <v>0</v>
      </c>
      <c r="N92" s="26">
        <f ca="1">_xll.CampagnaOutputPercentile(N70,$D$86)</f>
        <v>0</v>
      </c>
      <c r="O92" s="26">
        <f ca="1">_xll.CampagnaOutputPercentile(O70,$D$86)</f>
        <v>0</v>
      </c>
      <c r="P92" s="26">
        <f ca="1">_xll.CampagnaOutputPercentile(P70,$D$86)</f>
        <v>0</v>
      </c>
      <c r="Q92" s="26">
        <f ca="1">_xll.CampagnaOutputPercentile(Q70,$D$86)</f>
        <v>0</v>
      </c>
      <c r="R92" s="26">
        <f ca="1">_xll.CampagnaOutputPercentile(R70,$D$86)</f>
        <v>0</v>
      </c>
      <c r="S92" s="26">
        <f ca="1">_xll.CampagnaOutputPercentile(S70,$D$86)</f>
        <v>0</v>
      </c>
      <c r="T92" s="26">
        <f ca="1">_xll.CampagnaOutputPercentile(T70,$D$86)</f>
        <v>0</v>
      </c>
      <c r="U92" s="26">
        <f ca="1">_xll.CampagnaOutputPercentile(U70,$D$86)</f>
        <v>0</v>
      </c>
      <c r="V92" s="26">
        <f ca="1">_xll.CampagnaOutputPercentile(V70,$D$86)</f>
        <v>0</v>
      </c>
      <c r="W92" s="26">
        <f ca="1">_xll.CampagnaOutputPercentile(W70,$D$86)</f>
        <v>0</v>
      </c>
      <c r="X92" s="26">
        <f ca="1">_xll.CampagnaOutputPercentile(X70,$D$86)</f>
        <v>2400</v>
      </c>
      <c r="Y92" s="26">
        <f ca="1">_xll.CampagnaOutputPercentile(Y70,$D$86)</f>
        <v>0</v>
      </c>
      <c r="Z92" s="26">
        <f ca="1">_xll.CampagnaOutputPercentile(Z70,$D$86)</f>
        <v>0</v>
      </c>
      <c r="AA92" s="26">
        <f ca="1">_xll.CampagnaOutputPercentile(AA70,$D$86)</f>
        <v>0</v>
      </c>
      <c r="AB92" s="26">
        <f ca="1">_xll.CampagnaOutputPercentile(AB70,$D$86)</f>
        <v>0</v>
      </c>
      <c r="AC92" s="26">
        <f ca="1">_xll.CampagnaOutputPercentile(AC70,$D$86)</f>
        <v>0</v>
      </c>
      <c r="AD92" s="26">
        <f ca="1">_xll.CampagnaOutputPercentile(AD70,$D$86)</f>
        <v>0</v>
      </c>
      <c r="AE92" s="26">
        <f ca="1">_xll.CampagnaOutputPercentile(AE70,$D$86)</f>
        <v>0</v>
      </c>
      <c r="AF92" s="26">
        <f ca="1">_xll.CampagnaOutputPercentile(AF70,$D$86)</f>
        <v>0</v>
      </c>
      <c r="AG92" s="26">
        <f ca="1">_xll.CampagnaOutputPercentile(AG70,$D$86)</f>
        <v>0</v>
      </c>
      <c r="AH92" s="26">
        <f ca="1">_xll.CampagnaOutputPercentile(AH70,$D$86)</f>
        <v>0</v>
      </c>
      <c r="AI92" s="26">
        <f ca="1">_xll.CampagnaOutputPercentile(AI70,$D$86)</f>
        <v>0</v>
      </c>
      <c r="AJ92" s="26">
        <f ca="1">_xll.CampagnaOutputPercentile(AJ70,$D$86)</f>
        <v>0</v>
      </c>
      <c r="AK92" s="26">
        <f ca="1">_xll.CampagnaOutputPercentile(AK70,$D$86)</f>
        <v>0</v>
      </c>
      <c r="AL92" s="26">
        <f ca="1">_xll.CampagnaOutputPercentile(AL70,$D$86)</f>
        <v>0</v>
      </c>
      <c r="AM92" s="26">
        <f ca="1">_xll.CampagnaOutputPercentile(AM70,$D$86)</f>
        <v>0</v>
      </c>
      <c r="AN92" s="26">
        <f ca="1">_xll.CampagnaOutputPercentile(AN70,$D$86)</f>
        <v>0</v>
      </c>
      <c r="AO92" s="26">
        <f ca="1">_xll.CampagnaOutputPercentile(AO70,$D$86)</f>
        <v>0</v>
      </c>
      <c r="AP92" s="26">
        <f ca="1">_xll.CampagnaOutputPercentile(AP70,$D$86)</f>
        <v>0</v>
      </c>
      <c r="AQ92" s="26">
        <f ca="1">_xll.CampagnaOutputPercentile(AQ70,$D$86)</f>
        <v>0</v>
      </c>
      <c r="AR92" s="26">
        <f ca="1">_xll.CampagnaOutputPercentile(AR70,$D$86)</f>
        <v>0</v>
      </c>
      <c r="AS92" s="26">
        <f ca="1">_xll.CampagnaOutputPercentile(AS70,$D$86)</f>
        <v>0</v>
      </c>
      <c r="AT92" s="26">
        <f ca="1">_xll.CampagnaOutputPercentile(AT70,$D$86)</f>
        <v>0</v>
      </c>
      <c r="AU92" s="26">
        <f ca="1">_xll.CampagnaOutputPercentile(AU70,$D$86)</f>
        <v>0</v>
      </c>
      <c r="AV92" s="26">
        <f ca="1">_xll.CampagnaOutputPercentile(AV70,$D$86)</f>
        <v>0</v>
      </c>
      <c r="AW92" s="26">
        <f ca="1">_xll.CampagnaOutputPercentile(AW70,$D$86)</f>
        <v>0</v>
      </c>
      <c r="AX92" s="26">
        <f ca="1">_xll.CampagnaOutputPercentile(AX70,$D$86)</f>
        <v>0</v>
      </c>
      <c r="AY92" s="26">
        <f ca="1">_xll.CampagnaOutputPercentile(AY70,$D$86)</f>
        <v>0</v>
      </c>
      <c r="AZ92" s="26">
        <f ca="1">_xll.CampagnaOutputPercentile(AZ70,$D$86)</f>
        <v>0</v>
      </c>
      <c r="BA92" s="26">
        <f ca="1">_xll.CampagnaOutputPercentile(BA70,$D$86)</f>
        <v>0</v>
      </c>
      <c r="BB92" s="26">
        <f ca="1">_xll.CampagnaOutputPercentile(BB70,$D$86)</f>
        <v>0</v>
      </c>
      <c r="BC92" s="26">
        <f ca="1">_xll.CampagnaOutputPercentile(BC70,$D$86)</f>
        <v>0</v>
      </c>
      <c r="BD92" s="26">
        <f ca="1">_xll.CampagnaOutputPercentile(BD70,$D$86)</f>
        <v>0</v>
      </c>
      <c r="BE92" s="26">
        <f ca="1">_xll.CampagnaOutputPercentile(BE70,$D$86)</f>
        <v>0</v>
      </c>
      <c r="BF92" s="26">
        <f ca="1">_xll.CampagnaOutputPercentile(BF70,$D$86)</f>
        <v>0</v>
      </c>
      <c r="BG92" s="26">
        <f ca="1">_xll.CampagnaOutputPercentile(BG70,$D$86)</f>
        <v>0</v>
      </c>
      <c r="BH92" s="26">
        <f ca="1">_xll.CampagnaOutputPercentile(BH70,$D$86)</f>
        <v>0</v>
      </c>
      <c r="BI92" s="26">
        <f ca="1">_xll.CampagnaOutputPercentile(BI70,$D$86)</f>
        <v>0</v>
      </c>
      <c r="BJ92" s="26">
        <f ca="1">_xll.CampagnaOutputPercentile(BJ70,$D$86)</f>
        <v>0</v>
      </c>
      <c r="BK92" s="26">
        <f ca="1">_xll.CampagnaOutputPercentile(BK70,$D$86)</f>
        <v>0</v>
      </c>
      <c r="BL92" s="26">
        <f ca="1">_xll.CampagnaOutputPercentile(BL70,$D$86)</f>
        <v>0</v>
      </c>
      <c r="BM92" s="26">
        <f ca="1">_xll.CampagnaOutputPercentile(BM70,$D$86)</f>
        <v>0</v>
      </c>
      <c r="BN92" s="26">
        <f ca="1">_xll.CampagnaOutputPercentile(BN70,$D$86)</f>
        <v>0</v>
      </c>
      <c r="BO92" s="26">
        <f ca="1">_xll.CampagnaOutputPercentile(BO70,$D$86)</f>
        <v>0</v>
      </c>
      <c r="BP92" s="26">
        <f ca="1">_xll.CampagnaOutputPercentile(BP70,$D$86)</f>
        <v>0</v>
      </c>
      <c r="BQ92" s="26">
        <f ca="1">_xll.CampagnaOutputPercentile(BQ70,$D$86)</f>
        <v>0</v>
      </c>
      <c r="BR92" s="26">
        <f ca="1">_xll.CampagnaOutputPercentile(BR70,$D$86)</f>
        <v>0</v>
      </c>
      <c r="BS92" s="26">
        <f ca="1">_xll.CampagnaOutputPercentile(BS70,$D$86)</f>
        <v>0</v>
      </c>
      <c r="BT92" s="26">
        <f ca="1">_xll.CampagnaOutputPercentile(BT70,$D$86)</f>
        <v>0</v>
      </c>
      <c r="BU92" s="26">
        <f ca="1">_xll.CampagnaOutputPercentile(BU70,$D$86)</f>
        <v>0</v>
      </c>
      <c r="BV92" s="26">
        <f ca="1">_xll.CampagnaOutputPercentile(BV70,$D$86)</f>
        <v>0</v>
      </c>
      <c r="BW92" s="26">
        <f ca="1">_xll.CampagnaOutputPercentile(BW70,$D$86)</f>
        <v>0</v>
      </c>
      <c r="BX92" s="26">
        <f ca="1">_xll.CampagnaOutputPercentile(BX70,$D$86)</f>
        <v>0</v>
      </c>
      <c r="BY92" s="26">
        <f ca="1">_xll.CampagnaOutputPercentile(BY70,$D$86)</f>
        <v>0</v>
      </c>
      <c r="BZ92" s="26">
        <f ca="1">_xll.CampagnaOutputPercentile(BZ70,$D$86)</f>
        <v>0</v>
      </c>
      <c r="CA92" s="26">
        <f ca="1">_xll.CampagnaOutputPercentile(CA70,$D$86)</f>
        <v>0</v>
      </c>
      <c r="CB92" s="26">
        <f ca="1">_xll.CampagnaOutputPercentile(CB70,$D$86)</f>
        <v>0</v>
      </c>
      <c r="CC92" s="26">
        <f ca="1">_xll.CampagnaOutputPercentile(CC70,$D$86)</f>
        <v>0</v>
      </c>
      <c r="CD92" s="26">
        <f ca="1">_xll.CampagnaOutputPercentile(CD70,$D$86)</f>
        <v>0</v>
      </c>
      <c r="CE92" s="26">
        <f ca="1">_xll.CampagnaOutputPercentile(CE70,$D$86)</f>
        <v>0</v>
      </c>
      <c r="CF92" s="26">
        <f ca="1">_xll.CampagnaOutputPercentile(CF70,$D$86)</f>
        <v>0</v>
      </c>
      <c r="CG92" s="26">
        <f ca="1">_xll.CampagnaOutputPercentile(CG70,$D$86)</f>
        <v>0</v>
      </c>
      <c r="CH92" s="26">
        <f ca="1">_xll.CampagnaOutputPercentile(CH70,$D$86)</f>
        <v>0</v>
      </c>
      <c r="CI92" s="26">
        <f ca="1">_xll.CampagnaOutputPercentile(CI70,$D$86)</f>
        <v>0</v>
      </c>
      <c r="CJ92" s="26">
        <f ca="1">_xll.CampagnaOutputPercentile(CJ70,$D$86)</f>
        <v>0</v>
      </c>
      <c r="CK92" s="26">
        <f ca="1">_xll.CampagnaOutputPercentile(CK70,$D$86)</f>
        <v>0</v>
      </c>
      <c r="CL92" s="26">
        <f ca="1">_xll.CampagnaOutputPercentile(CL70,$D$86)</f>
        <v>0</v>
      </c>
      <c r="CM92" s="26">
        <f ca="1">_xll.CampagnaOutputPercentile(CM70,$D$86)</f>
        <v>0</v>
      </c>
      <c r="CN92" s="26">
        <f ca="1">_xll.CampagnaOutputPercentile(CN70,$D$86)</f>
        <v>0</v>
      </c>
      <c r="CO92" s="26">
        <f ca="1">_xll.CampagnaOutputPercentile(CO70,$D$86)</f>
        <v>0</v>
      </c>
    </row>
    <row r="93" spans="3:93" x14ac:dyDescent="0.3">
      <c r="C93" s="6" t="str">
        <f>Lookups!C9</f>
        <v>In-Service</v>
      </c>
      <c r="D93" s="26">
        <f ca="1">_xll.CampagnaOutputPercentile(D71,$D$86)</f>
        <v>0</v>
      </c>
      <c r="E93" s="26">
        <f ca="1">_xll.CampagnaOutputPercentile(E71,$D$86)</f>
        <v>0</v>
      </c>
      <c r="F93" s="26">
        <f ca="1">_xll.CampagnaOutputPercentile(F71,$D$86)</f>
        <v>0</v>
      </c>
      <c r="G93" s="26">
        <f ca="1">_xll.CampagnaOutputPercentile(G71,$D$86)</f>
        <v>0</v>
      </c>
      <c r="H93" s="26">
        <f ca="1">_xll.CampagnaOutputPercentile(H71,$D$86)</f>
        <v>0</v>
      </c>
      <c r="I93" s="26">
        <f ca="1">_xll.CampagnaOutputPercentile(I71,$D$86)</f>
        <v>0</v>
      </c>
      <c r="J93" s="26">
        <f ca="1">_xll.CampagnaOutputPercentile(J71,$D$86)</f>
        <v>0</v>
      </c>
      <c r="K93" s="26">
        <f ca="1">_xll.CampagnaOutputPercentile(K71,$D$86)</f>
        <v>0</v>
      </c>
      <c r="L93" s="26">
        <f ca="1">_xll.CampagnaOutputPercentile(L71,$D$86)</f>
        <v>0</v>
      </c>
      <c r="M93" s="26">
        <f ca="1">_xll.CampagnaOutputPercentile(M71,$D$86)</f>
        <v>0</v>
      </c>
      <c r="N93" s="26">
        <f ca="1">_xll.CampagnaOutputPercentile(N71,$D$86)</f>
        <v>0</v>
      </c>
      <c r="O93" s="26">
        <f ca="1">_xll.CampagnaOutputPercentile(O71,$D$86)</f>
        <v>0</v>
      </c>
      <c r="P93" s="26">
        <f ca="1">_xll.CampagnaOutputPercentile(P71,$D$86)</f>
        <v>0</v>
      </c>
      <c r="Q93" s="26">
        <f ca="1">_xll.CampagnaOutputPercentile(Q71,$D$86)</f>
        <v>0</v>
      </c>
      <c r="R93" s="26">
        <f ca="1">_xll.CampagnaOutputPercentile(R71,$D$86)</f>
        <v>0</v>
      </c>
      <c r="S93" s="26">
        <f ca="1">_xll.CampagnaOutputPercentile(S71,$D$86)</f>
        <v>0</v>
      </c>
      <c r="T93" s="26">
        <f ca="1">_xll.CampagnaOutputPercentile(T71,$D$86)</f>
        <v>0</v>
      </c>
      <c r="U93" s="26">
        <f ca="1">_xll.CampagnaOutputPercentile(U71,$D$86)</f>
        <v>0</v>
      </c>
      <c r="V93" s="26">
        <f ca="1">_xll.CampagnaOutputPercentile(V71,$D$86)</f>
        <v>0</v>
      </c>
      <c r="W93" s="26">
        <f ca="1">_xll.CampagnaOutputPercentile(W71,$D$86)</f>
        <v>0</v>
      </c>
      <c r="X93" s="26">
        <f ca="1">_xll.CampagnaOutputPercentile(X71,$D$86)</f>
        <v>0</v>
      </c>
      <c r="Y93" s="26">
        <f ca="1">_xll.CampagnaOutputPercentile(Y71,$D$86)</f>
        <v>1901.1872499999999</v>
      </c>
      <c r="Z93" s="26">
        <f ca="1">_xll.CampagnaOutputPercentile(Z71,$D$86)</f>
        <v>0</v>
      </c>
      <c r="AA93" s="26">
        <f ca="1">_xll.CampagnaOutputPercentile(AA71,$D$86)</f>
        <v>0</v>
      </c>
      <c r="AB93" s="26">
        <f ca="1">_xll.CampagnaOutputPercentile(AB71,$D$86)</f>
        <v>0</v>
      </c>
      <c r="AC93" s="26">
        <f ca="1">_xll.CampagnaOutputPercentile(AC71,$D$86)</f>
        <v>0</v>
      </c>
      <c r="AD93" s="26">
        <f ca="1">_xll.CampagnaOutputPercentile(AD71,$D$86)</f>
        <v>0</v>
      </c>
      <c r="AE93" s="26">
        <f ca="1">_xll.CampagnaOutputPercentile(AE71,$D$86)</f>
        <v>0</v>
      </c>
      <c r="AF93" s="26">
        <f ca="1">_xll.CampagnaOutputPercentile(AF71,$D$86)</f>
        <v>0</v>
      </c>
      <c r="AG93" s="26">
        <f ca="1">_xll.CampagnaOutputPercentile(AG71,$D$86)</f>
        <v>0</v>
      </c>
      <c r="AH93" s="26">
        <f ca="1">_xll.CampagnaOutputPercentile(AH71,$D$86)</f>
        <v>0</v>
      </c>
      <c r="AI93" s="26">
        <f ca="1">_xll.CampagnaOutputPercentile(AI71,$D$86)</f>
        <v>0</v>
      </c>
      <c r="AJ93" s="26">
        <f ca="1">_xll.CampagnaOutputPercentile(AJ71,$D$86)</f>
        <v>0</v>
      </c>
      <c r="AK93" s="26">
        <f ca="1">_xll.CampagnaOutputPercentile(AK71,$D$86)</f>
        <v>0</v>
      </c>
      <c r="AL93" s="26">
        <f ca="1">_xll.CampagnaOutputPercentile(AL71,$D$86)</f>
        <v>0</v>
      </c>
      <c r="AM93" s="26">
        <f ca="1">_xll.CampagnaOutputPercentile(AM71,$D$86)</f>
        <v>0</v>
      </c>
      <c r="AN93" s="26">
        <f ca="1">_xll.CampagnaOutputPercentile(AN71,$D$86)</f>
        <v>0</v>
      </c>
      <c r="AO93" s="26">
        <f ca="1">_xll.CampagnaOutputPercentile(AO71,$D$86)</f>
        <v>0</v>
      </c>
      <c r="AP93" s="26">
        <f ca="1">_xll.CampagnaOutputPercentile(AP71,$D$86)</f>
        <v>0</v>
      </c>
      <c r="AQ93" s="26">
        <f ca="1">_xll.CampagnaOutputPercentile(AQ71,$D$86)</f>
        <v>0</v>
      </c>
      <c r="AR93" s="26">
        <f ca="1">_xll.CampagnaOutputPercentile(AR71,$D$86)</f>
        <v>0</v>
      </c>
      <c r="AS93" s="26">
        <f ca="1">_xll.CampagnaOutputPercentile(AS71,$D$86)</f>
        <v>0</v>
      </c>
      <c r="AT93" s="26">
        <f ca="1">_xll.CampagnaOutputPercentile(AT71,$D$86)</f>
        <v>0</v>
      </c>
      <c r="AU93" s="26">
        <f ca="1">_xll.CampagnaOutputPercentile(AU71,$D$86)</f>
        <v>0</v>
      </c>
      <c r="AV93" s="26">
        <f ca="1">_xll.CampagnaOutputPercentile(AV71,$D$86)</f>
        <v>0</v>
      </c>
      <c r="AW93" s="26">
        <f ca="1">_xll.CampagnaOutputPercentile(AW71,$D$86)</f>
        <v>0</v>
      </c>
      <c r="AX93" s="26">
        <f ca="1">_xll.CampagnaOutputPercentile(AX71,$D$86)</f>
        <v>0</v>
      </c>
      <c r="AY93" s="26">
        <f ca="1">_xll.CampagnaOutputPercentile(AY71,$D$86)</f>
        <v>0</v>
      </c>
      <c r="AZ93" s="26">
        <f ca="1">_xll.CampagnaOutputPercentile(AZ71,$D$86)</f>
        <v>0</v>
      </c>
      <c r="BA93" s="26">
        <f ca="1">_xll.CampagnaOutputPercentile(BA71,$D$86)</f>
        <v>0</v>
      </c>
      <c r="BB93" s="26">
        <f ca="1">_xll.CampagnaOutputPercentile(BB71,$D$86)</f>
        <v>0</v>
      </c>
      <c r="BC93" s="26">
        <f ca="1">_xll.CampagnaOutputPercentile(BC71,$D$86)</f>
        <v>0</v>
      </c>
      <c r="BD93" s="26">
        <f ca="1">_xll.CampagnaOutputPercentile(BD71,$D$86)</f>
        <v>0</v>
      </c>
      <c r="BE93" s="26">
        <f ca="1">_xll.CampagnaOutputPercentile(BE71,$D$86)</f>
        <v>0</v>
      </c>
      <c r="BF93" s="26">
        <f ca="1">_xll.CampagnaOutputPercentile(BF71,$D$86)</f>
        <v>0</v>
      </c>
      <c r="BG93" s="26">
        <f ca="1">_xll.CampagnaOutputPercentile(BG71,$D$86)</f>
        <v>0</v>
      </c>
      <c r="BH93" s="26">
        <f ca="1">_xll.CampagnaOutputPercentile(BH71,$D$86)</f>
        <v>0</v>
      </c>
      <c r="BI93" s="26">
        <f ca="1">_xll.CampagnaOutputPercentile(BI71,$D$86)</f>
        <v>0</v>
      </c>
      <c r="BJ93" s="26">
        <f ca="1">_xll.CampagnaOutputPercentile(BJ71,$D$86)</f>
        <v>0</v>
      </c>
      <c r="BK93" s="26">
        <f ca="1">_xll.CampagnaOutputPercentile(BK71,$D$86)</f>
        <v>0</v>
      </c>
      <c r="BL93" s="26">
        <f ca="1">_xll.CampagnaOutputPercentile(BL71,$D$86)</f>
        <v>0</v>
      </c>
      <c r="BM93" s="26">
        <f ca="1">_xll.CampagnaOutputPercentile(BM71,$D$86)</f>
        <v>0</v>
      </c>
      <c r="BN93" s="26">
        <f ca="1">_xll.CampagnaOutputPercentile(BN71,$D$86)</f>
        <v>0</v>
      </c>
      <c r="BO93" s="26">
        <f ca="1">_xll.CampagnaOutputPercentile(BO71,$D$86)</f>
        <v>0</v>
      </c>
      <c r="BP93" s="26">
        <f ca="1">_xll.CampagnaOutputPercentile(BP71,$D$86)</f>
        <v>0</v>
      </c>
      <c r="BQ93" s="26">
        <f ca="1">_xll.CampagnaOutputPercentile(BQ71,$D$86)</f>
        <v>0</v>
      </c>
      <c r="BR93" s="26">
        <f ca="1">_xll.CampagnaOutputPercentile(BR71,$D$86)</f>
        <v>0</v>
      </c>
      <c r="BS93" s="26">
        <f ca="1">_xll.CampagnaOutputPercentile(BS71,$D$86)</f>
        <v>0</v>
      </c>
      <c r="BT93" s="26">
        <f ca="1">_xll.CampagnaOutputPercentile(BT71,$D$86)</f>
        <v>0</v>
      </c>
      <c r="BU93" s="26">
        <f ca="1">_xll.CampagnaOutputPercentile(BU71,$D$86)</f>
        <v>0</v>
      </c>
      <c r="BV93" s="26">
        <f ca="1">_xll.CampagnaOutputPercentile(BV71,$D$86)</f>
        <v>0</v>
      </c>
      <c r="BW93" s="26">
        <f ca="1">_xll.CampagnaOutputPercentile(BW71,$D$86)</f>
        <v>0</v>
      </c>
      <c r="BX93" s="26">
        <f ca="1">_xll.CampagnaOutputPercentile(BX71,$D$86)</f>
        <v>0</v>
      </c>
      <c r="BY93" s="26">
        <f ca="1">_xll.CampagnaOutputPercentile(BY71,$D$86)</f>
        <v>0</v>
      </c>
      <c r="BZ93" s="26">
        <f ca="1">_xll.CampagnaOutputPercentile(BZ71,$D$86)</f>
        <v>0</v>
      </c>
      <c r="CA93" s="26">
        <f ca="1">_xll.CampagnaOutputPercentile(CA71,$D$86)</f>
        <v>0</v>
      </c>
      <c r="CB93" s="26">
        <f ca="1">_xll.CampagnaOutputPercentile(CB71,$D$86)</f>
        <v>0</v>
      </c>
      <c r="CC93" s="26">
        <f ca="1">_xll.CampagnaOutputPercentile(CC71,$D$86)</f>
        <v>0</v>
      </c>
      <c r="CD93" s="26">
        <f ca="1">_xll.CampagnaOutputPercentile(CD71,$D$86)</f>
        <v>0</v>
      </c>
      <c r="CE93" s="26">
        <f ca="1">_xll.CampagnaOutputPercentile(CE71,$D$86)</f>
        <v>0</v>
      </c>
      <c r="CF93" s="26">
        <f ca="1">_xll.CampagnaOutputPercentile(CF71,$D$86)</f>
        <v>0</v>
      </c>
      <c r="CG93" s="26">
        <f ca="1">_xll.CampagnaOutputPercentile(CG71,$D$86)</f>
        <v>0</v>
      </c>
      <c r="CH93" s="26">
        <f ca="1">_xll.CampagnaOutputPercentile(CH71,$D$86)</f>
        <v>0</v>
      </c>
      <c r="CI93" s="26">
        <f ca="1">_xll.CampagnaOutputPercentile(CI71,$D$86)</f>
        <v>0</v>
      </c>
      <c r="CJ93" s="26">
        <f ca="1">_xll.CampagnaOutputPercentile(CJ71,$D$86)</f>
        <v>0</v>
      </c>
      <c r="CK93" s="26">
        <f ca="1">_xll.CampagnaOutputPercentile(CK71,$D$86)</f>
        <v>0</v>
      </c>
      <c r="CL93" s="26">
        <f ca="1">_xll.CampagnaOutputPercentile(CL71,$D$86)</f>
        <v>0</v>
      </c>
      <c r="CM93" s="26">
        <f ca="1">_xll.CampagnaOutputPercentile(CM71,$D$86)</f>
        <v>0</v>
      </c>
      <c r="CN93" s="26">
        <f ca="1">_xll.CampagnaOutputPercentile(CN71,$D$86)</f>
        <v>0</v>
      </c>
      <c r="CO93" s="26">
        <f ca="1">_xll.CampagnaOutputPercentile(CO71,$D$86)</f>
        <v>0</v>
      </c>
    </row>
    <row r="95" spans="3:93" x14ac:dyDescent="0.3">
      <c r="C95" s="6" t="s">
        <v>65</v>
      </c>
      <c r="D95" s="31">
        <f ca="1">SUM(D89:D93)</f>
        <v>0</v>
      </c>
      <c r="E95" s="31">
        <f t="shared" ref="E95:BP95" ca="1" si="12">SUM(E89:E93)</f>
        <v>0</v>
      </c>
      <c r="F95" s="31">
        <f t="shared" ca="1" si="12"/>
        <v>0</v>
      </c>
      <c r="G95" s="31">
        <f t="shared" ca="1" si="12"/>
        <v>0</v>
      </c>
      <c r="H95" s="31">
        <f t="shared" ca="1" si="12"/>
        <v>0</v>
      </c>
      <c r="I95" s="31">
        <f t="shared" ca="1" si="12"/>
        <v>0</v>
      </c>
      <c r="J95" s="31">
        <f t="shared" ca="1" si="12"/>
        <v>0</v>
      </c>
      <c r="K95" s="31">
        <f t="shared" ca="1" si="12"/>
        <v>0</v>
      </c>
      <c r="L95" s="31">
        <f t="shared" ca="1" si="12"/>
        <v>0</v>
      </c>
      <c r="M95" s="31">
        <f t="shared" ca="1" si="12"/>
        <v>0</v>
      </c>
      <c r="N95" s="31">
        <f t="shared" ca="1" si="12"/>
        <v>0</v>
      </c>
      <c r="O95" s="31">
        <f t="shared" ca="1" si="12"/>
        <v>0</v>
      </c>
      <c r="P95" s="31">
        <f t="shared" ca="1" si="12"/>
        <v>0</v>
      </c>
      <c r="Q95" s="31">
        <f t="shared" ca="1" si="12"/>
        <v>0</v>
      </c>
      <c r="R95" s="31">
        <f t="shared" ca="1" si="12"/>
        <v>0</v>
      </c>
      <c r="S95" s="31">
        <f t="shared" ca="1" si="12"/>
        <v>0</v>
      </c>
      <c r="T95" s="31">
        <f t="shared" ca="1" si="12"/>
        <v>0</v>
      </c>
      <c r="U95" s="31">
        <f t="shared" ca="1" si="12"/>
        <v>32464.508999999998</v>
      </c>
      <c r="V95" s="31">
        <f t="shared" ca="1" si="12"/>
        <v>32982.2284</v>
      </c>
      <c r="W95" s="31">
        <f t="shared" ca="1" si="12"/>
        <v>32982.2284</v>
      </c>
      <c r="X95" s="31">
        <f t="shared" ca="1" si="12"/>
        <v>32982.2284</v>
      </c>
      <c r="Y95" s="31">
        <f t="shared" ca="1" si="12"/>
        <v>32483.415649999999</v>
      </c>
      <c r="Z95" s="31">
        <f t="shared" ca="1" si="12"/>
        <v>0</v>
      </c>
      <c r="AA95" s="31">
        <f t="shared" ca="1" si="12"/>
        <v>0</v>
      </c>
      <c r="AB95" s="31">
        <f t="shared" ca="1" si="12"/>
        <v>0</v>
      </c>
      <c r="AC95" s="31">
        <f t="shared" ca="1" si="12"/>
        <v>0</v>
      </c>
      <c r="AD95" s="31">
        <f t="shared" ca="1" si="12"/>
        <v>0</v>
      </c>
      <c r="AE95" s="31">
        <f t="shared" ca="1" si="12"/>
        <v>0</v>
      </c>
      <c r="AF95" s="31">
        <f t="shared" ca="1" si="12"/>
        <v>0</v>
      </c>
      <c r="AG95" s="31">
        <f t="shared" ca="1" si="12"/>
        <v>0</v>
      </c>
      <c r="AH95" s="31">
        <f t="shared" ca="1" si="12"/>
        <v>0</v>
      </c>
      <c r="AI95" s="31">
        <f t="shared" ca="1" si="12"/>
        <v>0</v>
      </c>
      <c r="AJ95" s="31">
        <f t="shared" ca="1" si="12"/>
        <v>0</v>
      </c>
      <c r="AK95" s="31">
        <f t="shared" ca="1" si="12"/>
        <v>0</v>
      </c>
      <c r="AL95" s="31">
        <f t="shared" ca="1" si="12"/>
        <v>0</v>
      </c>
      <c r="AM95" s="31">
        <f t="shared" ca="1" si="12"/>
        <v>0</v>
      </c>
      <c r="AN95" s="31">
        <f t="shared" ca="1" si="12"/>
        <v>0</v>
      </c>
      <c r="AO95" s="31">
        <f t="shared" ca="1" si="12"/>
        <v>0</v>
      </c>
      <c r="AP95" s="31">
        <f t="shared" ca="1" si="12"/>
        <v>0</v>
      </c>
      <c r="AQ95" s="31">
        <f t="shared" ca="1" si="12"/>
        <v>0</v>
      </c>
      <c r="AR95" s="31">
        <f t="shared" ca="1" si="12"/>
        <v>0</v>
      </c>
      <c r="AS95" s="31">
        <f t="shared" ca="1" si="12"/>
        <v>0</v>
      </c>
      <c r="AT95" s="31">
        <f t="shared" ca="1" si="12"/>
        <v>0</v>
      </c>
      <c r="AU95" s="31">
        <f t="shared" ca="1" si="12"/>
        <v>0</v>
      </c>
      <c r="AV95" s="31">
        <f t="shared" ca="1" si="12"/>
        <v>0</v>
      </c>
      <c r="AW95" s="31">
        <f t="shared" ca="1" si="12"/>
        <v>0</v>
      </c>
      <c r="AX95" s="31">
        <f t="shared" ca="1" si="12"/>
        <v>0</v>
      </c>
      <c r="AY95" s="31">
        <f t="shared" ca="1" si="12"/>
        <v>0</v>
      </c>
      <c r="AZ95" s="31">
        <f t="shared" ca="1" si="12"/>
        <v>0</v>
      </c>
      <c r="BA95" s="31">
        <f t="shared" ca="1" si="12"/>
        <v>0</v>
      </c>
      <c r="BB95" s="31">
        <f t="shared" ca="1" si="12"/>
        <v>0</v>
      </c>
      <c r="BC95" s="31">
        <f t="shared" ca="1" si="12"/>
        <v>0</v>
      </c>
      <c r="BD95" s="31">
        <f t="shared" ca="1" si="12"/>
        <v>0</v>
      </c>
      <c r="BE95" s="31">
        <f t="shared" ca="1" si="12"/>
        <v>0</v>
      </c>
      <c r="BF95" s="31">
        <f t="shared" ca="1" si="12"/>
        <v>0</v>
      </c>
      <c r="BG95" s="31">
        <f t="shared" ca="1" si="12"/>
        <v>0</v>
      </c>
      <c r="BH95" s="31">
        <f t="shared" ca="1" si="12"/>
        <v>0</v>
      </c>
      <c r="BI95" s="31">
        <f t="shared" ca="1" si="12"/>
        <v>0</v>
      </c>
      <c r="BJ95" s="31">
        <f t="shared" ca="1" si="12"/>
        <v>0</v>
      </c>
      <c r="BK95" s="31">
        <f t="shared" ca="1" si="12"/>
        <v>0</v>
      </c>
      <c r="BL95" s="31">
        <f t="shared" ca="1" si="12"/>
        <v>0</v>
      </c>
      <c r="BM95" s="31">
        <f t="shared" ca="1" si="12"/>
        <v>0</v>
      </c>
      <c r="BN95" s="31">
        <f t="shared" ca="1" si="12"/>
        <v>0</v>
      </c>
      <c r="BO95" s="31">
        <f t="shared" ca="1" si="12"/>
        <v>0</v>
      </c>
      <c r="BP95" s="31">
        <f t="shared" ca="1" si="12"/>
        <v>0</v>
      </c>
      <c r="BQ95" s="31">
        <f t="shared" ref="BQ95:CO95" ca="1" si="13">SUM(BQ89:BQ93)</f>
        <v>0</v>
      </c>
      <c r="BR95" s="31">
        <f t="shared" ca="1" si="13"/>
        <v>0</v>
      </c>
      <c r="BS95" s="31">
        <f t="shared" ca="1" si="13"/>
        <v>0</v>
      </c>
      <c r="BT95" s="31">
        <f t="shared" ca="1" si="13"/>
        <v>0</v>
      </c>
      <c r="BU95" s="31">
        <f t="shared" ca="1" si="13"/>
        <v>0</v>
      </c>
      <c r="BV95" s="31">
        <f t="shared" ca="1" si="13"/>
        <v>0</v>
      </c>
      <c r="BW95" s="31">
        <f t="shared" ca="1" si="13"/>
        <v>0</v>
      </c>
      <c r="BX95" s="31">
        <f t="shared" ca="1" si="13"/>
        <v>0</v>
      </c>
      <c r="BY95" s="31">
        <f t="shared" ca="1" si="13"/>
        <v>0</v>
      </c>
      <c r="BZ95" s="31">
        <f t="shared" ca="1" si="13"/>
        <v>0</v>
      </c>
      <c r="CA95" s="31">
        <f t="shared" ca="1" si="13"/>
        <v>0</v>
      </c>
      <c r="CB95" s="31">
        <f t="shared" ca="1" si="13"/>
        <v>0</v>
      </c>
      <c r="CC95" s="31">
        <f t="shared" ca="1" si="13"/>
        <v>0</v>
      </c>
      <c r="CD95" s="31">
        <f t="shared" ca="1" si="13"/>
        <v>0</v>
      </c>
      <c r="CE95" s="31">
        <f t="shared" ca="1" si="13"/>
        <v>0</v>
      </c>
      <c r="CF95" s="31">
        <f t="shared" ca="1" si="13"/>
        <v>0</v>
      </c>
      <c r="CG95" s="31">
        <f t="shared" ca="1" si="13"/>
        <v>0</v>
      </c>
      <c r="CH95" s="31">
        <f t="shared" ca="1" si="13"/>
        <v>0</v>
      </c>
      <c r="CI95" s="31">
        <f t="shared" ca="1" si="13"/>
        <v>0</v>
      </c>
      <c r="CJ95" s="31">
        <f t="shared" ca="1" si="13"/>
        <v>0</v>
      </c>
      <c r="CK95" s="31">
        <f t="shared" ca="1" si="13"/>
        <v>0</v>
      </c>
      <c r="CL95" s="31">
        <f t="shared" ca="1" si="13"/>
        <v>0</v>
      </c>
      <c r="CM95" s="31">
        <f t="shared" ca="1" si="13"/>
        <v>0</v>
      </c>
      <c r="CN95" s="31">
        <f t="shared" ca="1" si="13"/>
        <v>0</v>
      </c>
      <c r="CO95" s="31">
        <f t="shared" ca="1" si="13"/>
        <v>0</v>
      </c>
    </row>
    <row r="97" spans="3:93" x14ac:dyDescent="0.3">
      <c r="C97" s="6" t="s">
        <v>94</v>
      </c>
      <c r="D97" s="50">
        <v>0.9</v>
      </c>
    </row>
    <row r="99" spans="3:93" x14ac:dyDescent="0.3">
      <c r="D99" s="6" t="str">
        <f>Timeline!F14</f>
        <v>19/20</v>
      </c>
      <c r="E99" s="6" t="str">
        <f>Timeline!G14</f>
        <v>20/21</v>
      </c>
      <c r="F99" s="6" t="str">
        <f>Timeline!H14</f>
        <v>21/22</v>
      </c>
      <c r="G99" s="6" t="str">
        <f>Timeline!I14</f>
        <v>22/23</v>
      </c>
      <c r="H99" s="6" t="str">
        <f>Timeline!J14</f>
        <v>23/24</v>
      </c>
      <c r="I99" s="6" t="str">
        <f>Timeline!K14</f>
        <v>24/25</v>
      </c>
      <c r="J99" s="6" t="str">
        <f>Timeline!L14</f>
        <v>25/26</v>
      </c>
      <c r="K99" s="6" t="str">
        <f>Timeline!M14</f>
        <v>26/27</v>
      </c>
      <c r="L99" s="6" t="str">
        <f>Timeline!N14</f>
        <v>27/28</v>
      </c>
      <c r="M99" s="6" t="str">
        <f>Timeline!O14</f>
        <v>28/29</v>
      </c>
      <c r="N99" s="6" t="str">
        <f>Timeline!P14</f>
        <v>29/30</v>
      </c>
      <c r="O99" s="6" t="str">
        <f>Timeline!Q14</f>
        <v>30/31</v>
      </c>
      <c r="P99" s="6" t="str">
        <f>Timeline!R14</f>
        <v>31/32</v>
      </c>
      <c r="Q99" s="6" t="str">
        <f>Timeline!S14</f>
        <v>32/33</v>
      </c>
      <c r="R99" s="6" t="str">
        <f>Timeline!T14</f>
        <v>33/34</v>
      </c>
      <c r="S99" s="6" t="str">
        <f>Timeline!U14</f>
        <v>34/35</v>
      </c>
      <c r="T99" s="6" t="str">
        <f>Timeline!V14</f>
        <v>35/36</v>
      </c>
      <c r="U99" s="6" t="str">
        <f>Timeline!W14</f>
        <v>36/37</v>
      </c>
      <c r="V99" s="6" t="str">
        <f>Timeline!X14</f>
        <v>37/38</v>
      </c>
      <c r="W99" s="6" t="str">
        <f>Timeline!Y14</f>
        <v>38/39</v>
      </c>
      <c r="X99" s="6" t="str">
        <f>Timeline!Z14</f>
        <v>39/40</v>
      </c>
      <c r="Y99" s="6" t="str">
        <f>Timeline!AA14</f>
        <v>40/41</v>
      </c>
      <c r="Z99" s="6" t="str">
        <f>Timeline!AB14</f>
        <v>41/42</v>
      </c>
      <c r="AA99" s="6" t="str">
        <f>Timeline!AC14</f>
        <v>42/43</v>
      </c>
      <c r="AB99" s="6" t="str">
        <f>Timeline!AD14</f>
        <v>43/44</v>
      </c>
      <c r="AC99" s="6" t="str">
        <f>Timeline!AE14</f>
        <v>44/45</v>
      </c>
      <c r="AD99" s="6" t="str">
        <f>Timeline!AF14</f>
        <v>45/46</v>
      </c>
      <c r="AE99" s="6" t="str">
        <f>Timeline!AG14</f>
        <v>46/47</v>
      </c>
      <c r="AF99" s="6" t="str">
        <f>Timeline!AH14</f>
        <v>47/48</v>
      </c>
      <c r="AG99" s="6" t="str">
        <f>Timeline!AI14</f>
        <v>48/49</v>
      </c>
      <c r="AH99" s="6" t="str">
        <f>Timeline!AJ14</f>
        <v>49/50</v>
      </c>
      <c r="AI99" s="6" t="str">
        <f>Timeline!AK14</f>
        <v>50/51</v>
      </c>
      <c r="AJ99" s="6" t="str">
        <f>Timeline!AL14</f>
        <v>51/52</v>
      </c>
      <c r="AK99" s="6" t="str">
        <f>Timeline!AM14</f>
        <v>52/53</v>
      </c>
      <c r="AL99" s="6" t="str">
        <f>Timeline!AN14</f>
        <v>53/54</v>
      </c>
      <c r="AM99" s="6" t="str">
        <f>Timeline!AO14</f>
        <v>54/55</v>
      </c>
      <c r="AN99" s="6" t="str">
        <f>Timeline!AP14</f>
        <v>55/56</v>
      </c>
      <c r="AO99" s="6" t="str">
        <f>Timeline!AQ14</f>
        <v>56/57</v>
      </c>
      <c r="AP99" s="6" t="str">
        <f>Timeline!AR14</f>
        <v>57/58</v>
      </c>
      <c r="AQ99" s="6" t="str">
        <f>Timeline!AS14</f>
        <v>58/59</v>
      </c>
      <c r="AR99" s="6" t="str">
        <f>Timeline!AT14</f>
        <v>59/60</v>
      </c>
      <c r="AS99" s="6" t="str">
        <f>Timeline!AU14</f>
        <v>60/61</v>
      </c>
      <c r="AT99" s="6" t="str">
        <f>Timeline!AV14</f>
        <v>61/62</v>
      </c>
      <c r="AU99" s="6" t="str">
        <f>Timeline!AW14</f>
        <v>62/63</v>
      </c>
      <c r="AV99" s="6" t="str">
        <f>Timeline!AX14</f>
        <v>63/64</v>
      </c>
      <c r="AW99" s="6" t="str">
        <f>Timeline!AY14</f>
        <v>64/65</v>
      </c>
      <c r="AX99" s="6" t="str">
        <f>Timeline!AZ14</f>
        <v>65/66</v>
      </c>
      <c r="AY99" s="6" t="str">
        <f>Timeline!BA14</f>
        <v>66/67</v>
      </c>
      <c r="AZ99" s="6" t="str">
        <f>Timeline!BB14</f>
        <v>67/68</v>
      </c>
      <c r="BA99" s="6" t="str">
        <f>Timeline!BC14</f>
        <v>68/69</v>
      </c>
      <c r="BB99" s="6" t="str">
        <f>Timeline!BD14</f>
        <v>69/70</v>
      </c>
      <c r="BC99" s="6" t="str">
        <f>Timeline!BE14</f>
        <v>70/71</v>
      </c>
      <c r="BD99" s="6" t="str">
        <f>Timeline!BF14</f>
        <v>71/72</v>
      </c>
      <c r="BE99" s="6" t="str">
        <f>Timeline!BG14</f>
        <v>72/73</v>
      </c>
      <c r="BF99" s="6" t="str">
        <f>Timeline!BH14</f>
        <v>73/74</v>
      </c>
      <c r="BG99" s="6" t="str">
        <f>Timeline!BI14</f>
        <v>74/75</v>
      </c>
      <c r="BH99" s="6" t="str">
        <f>Timeline!BJ14</f>
        <v>75/76</v>
      </c>
      <c r="BI99" s="6" t="str">
        <f>Timeline!BK14</f>
        <v>76/77</v>
      </c>
      <c r="BJ99" s="6" t="str">
        <f>Timeline!BL14</f>
        <v>77/78</v>
      </c>
      <c r="BK99" s="6" t="str">
        <f>Timeline!BM14</f>
        <v>78/79</v>
      </c>
      <c r="BL99" s="6" t="str">
        <f>Timeline!BN14</f>
        <v>79/80</v>
      </c>
      <c r="BM99" s="6" t="str">
        <f>Timeline!BO14</f>
        <v>80/81</v>
      </c>
      <c r="BN99" s="6" t="str">
        <f>Timeline!BP14</f>
        <v>81/82</v>
      </c>
      <c r="BO99" s="6" t="str">
        <f>Timeline!BQ14</f>
        <v>82/83</v>
      </c>
      <c r="BP99" s="6" t="str">
        <f>Timeline!BR14</f>
        <v>83/84</v>
      </c>
      <c r="BQ99" s="6" t="str">
        <f>Timeline!BS14</f>
        <v>84/85</v>
      </c>
      <c r="BR99" s="6" t="str">
        <f>Timeline!BT14</f>
        <v>85/86</v>
      </c>
      <c r="BS99" s="6" t="str">
        <f>Timeline!BU14</f>
        <v>86/87</v>
      </c>
      <c r="BT99" s="6" t="str">
        <f>Timeline!BV14</f>
        <v>87/88</v>
      </c>
      <c r="BU99" s="6" t="str">
        <f>Timeline!BW14</f>
        <v>88/89</v>
      </c>
      <c r="BV99" s="6" t="str">
        <f>Timeline!BX14</f>
        <v>89/90</v>
      </c>
      <c r="BW99" s="6" t="str">
        <f>Timeline!BY14</f>
        <v>90/91</v>
      </c>
      <c r="BX99" s="6" t="str">
        <f>Timeline!BZ14</f>
        <v>91/92</v>
      </c>
      <c r="BY99" s="6" t="str">
        <f>Timeline!CA14</f>
        <v>92/93</v>
      </c>
      <c r="BZ99" s="6" t="str">
        <f>Timeline!CB14</f>
        <v>93/94</v>
      </c>
      <c r="CA99" s="6" t="str">
        <f>Timeline!CC14</f>
        <v>94/95</v>
      </c>
      <c r="CB99" s="6" t="str">
        <f>Timeline!CD14</f>
        <v>95/96</v>
      </c>
      <c r="CC99" s="6" t="str">
        <f>Timeline!CE14</f>
        <v>96/97</v>
      </c>
      <c r="CD99" s="6" t="str">
        <f>Timeline!CF14</f>
        <v>97/98</v>
      </c>
      <c r="CE99" s="6" t="str">
        <f>Timeline!CG14</f>
        <v>98/99</v>
      </c>
      <c r="CF99" s="6" t="str">
        <f>Timeline!CH14</f>
        <v>99/00</v>
      </c>
      <c r="CG99" s="6" t="str">
        <f>Timeline!CI14</f>
        <v>00/01</v>
      </c>
      <c r="CH99" s="6" t="str">
        <f>Timeline!CJ14</f>
        <v>01/02</v>
      </c>
      <c r="CI99" s="6" t="str">
        <f>Timeline!CK14</f>
        <v>02/03</v>
      </c>
      <c r="CJ99" s="6" t="str">
        <f>Timeline!CL14</f>
        <v>03/04</v>
      </c>
      <c r="CK99" s="6" t="str">
        <f>Timeline!CM14</f>
        <v>04/05</v>
      </c>
      <c r="CL99" s="6" t="str">
        <f>Timeline!CN14</f>
        <v>05/06</v>
      </c>
      <c r="CM99" s="6" t="str">
        <f>Timeline!CO14</f>
        <v>06/07</v>
      </c>
      <c r="CN99" s="6" t="str">
        <f>Timeline!CP14</f>
        <v>07/08</v>
      </c>
      <c r="CO99" s="6" t="str">
        <f>Timeline!CQ14</f>
        <v>08/09</v>
      </c>
    </row>
    <row r="100" spans="3:93" x14ac:dyDescent="0.3">
      <c r="C100" s="6" t="str">
        <f>Lookups!C5</f>
        <v>Concept</v>
      </c>
      <c r="D100" s="26">
        <f ca="1">_xll.CampagnaOutputPercentile(D67,$D$97)</f>
        <v>0</v>
      </c>
      <c r="E100" s="26">
        <f ca="1">_xll.CampagnaOutputPercentile(E67,$D$97)</f>
        <v>0</v>
      </c>
      <c r="F100" s="26">
        <f ca="1">_xll.CampagnaOutputPercentile(F67,$D$97)</f>
        <v>0</v>
      </c>
      <c r="G100" s="26">
        <f ca="1">_xll.CampagnaOutputPercentile(G67,$D$97)</f>
        <v>0</v>
      </c>
      <c r="H100" s="26">
        <f ca="1">_xll.CampagnaOutputPercentile(H67,$D$97)</f>
        <v>0</v>
      </c>
      <c r="I100" s="26">
        <f ca="1">_xll.CampagnaOutputPercentile(I67,$D$97)</f>
        <v>0</v>
      </c>
      <c r="J100" s="26">
        <f ca="1">_xll.CampagnaOutputPercentile(J67,$D$97)</f>
        <v>0</v>
      </c>
      <c r="K100" s="26">
        <f ca="1">_xll.CampagnaOutputPercentile(K67,$D$97)</f>
        <v>0</v>
      </c>
      <c r="L100" s="26">
        <f ca="1">_xll.CampagnaOutputPercentile(L67,$D$97)</f>
        <v>0</v>
      </c>
      <c r="M100" s="26">
        <f ca="1">_xll.CampagnaOutputPercentile(M67,$D$97)</f>
        <v>0</v>
      </c>
      <c r="N100" s="26">
        <f ca="1">_xll.CampagnaOutputPercentile(N67,$D$97)</f>
        <v>0</v>
      </c>
      <c r="O100" s="26">
        <f ca="1">_xll.CampagnaOutputPercentile(O67,$D$97)</f>
        <v>0</v>
      </c>
      <c r="P100" s="26">
        <f ca="1">_xll.CampagnaOutputPercentile(P67,$D$97)</f>
        <v>0</v>
      </c>
      <c r="Q100" s="26">
        <f ca="1">_xll.CampagnaOutputPercentile(Q67,$D$97)</f>
        <v>0</v>
      </c>
      <c r="R100" s="26">
        <f ca="1">_xll.CampagnaOutputPercentile(R67,$D$97)</f>
        <v>0</v>
      </c>
      <c r="S100" s="26">
        <f ca="1">_xll.CampagnaOutputPercentile(S67,$D$97)</f>
        <v>0</v>
      </c>
      <c r="T100" s="26">
        <f ca="1">_xll.CampagnaOutputPercentile(T67,$D$97)</f>
        <v>0</v>
      </c>
      <c r="U100" s="26">
        <f ca="1">_xll.CampagnaOutputPercentile(U67,$D$97)</f>
        <v>7413.1898200000005</v>
      </c>
      <c r="V100" s="26">
        <f ca="1">_xll.CampagnaOutputPercentile(V67,$D$97)</f>
        <v>5530.9092200000005</v>
      </c>
      <c r="W100" s="26">
        <f ca="1">_xll.CampagnaOutputPercentile(W67,$D$97)</f>
        <v>5530.9092200000005</v>
      </c>
      <c r="X100" s="26">
        <f ca="1">_xll.CampagnaOutputPercentile(X67,$D$97)</f>
        <v>5530.9092200000005</v>
      </c>
      <c r="Y100" s="26">
        <f ca="1">_xll.CampagnaOutputPercentile(Y67,$D$97)</f>
        <v>5530.9092200000005</v>
      </c>
      <c r="Z100" s="26">
        <f ca="1">_xll.CampagnaOutputPercentile(Z67,$D$97)</f>
        <v>0</v>
      </c>
      <c r="AA100" s="26">
        <f ca="1">_xll.CampagnaOutputPercentile(AA67,$D$97)</f>
        <v>0</v>
      </c>
      <c r="AB100" s="26">
        <f ca="1">_xll.CampagnaOutputPercentile(AB67,$D$97)</f>
        <v>0</v>
      </c>
      <c r="AC100" s="26">
        <f ca="1">_xll.CampagnaOutputPercentile(AC67,$D$97)</f>
        <v>0</v>
      </c>
      <c r="AD100" s="26">
        <f ca="1">_xll.CampagnaOutputPercentile(AD67,$D$97)</f>
        <v>0</v>
      </c>
      <c r="AE100" s="26">
        <f ca="1">_xll.CampagnaOutputPercentile(AE67,$D$97)</f>
        <v>0</v>
      </c>
      <c r="AF100" s="26">
        <f ca="1">_xll.CampagnaOutputPercentile(AF67,$D$97)</f>
        <v>0</v>
      </c>
      <c r="AG100" s="26">
        <f ca="1">_xll.CampagnaOutputPercentile(AG67,$D$97)</f>
        <v>0</v>
      </c>
      <c r="AH100" s="26">
        <f ca="1">_xll.CampagnaOutputPercentile(AH67,$D$97)</f>
        <v>0</v>
      </c>
      <c r="AI100" s="26">
        <f ca="1">_xll.CampagnaOutputPercentile(AI67,$D$97)</f>
        <v>0</v>
      </c>
      <c r="AJ100" s="26">
        <f ca="1">_xll.CampagnaOutputPercentile(AJ67,$D$97)</f>
        <v>0</v>
      </c>
      <c r="AK100" s="26">
        <f ca="1">_xll.CampagnaOutputPercentile(AK67,$D$97)</f>
        <v>0</v>
      </c>
      <c r="AL100" s="26">
        <f ca="1">_xll.CampagnaOutputPercentile(AL67,$D$97)</f>
        <v>0</v>
      </c>
      <c r="AM100" s="26">
        <f ca="1">_xll.CampagnaOutputPercentile(AM67,$D$97)</f>
        <v>0</v>
      </c>
      <c r="AN100" s="26">
        <f ca="1">_xll.CampagnaOutputPercentile(AN67,$D$97)</f>
        <v>0</v>
      </c>
      <c r="AO100" s="26">
        <f ca="1">_xll.CampagnaOutputPercentile(AO67,$D$97)</f>
        <v>0</v>
      </c>
      <c r="AP100" s="26">
        <f ca="1">_xll.CampagnaOutputPercentile(AP67,$D$97)</f>
        <v>0</v>
      </c>
      <c r="AQ100" s="26">
        <f ca="1">_xll.CampagnaOutputPercentile(AQ67,$D$97)</f>
        <v>0</v>
      </c>
      <c r="AR100" s="26">
        <f ca="1">_xll.CampagnaOutputPercentile(AR67,$D$97)</f>
        <v>0</v>
      </c>
      <c r="AS100" s="26">
        <f ca="1">_xll.CampagnaOutputPercentile(AS67,$D$97)</f>
        <v>0</v>
      </c>
      <c r="AT100" s="26">
        <f ca="1">_xll.CampagnaOutputPercentile(AT67,$D$97)</f>
        <v>0</v>
      </c>
      <c r="AU100" s="26">
        <f ca="1">_xll.CampagnaOutputPercentile(AU67,$D$97)</f>
        <v>0</v>
      </c>
      <c r="AV100" s="26">
        <f ca="1">_xll.CampagnaOutputPercentile(AV67,$D$97)</f>
        <v>0</v>
      </c>
      <c r="AW100" s="26">
        <f ca="1">_xll.CampagnaOutputPercentile(AW67,$D$97)</f>
        <v>0</v>
      </c>
      <c r="AX100" s="26">
        <f ca="1">_xll.CampagnaOutputPercentile(AX67,$D$97)</f>
        <v>0</v>
      </c>
      <c r="AY100" s="26">
        <f ca="1">_xll.CampagnaOutputPercentile(AY67,$D$97)</f>
        <v>0</v>
      </c>
      <c r="AZ100" s="26">
        <f ca="1">_xll.CampagnaOutputPercentile(AZ67,$D$97)</f>
        <v>0</v>
      </c>
      <c r="BA100" s="26">
        <f ca="1">_xll.CampagnaOutputPercentile(BA67,$D$97)</f>
        <v>0</v>
      </c>
      <c r="BB100" s="26">
        <f ca="1">_xll.CampagnaOutputPercentile(BB67,$D$97)</f>
        <v>0</v>
      </c>
      <c r="BC100" s="26">
        <f ca="1">_xll.CampagnaOutputPercentile(BC67,$D$97)</f>
        <v>0</v>
      </c>
      <c r="BD100" s="26">
        <f ca="1">_xll.CampagnaOutputPercentile(BD67,$D$97)</f>
        <v>0</v>
      </c>
      <c r="BE100" s="26">
        <f ca="1">_xll.CampagnaOutputPercentile(BE67,$D$97)</f>
        <v>0</v>
      </c>
      <c r="BF100" s="26">
        <f ca="1">_xll.CampagnaOutputPercentile(BF67,$D$97)</f>
        <v>0</v>
      </c>
      <c r="BG100" s="26">
        <f ca="1">_xll.CampagnaOutputPercentile(BG67,$D$97)</f>
        <v>0</v>
      </c>
      <c r="BH100" s="26">
        <f ca="1">_xll.CampagnaOutputPercentile(BH67,$D$97)</f>
        <v>0</v>
      </c>
      <c r="BI100" s="26">
        <f ca="1">_xll.CampagnaOutputPercentile(BI67,$D$97)</f>
        <v>0</v>
      </c>
      <c r="BJ100" s="26">
        <f ca="1">_xll.CampagnaOutputPercentile(BJ67,$D$97)</f>
        <v>0</v>
      </c>
      <c r="BK100" s="26">
        <f ca="1">_xll.CampagnaOutputPercentile(BK67,$D$97)</f>
        <v>0</v>
      </c>
      <c r="BL100" s="26">
        <f ca="1">_xll.CampagnaOutputPercentile(BL67,$D$97)</f>
        <v>0</v>
      </c>
      <c r="BM100" s="26">
        <f ca="1">_xll.CampagnaOutputPercentile(BM67,$D$97)</f>
        <v>0</v>
      </c>
      <c r="BN100" s="26">
        <f ca="1">_xll.CampagnaOutputPercentile(BN67,$D$97)</f>
        <v>0</v>
      </c>
      <c r="BO100" s="26">
        <f ca="1">_xll.CampagnaOutputPercentile(BO67,$D$97)</f>
        <v>0</v>
      </c>
      <c r="BP100" s="26">
        <f ca="1">_xll.CampagnaOutputPercentile(BP67,$D$97)</f>
        <v>0</v>
      </c>
      <c r="BQ100" s="26">
        <f ca="1">_xll.CampagnaOutputPercentile(BQ67,$D$97)</f>
        <v>0</v>
      </c>
      <c r="BR100" s="26">
        <f ca="1">_xll.CampagnaOutputPercentile(BR67,$D$97)</f>
        <v>0</v>
      </c>
      <c r="BS100" s="26">
        <f ca="1">_xll.CampagnaOutputPercentile(BS67,$D$97)</f>
        <v>0</v>
      </c>
      <c r="BT100" s="26">
        <f ca="1">_xll.CampagnaOutputPercentile(BT67,$D$97)</f>
        <v>0</v>
      </c>
      <c r="BU100" s="26">
        <f ca="1">_xll.CampagnaOutputPercentile(BU67,$D$97)</f>
        <v>0</v>
      </c>
      <c r="BV100" s="26">
        <f ca="1">_xll.CampagnaOutputPercentile(BV67,$D$97)</f>
        <v>0</v>
      </c>
      <c r="BW100" s="26">
        <f ca="1">_xll.CampagnaOutputPercentile(BW67,$D$97)</f>
        <v>0</v>
      </c>
      <c r="BX100" s="26">
        <f ca="1">_xll.CampagnaOutputPercentile(BX67,$D$97)</f>
        <v>0</v>
      </c>
      <c r="BY100" s="26">
        <f ca="1">_xll.CampagnaOutputPercentile(BY67,$D$97)</f>
        <v>0</v>
      </c>
      <c r="BZ100" s="26">
        <f ca="1">_xll.CampagnaOutputPercentile(BZ67,$D$97)</f>
        <v>0</v>
      </c>
      <c r="CA100" s="26">
        <f ca="1">_xll.CampagnaOutputPercentile(CA67,$D$97)</f>
        <v>0</v>
      </c>
      <c r="CB100" s="26">
        <f ca="1">_xll.CampagnaOutputPercentile(CB67,$D$97)</f>
        <v>0</v>
      </c>
      <c r="CC100" s="26">
        <f ca="1">_xll.CampagnaOutputPercentile(CC67,$D$97)</f>
        <v>0</v>
      </c>
      <c r="CD100" s="26">
        <f ca="1">_xll.CampagnaOutputPercentile(CD67,$D$97)</f>
        <v>0</v>
      </c>
      <c r="CE100" s="26">
        <f ca="1">_xll.CampagnaOutputPercentile(CE67,$D$97)</f>
        <v>0</v>
      </c>
      <c r="CF100" s="26">
        <f ca="1">_xll.CampagnaOutputPercentile(CF67,$D$97)</f>
        <v>0</v>
      </c>
      <c r="CG100" s="26">
        <f ca="1">_xll.CampagnaOutputPercentile(CG67,$D$97)</f>
        <v>0</v>
      </c>
      <c r="CH100" s="26">
        <f ca="1">_xll.CampagnaOutputPercentile(CH67,$D$97)</f>
        <v>0</v>
      </c>
      <c r="CI100" s="26">
        <f ca="1">_xll.CampagnaOutputPercentile(CI67,$D$97)</f>
        <v>0</v>
      </c>
      <c r="CJ100" s="26">
        <f ca="1">_xll.CampagnaOutputPercentile(CJ67,$D$97)</f>
        <v>0</v>
      </c>
      <c r="CK100" s="26">
        <f ca="1">_xll.CampagnaOutputPercentile(CK67,$D$97)</f>
        <v>0</v>
      </c>
      <c r="CL100" s="26">
        <f ca="1">_xll.CampagnaOutputPercentile(CL67,$D$97)</f>
        <v>0</v>
      </c>
      <c r="CM100" s="26">
        <f ca="1">_xll.CampagnaOutputPercentile(CM67,$D$97)</f>
        <v>0</v>
      </c>
      <c r="CN100" s="26">
        <f ca="1">_xll.CampagnaOutputPercentile(CN67,$D$97)</f>
        <v>0</v>
      </c>
      <c r="CO100" s="26">
        <f ca="1">_xll.CampagnaOutputPercentile(CO67,$D$97)</f>
        <v>0</v>
      </c>
    </row>
    <row r="101" spans="3:93" x14ac:dyDescent="0.3">
      <c r="C101" s="6" t="str">
        <f>Lookups!C6</f>
        <v>Assessment</v>
      </c>
      <c r="D101" s="26">
        <f ca="1">_xll.CampagnaOutputPercentile(D68,$D$97)</f>
        <v>0</v>
      </c>
      <c r="E101" s="26">
        <f ca="1">_xll.CampagnaOutputPercentile(E68,$D$97)</f>
        <v>0</v>
      </c>
      <c r="F101" s="26">
        <f ca="1">_xll.CampagnaOutputPercentile(F68,$D$97)</f>
        <v>0</v>
      </c>
      <c r="G101" s="26">
        <f ca="1">_xll.CampagnaOutputPercentile(G68,$D$97)</f>
        <v>0</v>
      </c>
      <c r="H101" s="26">
        <f ca="1">_xll.CampagnaOutputPercentile(H68,$D$97)</f>
        <v>0</v>
      </c>
      <c r="I101" s="26">
        <f ca="1">_xll.CampagnaOutputPercentile(I68,$D$97)</f>
        <v>0</v>
      </c>
      <c r="J101" s="26">
        <f ca="1">_xll.CampagnaOutputPercentile(J68,$D$97)</f>
        <v>0</v>
      </c>
      <c r="K101" s="26">
        <f ca="1">_xll.CampagnaOutputPercentile(K68,$D$97)</f>
        <v>0</v>
      </c>
      <c r="L101" s="26">
        <f ca="1">_xll.CampagnaOutputPercentile(L68,$D$97)</f>
        <v>0</v>
      </c>
      <c r="M101" s="26">
        <f ca="1">_xll.CampagnaOutputPercentile(M68,$D$97)</f>
        <v>0</v>
      </c>
      <c r="N101" s="26">
        <f ca="1">_xll.CampagnaOutputPercentile(N68,$D$97)</f>
        <v>0</v>
      </c>
      <c r="O101" s="26">
        <f ca="1">_xll.CampagnaOutputPercentile(O68,$D$97)</f>
        <v>0</v>
      </c>
      <c r="P101" s="26">
        <f ca="1">_xll.CampagnaOutputPercentile(P68,$D$97)</f>
        <v>0</v>
      </c>
      <c r="Q101" s="26">
        <f ca="1">_xll.CampagnaOutputPercentile(Q68,$D$97)</f>
        <v>0</v>
      </c>
      <c r="R101" s="26">
        <f ca="1">_xll.CampagnaOutputPercentile(R68,$D$97)</f>
        <v>0</v>
      </c>
      <c r="S101" s="26">
        <f ca="1">_xll.CampagnaOutputPercentile(S68,$D$97)</f>
        <v>0</v>
      </c>
      <c r="T101" s="26">
        <f ca="1">_xll.CampagnaOutputPercentile(T68,$D$97)</f>
        <v>0</v>
      </c>
      <c r="U101" s="26">
        <f ca="1">_xll.CampagnaOutputPercentile(U68,$D$97)</f>
        <v>12854.18872</v>
      </c>
      <c r="V101" s="26">
        <f ca="1">_xll.CampagnaOutputPercentile(V68,$D$97)</f>
        <v>15254.18872</v>
      </c>
      <c r="W101" s="26">
        <f ca="1">_xll.CampagnaOutputPercentile(W68,$D$97)</f>
        <v>12854.18872</v>
      </c>
      <c r="X101" s="26">
        <f ca="1">_xll.CampagnaOutputPercentile(X68,$D$97)</f>
        <v>12854.18872</v>
      </c>
      <c r="Y101" s="26">
        <f ca="1">_xll.CampagnaOutputPercentile(Y68,$D$97)</f>
        <v>12854.18872</v>
      </c>
      <c r="Z101" s="26">
        <f ca="1">_xll.CampagnaOutputPercentile(Z68,$D$97)</f>
        <v>0</v>
      </c>
      <c r="AA101" s="26">
        <f ca="1">_xll.CampagnaOutputPercentile(AA68,$D$97)</f>
        <v>0</v>
      </c>
      <c r="AB101" s="26">
        <f ca="1">_xll.CampagnaOutputPercentile(AB68,$D$97)</f>
        <v>0</v>
      </c>
      <c r="AC101" s="26">
        <f ca="1">_xll.CampagnaOutputPercentile(AC68,$D$97)</f>
        <v>0</v>
      </c>
      <c r="AD101" s="26">
        <f ca="1">_xll.CampagnaOutputPercentile(AD68,$D$97)</f>
        <v>0</v>
      </c>
      <c r="AE101" s="26">
        <f ca="1">_xll.CampagnaOutputPercentile(AE68,$D$97)</f>
        <v>0</v>
      </c>
      <c r="AF101" s="26">
        <f ca="1">_xll.CampagnaOutputPercentile(AF68,$D$97)</f>
        <v>0</v>
      </c>
      <c r="AG101" s="26">
        <f ca="1">_xll.CampagnaOutputPercentile(AG68,$D$97)</f>
        <v>0</v>
      </c>
      <c r="AH101" s="26">
        <f ca="1">_xll.CampagnaOutputPercentile(AH68,$D$97)</f>
        <v>0</v>
      </c>
      <c r="AI101" s="26">
        <f ca="1">_xll.CampagnaOutputPercentile(AI68,$D$97)</f>
        <v>0</v>
      </c>
      <c r="AJ101" s="26">
        <f ca="1">_xll.CampagnaOutputPercentile(AJ68,$D$97)</f>
        <v>0</v>
      </c>
      <c r="AK101" s="26">
        <f ca="1">_xll.CampagnaOutputPercentile(AK68,$D$97)</f>
        <v>0</v>
      </c>
      <c r="AL101" s="26">
        <f ca="1">_xll.CampagnaOutputPercentile(AL68,$D$97)</f>
        <v>0</v>
      </c>
      <c r="AM101" s="26">
        <f ca="1">_xll.CampagnaOutputPercentile(AM68,$D$97)</f>
        <v>0</v>
      </c>
      <c r="AN101" s="26">
        <f ca="1">_xll.CampagnaOutputPercentile(AN68,$D$97)</f>
        <v>0</v>
      </c>
      <c r="AO101" s="26">
        <f ca="1">_xll.CampagnaOutputPercentile(AO68,$D$97)</f>
        <v>0</v>
      </c>
      <c r="AP101" s="26">
        <f ca="1">_xll.CampagnaOutputPercentile(AP68,$D$97)</f>
        <v>0</v>
      </c>
      <c r="AQ101" s="26">
        <f ca="1">_xll.CampagnaOutputPercentile(AQ68,$D$97)</f>
        <v>0</v>
      </c>
      <c r="AR101" s="26">
        <f ca="1">_xll.CampagnaOutputPercentile(AR68,$D$97)</f>
        <v>0</v>
      </c>
      <c r="AS101" s="26">
        <f ca="1">_xll.CampagnaOutputPercentile(AS68,$D$97)</f>
        <v>0</v>
      </c>
      <c r="AT101" s="26">
        <f ca="1">_xll.CampagnaOutputPercentile(AT68,$D$97)</f>
        <v>0</v>
      </c>
      <c r="AU101" s="26">
        <f ca="1">_xll.CampagnaOutputPercentile(AU68,$D$97)</f>
        <v>0</v>
      </c>
      <c r="AV101" s="26">
        <f ca="1">_xll.CampagnaOutputPercentile(AV68,$D$97)</f>
        <v>0</v>
      </c>
      <c r="AW101" s="26">
        <f ca="1">_xll.CampagnaOutputPercentile(AW68,$D$97)</f>
        <v>0</v>
      </c>
      <c r="AX101" s="26">
        <f ca="1">_xll.CampagnaOutputPercentile(AX68,$D$97)</f>
        <v>0</v>
      </c>
      <c r="AY101" s="26">
        <f ca="1">_xll.CampagnaOutputPercentile(AY68,$D$97)</f>
        <v>0</v>
      </c>
      <c r="AZ101" s="26">
        <f ca="1">_xll.CampagnaOutputPercentile(AZ68,$D$97)</f>
        <v>0</v>
      </c>
      <c r="BA101" s="26">
        <f ca="1">_xll.CampagnaOutputPercentile(BA68,$D$97)</f>
        <v>0</v>
      </c>
      <c r="BB101" s="26">
        <f ca="1">_xll.CampagnaOutputPercentile(BB68,$D$97)</f>
        <v>0</v>
      </c>
      <c r="BC101" s="26">
        <f ca="1">_xll.CampagnaOutputPercentile(BC68,$D$97)</f>
        <v>0</v>
      </c>
      <c r="BD101" s="26">
        <f ca="1">_xll.CampagnaOutputPercentile(BD68,$D$97)</f>
        <v>0</v>
      </c>
      <c r="BE101" s="26">
        <f ca="1">_xll.CampagnaOutputPercentile(BE68,$D$97)</f>
        <v>0</v>
      </c>
      <c r="BF101" s="26">
        <f ca="1">_xll.CampagnaOutputPercentile(BF68,$D$97)</f>
        <v>0</v>
      </c>
      <c r="BG101" s="26">
        <f ca="1">_xll.CampagnaOutputPercentile(BG68,$D$97)</f>
        <v>0</v>
      </c>
      <c r="BH101" s="26">
        <f ca="1">_xll.CampagnaOutputPercentile(BH68,$D$97)</f>
        <v>0</v>
      </c>
      <c r="BI101" s="26">
        <f ca="1">_xll.CampagnaOutputPercentile(BI68,$D$97)</f>
        <v>0</v>
      </c>
      <c r="BJ101" s="26">
        <f ca="1">_xll.CampagnaOutputPercentile(BJ68,$D$97)</f>
        <v>0</v>
      </c>
      <c r="BK101" s="26">
        <f ca="1">_xll.CampagnaOutputPercentile(BK68,$D$97)</f>
        <v>0</v>
      </c>
      <c r="BL101" s="26">
        <f ca="1">_xll.CampagnaOutputPercentile(BL68,$D$97)</f>
        <v>0</v>
      </c>
      <c r="BM101" s="26">
        <f ca="1">_xll.CampagnaOutputPercentile(BM68,$D$97)</f>
        <v>0</v>
      </c>
      <c r="BN101" s="26">
        <f ca="1">_xll.CampagnaOutputPercentile(BN68,$D$97)</f>
        <v>0</v>
      </c>
      <c r="BO101" s="26">
        <f ca="1">_xll.CampagnaOutputPercentile(BO68,$D$97)</f>
        <v>0</v>
      </c>
      <c r="BP101" s="26">
        <f ca="1">_xll.CampagnaOutputPercentile(BP68,$D$97)</f>
        <v>0</v>
      </c>
      <c r="BQ101" s="26">
        <f ca="1">_xll.CampagnaOutputPercentile(BQ68,$D$97)</f>
        <v>0</v>
      </c>
      <c r="BR101" s="26">
        <f ca="1">_xll.CampagnaOutputPercentile(BR68,$D$97)</f>
        <v>0</v>
      </c>
      <c r="BS101" s="26">
        <f ca="1">_xll.CampagnaOutputPercentile(BS68,$D$97)</f>
        <v>0</v>
      </c>
      <c r="BT101" s="26">
        <f ca="1">_xll.CampagnaOutputPercentile(BT68,$D$97)</f>
        <v>0</v>
      </c>
      <c r="BU101" s="26">
        <f ca="1">_xll.CampagnaOutputPercentile(BU68,$D$97)</f>
        <v>0</v>
      </c>
      <c r="BV101" s="26">
        <f ca="1">_xll.CampagnaOutputPercentile(BV68,$D$97)</f>
        <v>0</v>
      </c>
      <c r="BW101" s="26">
        <f ca="1">_xll.CampagnaOutputPercentile(BW68,$D$97)</f>
        <v>0</v>
      </c>
      <c r="BX101" s="26">
        <f ca="1">_xll.CampagnaOutputPercentile(BX68,$D$97)</f>
        <v>0</v>
      </c>
      <c r="BY101" s="26">
        <f ca="1">_xll.CampagnaOutputPercentile(BY68,$D$97)</f>
        <v>0</v>
      </c>
      <c r="BZ101" s="26">
        <f ca="1">_xll.CampagnaOutputPercentile(BZ68,$D$97)</f>
        <v>0</v>
      </c>
      <c r="CA101" s="26">
        <f ca="1">_xll.CampagnaOutputPercentile(CA68,$D$97)</f>
        <v>0</v>
      </c>
      <c r="CB101" s="26">
        <f ca="1">_xll.CampagnaOutputPercentile(CB68,$D$97)</f>
        <v>0</v>
      </c>
      <c r="CC101" s="26">
        <f ca="1">_xll.CampagnaOutputPercentile(CC68,$D$97)</f>
        <v>0</v>
      </c>
      <c r="CD101" s="26">
        <f ca="1">_xll.CampagnaOutputPercentile(CD68,$D$97)</f>
        <v>0</v>
      </c>
      <c r="CE101" s="26">
        <f ca="1">_xll.CampagnaOutputPercentile(CE68,$D$97)</f>
        <v>0</v>
      </c>
      <c r="CF101" s="26">
        <f ca="1">_xll.CampagnaOutputPercentile(CF68,$D$97)</f>
        <v>0</v>
      </c>
      <c r="CG101" s="26">
        <f ca="1">_xll.CampagnaOutputPercentile(CG68,$D$97)</f>
        <v>0</v>
      </c>
      <c r="CH101" s="26">
        <f ca="1">_xll.CampagnaOutputPercentile(CH68,$D$97)</f>
        <v>0</v>
      </c>
      <c r="CI101" s="26">
        <f ca="1">_xll.CampagnaOutputPercentile(CI68,$D$97)</f>
        <v>0</v>
      </c>
      <c r="CJ101" s="26">
        <f ca="1">_xll.CampagnaOutputPercentile(CJ68,$D$97)</f>
        <v>0</v>
      </c>
      <c r="CK101" s="26">
        <f ca="1">_xll.CampagnaOutputPercentile(CK68,$D$97)</f>
        <v>0</v>
      </c>
      <c r="CL101" s="26">
        <f ca="1">_xll.CampagnaOutputPercentile(CL68,$D$97)</f>
        <v>0</v>
      </c>
      <c r="CM101" s="26">
        <f ca="1">_xll.CampagnaOutputPercentile(CM68,$D$97)</f>
        <v>0</v>
      </c>
      <c r="CN101" s="26">
        <f ca="1">_xll.CampagnaOutputPercentile(CN68,$D$97)</f>
        <v>0</v>
      </c>
      <c r="CO101" s="26">
        <f ca="1">_xll.CampagnaOutputPercentile(CO68,$D$97)</f>
        <v>0</v>
      </c>
    </row>
    <row r="102" spans="3:93" x14ac:dyDescent="0.3">
      <c r="C102" s="6" t="str">
        <f>Lookups!C7</f>
        <v>Design</v>
      </c>
      <c r="D102" s="26">
        <f ca="1">_xll.CampagnaOutputPercentile(D69,$D$97)</f>
        <v>0</v>
      </c>
      <c r="E102" s="26">
        <f ca="1">_xll.CampagnaOutputPercentile(E69,$D$97)</f>
        <v>0</v>
      </c>
      <c r="F102" s="26">
        <f ca="1">_xll.CampagnaOutputPercentile(F69,$D$97)</f>
        <v>0</v>
      </c>
      <c r="G102" s="26">
        <f ca="1">_xll.CampagnaOutputPercentile(G69,$D$97)</f>
        <v>0</v>
      </c>
      <c r="H102" s="26">
        <f ca="1">_xll.CampagnaOutputPercentile(H69,$D$97)</f>
        <v>0</v>
      </c>
      <c r="I102" s="26">
        <f ca="1">_xll.CampagnaOutputPercentile(I69,$D$97)</f>
        <v>0</v>
      </c>
      <c r="J102" s="26">
        <f ca="1">_xll.CampagnaOutputPercentile(J69,$D$97)</f>
        <v>0</v>
      </c>
      <c r="K102" s="26">
        <f ca="1">_xll.CampagnaOutputPercentile(K69,$D$97)</f>
        <v>0</v>
      </c>
      <c r="L102" s="26">
        <f ca="1">_xll.CampagnaOutputPercentile(L69,$D$97)</f>
        <v>0</v>
      </c>
      <c r="M102" s="26">
        <f ca="1">_xll.CampagnaOutputPercentile(M69,$D$97)</f>
        <v>0</v>
      </c>
      <c r="N102" s="26">
        <f ca="1">_xll.CampagnaOutputPercentile(N69,$D$97)</f>
        <v>0</v>
      </c>
      <c r="O102" s="26">
        <f ca="1">_xll.CampagnaOutputPercentile(O69,$D$97)</f>
        <v>0</v>
      </c>
      <c r="P102" s="26">
        <f ca="1">_xll.CampagnaOutputPercentile(P69,$D$97)</f>
        <v>0</v>
      </c>
      <c r="Q102" s="26">
        <f ca="1">_xll.CampagnaOutputPercentile(Q69,$D$97)</f>
        <v>0</v>
      </c>
      <c r="R102" s="26">
        <f ca="1">_xll.CampagnaOutputPercentile(R69,$D$97)</f>
        <v>0</v>
      </c>
      <c r="S102" s="26">
        <f ca="1">_xll.CampagnaOutputPercentile(S69,$D$97)</f>
        <v>0</v>
      </c>
      <c r="T102" s="26">
        <f ca="1">_xll.CampagnaOutputPercentile(T69,$D$97)</f>
        <v>0</v>
      </c>
      <c r="U102" s="26">
        <f ca="1">_xll.CampagnaOutputPercentile(U69,$D$97)</f>
        <v>20018.657730000003</v>
      </c>
      <c r="V102" s="26">
        <f ca="1">_xll.CampagnaOutputPercentile(V69,$D$97)</f>
        <v>20018.657730000003</v>
      </c>
      <c r="W102" s="26">
        <f ca="1">_xll.CampagnaOutputPercentile(W69,$D$97)</f>
        <v>22418.657730000003</v>
      </c>
      <c r="X102" s="26">
        <f ca="1">_xll.CampagnaOutputPercentile(X69,$D$97)</f>
        <v>20018.657730000003</v>
      </c>
      <c r="Y102" s="26">
        <f ca="1">_xll.CampagnaOutputPercentile(Y69,$D$97)</f>
        <v>20018.657730000003</v>
      </c>
      <c r="Z102" s="26">
        <f ca="1">_xll.CampagnaOutputPercentile(Z69,$D$97)</f>
        <v>0</v>
      </c>
      <c r="AA102" s="26">
        <f ca="1">_xll.CampagnaOutputPercentile(AA69,$D$97)</f>
        <v>0</v>
      </c>
      <c r="AB102" s="26">
        <f ca="1">_xll.CampagnaOutputPercentile(AB69,$D$97)</f>
        <v>0</v>
      </c>
      <c r="AC102" s="26">
        <f ca="1">_xll.CampagnaOutputPercentile(AC69,$D$97)</f>
        <v>0</v>
      </c>
      <c r="AD102" s="26">
        <f ca="1">_xll.CampagnaOutputPercentile(AD69,$D$97)</f>
        <v>0</v>
      </c>
      <c r="AE102" s="26">
        <f ca="1">_xll.CampagnaOutputPercentile(AE69,$D$97)</f>
        <v>0</v>
      </c>
      <c r="AF102" s="26">
        <f ca="1">_xll.CampagnaOutputPercentile(AF69,$D$97)</f>
        <v>0</v>
      </c>
      <c r="AG102" s="26">
        <f ca="1">_xll.CampagnaOutputPercentile(AG69,$D$97)</f>
        <v>0</v>
      </c>
      <c r="AH102" s="26">
        <f ca="1">_xll.CampagnaOutputPercentile(AH69,$D$97)</f>
        <v>0</v>
      </c>
      <c r="AI102" s="26">
        <f ca="1">_xll.CampagnaOutputPercentile(AI69,$D$97)</f>
        <v>0</v>
      </c>
      <c r="AJ102" s="26">
        <f ca="1">_xll.CampagnaOutputPercentile(AJ69,$D$97)</f>
        <v>0</v>
      </c>
      <c r="AK102" s="26">
        <f ca="1">_xll.CampagnaOutputPercentile(AK69,$D$97)</f>
        <v>0</v>
      </c>
      <c r="AL102" s="26">
        <f ca="1">_xll.CampagnaOutputPercentile(AL69,$D$97)</f>
        <v>0</v>
      </c>
      <c r="AM102" s="26">
        <f ca="1">_xll.CampagnaOutputPercentile(AM69,$D$97)</f>
        <v>0</v>
      </c>
      <c r="AN102" s="26">
        <f ca="1">_xll.CampagnaOutputPercentile(AN69,$D$97)</f>
        <v>0</v>
      </c>
      <c r="AO102" s="26">
        <f ca="1">_xll.CampagnaOutputPercentile(AO69,$D$97)</f>
        <v>0</v>
      </c>
      <c r="AP102" s="26">
        <f ca="1">_xll.CampagnaOutputPercentile(AP69,$D$97)</f>
        <v>0</v>
      </c>
      <c r="AQ102" s="26">
        <f ca="1">_xll.CampagnaOutputPercentile(AQ69,$D$97)</f>
        <v>0</v>
      </c>
      <c r="AR102" s="26">
        <f ca="1">_xll.CampagnaOutputPercentile(AR69,$D$97)</f>
        <v>0</v>
      </c>
      <c r="AS102" s="26">
        <f ca="1">_xll.CampagnaOutputPercentile(AS69,$D$97)</f>
        <v>0</v>
      </c>
      <c r="AT102" s="26">
        <f ca="1">_xll.CampagnaOutputPercentile(AT69,$D$97)</f>
        <v>0</v>
      </c>
      <c r="AU102" s="26">
        <f ca="1">_xll.CampagnaOutputPercentile(AU69,$D$97)</f>
        <v>0</v>
      </c>
      <c r="AV102" s="26">
        <f ca="1">_xll.CampagnaOutputPercentile(AV69,$D$97)</f>
        <v>0</v>
      </c>
      <c r="AW102" s="26">
        <f ca="1">_xll.CampagnaOutputPercentile(AW69,$D$97)</f>
        <v>0</v>
      </c>
      <c r="AX102" s="26">
        <f ca="1">_xll.CampagnaOutputPercentile(AX69,$D$97)</f>
        <v>0</v>
      </c>
      <c r="AY102" s="26">
        <f ca="1">_xll.CampagnaOutputPercentile(AY69,$D$97)</f>
        <v>0</v>
      </c>
      <c r="AZ102" s="26">
        <f ca="1">_xll.CampagnaOutputPercentile(AZ69,$D$97)</f>
        <v>0</v>
      </c>
      <c r="BA102" s="26">
        <f ca="1">_xll.CampagnaOutputPercentile(BA69,$D$97)</f>
        <v>0</v>
      </c>
      <c r="BB102" s="26">
        <f ca="1">_xll.CampagnaOutputPercentile(BB69,$D$97)</f>
        <v>0</v>
      </c>
      <c r="BC102" s="26">
        <f ca="1">_xll.CampagnaOutputPercentile(BC69,$D$97)</f>
        <v>0</v>
      </c>
      <c r="BD102" s="26">
        <f ca="1">_xll.CampagnaOutputPercentile(BD69,$D$97)</f>
        <v>0</v>
      </c>
      <c r="BE102" s="26">
        <f ca="1">_xll.CampagnaOutputPercentile(BE69,$D$97)</f>
        <v>0</v>
      </c>
      <c r="BF102" s="26">
        <f ca="1">_xll.CampagnaOutputPercentile(BF69,$D$97)</f>
        <v>0</v>
      </c>
      <c r="BG102" s="26">
        <f ca="1">_xll.CampagnaOutputPercentile(BG69,$D$97)</f>
        <v>0</v>
      </c>
      <c r="BH102" s="26">
        <f ca="1">_xll.CampagnaOutputPercentile(BH69,$D$97)</f>
        <v>0</v>
      </c>
      <c r="BI102" s="26">
        <f ca="1">_xll.CampagnaOutputPercentile(BI69,$D$97)</f>
        <v>0</v>
      </c>
      <c r="BJ102" s="26">
        <f ca="1">_xll.CampagnaOutputPercentile(BJ69,$D$97)</f>
        <v>0</v>
      </c>
      <c r="BK102" s="26">
        <f ca="1">_xll.CampagnaOutputPercentile(BK69,$D$97)</f>
        <v>0</v>
      </c>
      <c r="BL102" s="26">
        <f ca="1">_xll.CampagnaOutputPercentile(BL69,$D$97)</f>
        <v>0</v>
      </c>
      <c r="BM102" s="26">
        <f ca="1">_xll.CampagnaOutputPercentile(BM69,$D$97)</f>
        <v>0</v>
      </c>
      <c r="BN102" s="26">
        <f ca="1">_xll.CampagnaOutputPercentile(BN69,$D$97)</f>
        <v>0</v>
      </c>
      <c r="BO102" s="26">
        <f ca="1">_xll.CampagnaOutputPercentile(BO69,$D$97)</f>
        <v>0</v>
      </c>
      <c r="BP102" s="26">
        <f ca="1">_xll.CampagnaOutputPercentile(BP69,$D$97)</f>
        <v>0</v>
      </c>
      <c r="BQ102" s="26">
        <f ca="1">_xll.CampagnaOutputPercentile(BQ69,$D$97)</f>
        <v>0</v>
      </c>
      <c r="BR102" s="26">
        <f ca="1">_xll.CampagnaOutputPercentile(BR69,$D$97)</f>
        <v>0</v>
      </c>
      <c r="BS102" s="26">
        <f ca="1">_xll.CampagnaOutputPercentile(BS69,$D$97)</f>
        <v>0</v>
      </c>
      <c r="BT102" s="26">
        <f ca="1">_xll.CampagnaOutputPercentile(BT69,$D$97)</f>
        <v>0</v>
      </c>
      <c r="BU102" s="26">
        <f ca="1">_xll.CampagnaOutputPercentile(BU69,$D$97)</f>
        <v>0</v>
      </c>
      <c r="BV102" s="26">
        <f ca="1">_xll.CampagnaOutputPercentile(BV69,$D$97)</f>
        <v>0</v>
      </c>
      <c r="BW102" s="26">
        <f ca="1">_xll.CampagnaOutputPercentile(BW69,$D$97)</f>
        <v>0</v>
      </c>
      <c r="BX102" s="26">
        <f ca="1">_xll.CampagnaOutputPercentile(BX69,$D$97)</f>
        <v>0</v>
      </c>
      <c r="BY102" s="26">
        <f ca="1">_xll.CampagnaOutputPercentile(BY69,$D$97)</f>
        <v>0</v>
      </c>
      <c r="BZ102" s="26">
        <f ca="1">_xll.CampagnaOutputPercentile(BZ69,$D$97)</f>
        <v>0</v>
      </c>
      <c r="CA102" s="26">
        <f ca="1">_xll.CampagnaOutputPercentile(CA69,$D$97)</f>
        <v>0</v>
      </c>
      <c r="CB102" s="26">
        <f ca="1">_xll.CampagnaOutputPercentile(CB69,$D$97)</f>
        <v>0</v>
      </c>
      <c r="CC102" s="26">
        <f ca="1">_xll.CampagnaOutputPercentile(CC69,$D$97)</f>
        <v>0</v>
      </c>
      <c r="CD102" s="26">
        <f ca="1">_xll.CampagnaOutputPercentile(CD69,$D$97)</f>
        <v>0</v>
      </c>
      <c r="CE102" s="26">
        <f ca="1">_xll.CampagnaOutputPercentile(CE69,$D$97)</f>
        <v>0</v>
      </c>
      <c r="CF102" s="26">
        <f ca="1">_xll.CampagnaOutputPercentile(CF69,$D$97)</f>
        <v>0</v>
      </c>
      <c r="CG102" s="26">
        <f ca="1">_xll.CampagnaOutputPercentile(CG69,$D$97)</f>
        <v>0</v>
      </c>
      <c r="CH102" s="26">
        <f ca="1">_xll.CampagnaOutputPercentile(CH69,$D$97)</f>
        <v>0</v>
      </c>
      <c r="CI102" s="26">
        <f ca="1">_xll.CampagnaOutputPercentile(CI69,$D$97)</f>
        <v>0</v>
      </c>
      <c r="CJ102" s="26">
        <f ca="1">_xll.CampagnaOutputPercentile(CJ69,$D$97)</f>
        <v>0</v>
      </c>
      <c r="CK102" s="26">
        <f ca="1">_xll.CampagnaOutputPercentile(CK69,$D$97)</f>
        <v>0</v>
      </c>
      <c r="CL102" s="26">
        <f ca="1">_xll.CampagnaOutputPercentile(CL69,$D$97)</f>
        <v>0</v>
      </c>
      <c r="CM102" s="26">
        <f ca="1">_xll.CampagnaOutputPercentile(CM69,$D$97)</f>
        <v>0</v>
      </c>
      <c r="CN102" s="26">
        <f ca="1">_xll.CampagnaOutputPercentile(CN69,$D$97)</f>
        <v>0</v>
      </c>
      <c r="CO102" s="26">
        <f ca="1">_xll.CampagnaOutputPercentile(CO69,$D$97)</f>
        <v>0</v>
      </c>
    </row>
    <row r="103" spans="3:93" x14ac:dyDescent="0.3">
      <c r="C103" s="6" t="str">
        <f>Lookups!C8</f>
        <v>Manufacture</v>
      </c>
      <c r="D103" s="26">
        <f ca="1">_xll.CampagnaOutputPercentile(D70,$D$97)</f>
        <v>0</v>
      </c>
      <c r="E103" s="26">
        <f ca="1">_xll.CampagnaOutputPercentile(E70,$D$97)</f>
        <v>0</v>
      </c>
      <c r="F103" s="26">
        <f ca="1">_xll.CampagnaOutputPercentile(F70,$D$97)</f>
        <v>0</v>
      </c>
      <c r="G103" s="26">
        <f ca="1">_xll.CampagnaOutputPercentile(G70,$D$97)</f>
        <v>0</v>
      </c>
      <c r="H103" s="26">
        <f ca="1">_xll.CampagnaOutputPercentile(H70,$D$97)</f>
        <v>0</v>
      </c>
      <c r="I103" s="26">
        <f ca="1">_xll.CampagnaOutputPercentile(I70,$D$97)</f>
        <v>0</v>
      </c>
      <c r="J103" s="26">
        <f ca="1">_xll.CampagnaOutputPercentile(J70,$D$97)</f>
        <v>0</v>
      </c>
      <c r="K103" s="26">
        <f ca="1">_xll.CampagnaOutputPercentile(K70,$D$97)</f>
        <v>0</v>
      </c>
      <c r="L103" s="26">
        <f ca="1">_xll.CampagnaOutputPercentile(L70,$D$97)</f>
        <v>0</v>
      </c>
      <c r="M103" s="26">
        <f ca="1">_xll.CampagnaOutputPercentile(M70,$D$97)</f>
        <v>0</v>
      </c>
      <c r="N103" s="26">
        <f ca="1">_xll.CampagnaOutputPercentile(N70,$D$97)</f>
        <v>0</v>
      </c>
      <c r="O103" s="26">
        <f ca="1">_xll.CampagnaOutputPercentile(O70,$D$97)</f>
        <v>0</v>
      </c>
      <c r="P103" s="26">
        <f ca="1">_xll.CampagnaOutputPercentile(P70,$D$97)</f>
        <v>0</v>
      </c>
      <c r="Q103" s="26">
        <f ca="1">_xll.CampagnaOutputPercentile(Q70,$D$97)</f>
        <v>0</v>
      </c>
      <c r="R103" s="26">
        <f ca="1">_xll.CampagnaOutputPercentile(R70,$D$97)</f>
        <v>0</v>
      </c>
      <c r="S103" s="26">
        <f ca="1">_xll.CampagnaOutputPercentile(S70,$D$97)</f>
        <v>0</v>
      </c>
      <c r="T103" s="26">
        <f ca="1">_xll.CampagnaOutputPercentile(T70,$D$97)</f>
        <v>0</v>
      </c>
      <c r="U103" s="26">
        <f ca="1">_xll.CampagnaOutputPercentile(U70,$D$97)</f>
        <v>0</v>
      </c>
      <c r="V103" s="26">
        <f ca="1">_xll.CampagnaOutputPercentile(V70,$D$97)</f>
        <v>0</v>
      </c>
      <c r="W103" s="26">
        <f ca="1">_xll.CampagnaOutputPercentile(W70,$D$97)</f>
        <v>0</v>
      </c>
      <c r="X103" s="26">
        <f ca="1">_xll.CampagnaOutputPercentile(X70,$D$97)</f>
        <v>2400</v>
      </c>
      <c r="Y103" s="26">
        <f ca="1">_xll.CampagnaOutputPercentile(Y70,$D$97)</f>
        <v>0</v>
      </c>
      <c r="Z103" s="26">
        <f ca="1">_xll.CampagnaOutputPercentile(Z70,$D$97)</f>
        <v>0</v>
      </c>
      <c r="AA103" s="26">
        <f ca="1">_xll.CampagnaOutputPercentile(AA70,$D$97)</f>
        <v>0</v>
      </c>
      <c r="AB103" s="26">
        <f ca="1">_xll.CampagnaOutputPercentile(AB70,$D$97)</f>
        <v>0</v>
      </c>
      <c r="AC103" s="26">
        <f ca="1">_xll.CampagnaOutputPercentile(AC70,$D$97)</f>
        <v>0</v>
      </c>
      <c r="AD103" s="26">
        <f ca="1">_xll.CampagnaOutputPercentile(AD70,$D$97)</f>
        <v>0</v>
      </c>
      <c r="AE103" s="26">
        <f ca="1">_xll.CampagnaOutputPercentile(AE70,$D$97)</f>
        <v>0</v>
      </c>
      <c r="AF103" s="26">
        <f ca="1">_xll.CampagnaOutputPercentile(AF70,$D$97)</f>
        <v>0</v>
      </c>
      <c r="AG103" s="26">
        <f ca="1">_xll.CampagnaOutputPercentile(AG70,$D$97)</f>
        <v>0</v>
      </c>
      <c r="AH103" s="26">
        <f ca="1">_xll.CampagnaOutputPercentile(AH70,$D$97)</f>
        <v>0</v>
      </c>
      <c r="AI103" s="26">
        <f ca="1">_xll.CampagnaOutputPercentile(AI70,$D$97)</f>
        <v>0</v>
      </c>
      <c r="AJ103" s="26">
        <f ca="1">_xll.CampagnaOutputPercentile(AJ70,$D$97)</f>
        <v>0</v>
      </c>
      <c r="AK103" s="26">
        <f ca="1">_xll.CampagnaOutputPercentile(AK70,$D$97)</f>
        <v>0</v>
      </c>
      <c r="AL103" s="26">
        <f ca="1">_xll.CampagnaOutputPercentile(AL70,$D$97)</f>
        <v>0</v>
      </c>
      <c r="AM103" s="26">
        <f ca="1">_xll.CampagnaOutputPercentile(AM70,$D$97)</f>
        <v>0</v>
      </c>
      <c r="AN103" s="26">
        <f ca="1">_xll.CampagnaOutputPercentile(AN70,$D$97)</f>
        <v>0</v>
      </c>
      <c r="AO103" s="26">
        <f ca="1">_xll.CampagnaOutputPercentile(AO70,$D$97)</f>
        <v>0</v>
      </c>
      <c r="AP103" s="26">
        <f ca="1">_xll.CampagnaOutputPercentile(AP70,$D$97)</f>
        <v>0</v>
      </c>
      <c r="AQ103" s="26">
        <f ca="1">_xll.CampagnaOutputPercentile(AQ70,$D$97)</f>
        <v>0</v>
      </c>
      <c r="AR103" s="26">
        <f ca="1">_xll.CampagnaOutputPercentile(AR70,$D$97)</f>
        <v>0</v>
      </c>
      <c r="AS103" s="26">
        <f ca="1">_xll.CampagnaOutputPercentile(AS70,$D$97)</f>
        <v>0</v>
      </c>
      <c r="AT103" s="26">
        <f ca="1">_xll.CampagnaOutputPercentile(AT70,$D$97)</f>
        <v>0</v>
      </c>
      <c r="AU103" s="26">
        <f ca="1">_xll.CampagnaOutputPercentile(AU70,$D$97)</f>
        <v>0</v>
      </c>
      <c r="AV103" s="26">
        <f ca="1">_xll.CampagnaOutputPercentile(AV70,$D$97)</f>
        <v>0</v>
      </c>
      <c r="AW103" s="26">
        <f ca="1">_xll.CampagnaOutputPercentile(AW70,$D$97)</f>
        <v>0</v>
      </c>
      <c r="AX103" s="26">
        <f ca="1">_xll.CampagnaOutputPercentile(AX70,$D$97)</f>
        <v>0</v>
      </c>
      <c r="AY103" s="26">
        <f ca="1">_xll.CampagnaOutputPercentile(AY70,$D$97)</f>
        <v>0</v>
      </c>
      <c r="AZ103" s="26">
        <f ca="1">_xll.CampagnaOutputPercentile(AZ70,$D$97)</f>
        <v>0</v>
      </c>
      <c r="BA103" s="26">
        <f ca="1">_xll.CampagnaOutputPercentile(BA70,$D$97)</f>
        <v>0</v>
      </c>
      <c r="BB103" s="26">
        <f ca="1">_xll.CampagnaOutputPercentile(BB70,$D$97)</f>
        <v>0</v>
      </c>
      <c r="BC103" s="26">
        <f ca="1">_xll.CampagnaOutputPercentile(BC70,$D$97)</f>
        <v>0</v>
      </c>
      <c r="BD103" s="26">
        <f ca="1">_xll.CampagnaOutputPercentile(BD70,$D$97)</f>
        <v>0</v>
      </c>
      <c r="BE103" s="26">
        <f ca="1">_xll.CampagnaOutputPercentile(BE70,$D$97)</f>
        <v>0</v>
      </c>
      <c r="BF103" s="26">
        <f ca="1">_xll.CampagnaOutputPercentile(BF70,$D$97)</f>
        <v>0</v>
      </c>
      <c r="BG103" s="26">
        <f ca="1">_xll.CampagnaOutputPercentile(BG70,$D$97)</f>
        <v>0</v>
      </c>
      <c r="BH103" s="26">
        <f ca="1">_xll.CampagnaOutputPercentile(BH70,$D$97)</f>
        <v>0</v>
      </c>
      <c r="BI103" s="26">
        <f ca="1">_xll.CampagnaOutputPercentile(BI70,$D$97)</f>
        <v>0</v>
      </c>
      <c r="BJ103" s="26">
        <f ca="1">_xll.CampagnaOutputPercentile(BJ70,$D$97)</f>
        <v>0</v>
      </c>
      <c r="BK103" s="26">
        <f ca="1">_xll.CampagnaOutputPercentile(BK70,$D$97)</f>
        <v>0</v>
      </c>
      <c r="BL103" s="26">
        <f ca="1">_xll.CampagnaOutputPercentile(BL70,$D$97)</f>
        <v>0</v>
      </c>
      <c r="BM103" s="26">
        <f ca="1">_xll.CampagnaOutputPercentile(BM70,$D$97)</f>
        <v>0</v>
      </c>
      <c r="BN103" s="26">
        <f ca="1">_xll.CampagnaOutputPercentile(BN70,$D$97)</f>
        <v>0</v>
      </c>
      <c r="BO103" s="26">
        <f ca="1">_xll.CampagnaOutputPercentile(BO70,$D$97)</f>
        <v>0</v>
      </c>
      <c r="BP103" s="26">
        <f ca="1">_xll.CampagnaOutputPercentile(BP70,$D$97)</f>
        <v>0</v>
      </c>
      <c r="BQ103" s="26">
        <f ca="1">_xll.CampagnaOutputPercentile(BQ70,$D$97)</f>
        <v>0</v>
      </c>
      <c r="BR103" s="26">
        <f ca="1">_xll.CampagnaOutputPercentile(BR70,$D$97)</f>
        <v>0</v>
      </c>
      <c r="BS103" s="26">
        <f ca="1">_xll.CampagnaOutputPercentile(BS70,$D$97)</f>
        <v>0</v>
      </c>
      <c r="BT103" s="26">
        <f ca="1">_xll.CampagnaOutputPercentile(BT70,$D$97)</f>
        <v>0</v>
      </c>
      <c r="BU103" s="26">
        <f ca="1">_xll.CampagnaOutputPercentile(BU70,$D$97)</f>
        <v>0</v>
      </c>
      <c r="BV103" s="26">
        <f ca="1">_xll.CampagnaOutputPercentile(BV70,$D$97)</f>
        <v>0</v>
      </c>
      <c r="BW103" s="26">
        <f ca="1">_xll.CampagnaOutputPercentile(BW70,$D$97)</f>
        <v>0</v>
      </c>
      <c r="BX103" s="26">
        <f ca="1">_xll.CampagnaOutputPercentile(BX70,$D$97)</f>
        <v>0</v>
      </c>
      <c r="BY103" s="26">
        <f ca="1">_xll.CampagnaOutputPercentile(BY70,$D$97)</f>
        <v>0</v>
      </c>
      <c r="BZ103" s="26">
        <f ca="1">_xll.CampagnaOutputPercentile(BZ70,$D$97)</f>
        <v>0</v>
      </c>
      <c r="CA103" s="26">
        <f ca="1">_xll.CampagnaOutputPercentile(CA70,$D$97)</f>
        <v>0</v>
      </c>
      <c r="CB103" s="26">
        <f ca="1">_xll.CampagnaOutputPercentile(CB70,$D$97)</f>
        <v>0</v>
      </c>
      <c r="CC103" s="26">
        <f ca="1">_xll.CampagnaOutputPercentile(CC70,$D$97)</f>
        <v>0</v>
      </c>
      <c r="CD103" s="26">
        <f ca="1">_xll.CampagnaOutputPercentile(CD70,$D$97)</f>
        <v>0</v>
      </c>
      <c r="CE103" s="26">
        <f ca="1">_xll.CampagnaOutputPercentile(CE70,$D$97)</f>
        <v>0</v>
      </c>
      <c r="CF103" s="26">
        <f ca="1">_xll.CampagnaOutputPercentile(CF70,$D$97)</f>
        <v>0</v>
      </c>
      <c r="CG103" s="26">
        <f ca="1">_xll.CampagnaOutputPercentile(CG70,$D$97)</f>
        <v>0</v>
      </c>
      <c r="CH103" s="26">
        <f ca="1">_xll.CampagnaOutputPercentile(CH70,$D$97)</f>
        <v>0</v>
      </c>
      <c r="CI103" s="26">
        <f ca="1">_xll.CampagnaOutputPercentile(CI70,$D$97)</f>
        <v>0</v>
      </c>
      <c r="CJ103" s="26">
        <f ca="1">_xll.CampagnaOutputPercentile(CJ70,$D$97)</f>
        <v>0</v>
      </c>
      <c r="CK103" s="26">
        <f ca="1">_xll.CampagnaOutputPercentile(CK70,$D$97)</f>
        <v>0</v>
      </c>
      <c r="CL103" s="26">
        <f ca="1">_xll.CampagnaOutputPercentile(CL70,$D$97)</f>
        <v>0</v>
      </c>
      <c r="CM103" s="26">
        <f ca="1">_xll.CampagnaOutputPercentile(CM70,$D$97)</f>
        <v>0</v>
      </c>
      <c r="CN103" s="26">
        <f ca="1">_xll.CampagnaOutputPercentile(CN70,$D$97)</f>
        <v>0</v>
      </c>
      <c r="CO103" s="26">
        <f ca="1">_xll.CampagnaOutputPercentile(CO70,$D$97)</f>
        <v>0</v>
      </c>
    </row>
    <row r="104" spans="3:93" x14ac:dyDescent="0.3">
      <c r="C104" s="6" t="str">
        <f>Lookups!C9</f>
        <v>In-Service</v>
      </c>
      <c r="D104" s="26">
        <f ca="1">_xll.CampagnaOutputPercentile(D71,$D$97)</f>
        <v>0</v>
      </c>
      <c r="E104" s="26">
        <f ca="1">_xll.CampagnaOutputPercentile(E71,$D$97)</f>
        <v>0</v>
      </c>
      <c r="F104" s="26">
        <f ca="1">_xll.CampagnaOutputPercentile(F71,$D$97)</f>
        <v>0</v>
      </c>
      <c r="G104" s="26">
        <f ca="1">_xll.CampagnaOutputPercentile(G71,$D$97)</f>
        <v>0</v>
      </c>
      <c r="H104" s="26">
        <f ca="1">_xll.CampagnaOutputPercentile(H71,$D$97)</f>
        <v>0</v>
      </c>
      <c r="I104" s="26">
        <f ca="1">_xll.CampagnaOutputPercentile(I71,$D$97)</f>
        <v>0</v>
      </c>
      <c r="J104" s="26">
        <f ca="1">_xll.CampagnaOutputPercentile(J71,$D$97)</f>
        <v>0</v>
      </c>
      <c r="K104" s="26">
        <f ca="1">_xll.CampagnaOutputPercentile(K71,$D$97)</f>
        <v>0</v>
      </c>
      <c r="L104" s="26">
        <f ca="1">_xll.CampagnaOutputPercentile(L71,$D$97)</f>
        <v>0</v>
      </c>
      <c r="M104" s="26">
        <f ca="1">_xll.CampagnaOutputPercentile(M71,$D$97)</f>
        <v>0</v>
      </c>
      <c r="N104" s="26">
        <f ca="1">_xll.CampagnaOutputPercentile(N71,$D$97)</f>
        <v>0</v>
      </c>
      <c r="O104" s="26">
        <f ca="1">_xll.CampagnaOutputPercentile(O71,$D$97)</f>
        <v>0</v>
      </c>
      <c r="P104" s="26">
        <f ca="1">_xll.CampagnaOutputPercentile(P71,$D$97)</f>
        <v>0</v>
      </c>
      <c r="Q104" s="26">
        <f ca="1">_xll.CampagnaOutputPercentile(Q71,$D$97)</f>
        <v>0</v>
      </c>
      <c r="R104" s="26">
        <f ca="1">_xll.CampagnaOutputPercentile(R71,$D$97)</f>
        <v>0</v>
      </c>
      <c r="S104" s="26">
        <f ca="1">_xll.CampagnaOutputPercentile(S71,$D$97)</f>
        <v>0</v>
      </c>
      <c r="T104" s="26">
        <f ca="1">_xll.CampagnaOutputPercentile(T71,$D$97)</f>
        <v>0</v>
      </c>
      <c r="U104" s="26">
        <f ca="1">_xll.CampagnaOutputPercentile(U71,$D$97)</f>
        <v>0</v>
      </c>
      <c r="V104" s="26">
        <f ca="1">_xll.CampagnaOutputPercentile(V71,$D$97)</f>
        <v>0</v>
      </c>
      <c r="W104" s="26">
        <f ca="1">_xll.CampagnaOutputPercentile(W71,$D$97)</f>
        <v>0</v>
      </c>
      <c r="X104" s="26">
        <f ca="1">_xll.CampagnaOutputPercentile(X71,$D$97)</f>
        <v>0</v>
      </c>
      <c r="Y104" s="26">
        <f ca="1">_xll.CampagnaOutputPercentile(Y71,$D$97)</f>
        <v>2406.7141900000001</v>
      </c>
      <c r="Z104" s="26">
        <f ca="1">_xll.CampagnaOutputPercentile(Z71,$D$97)</f>
        <v>0</v>
      </c>
      <c r="AA104" s="26">
        <f ca="1">_xll.CampagnaOutputPercentile(AA71,$D$97)</f>
        <v>0</v>
      </c>
      <c r="AB104" s="26">
        <f ca="1">_xll.CampagnaOutputPercentile(AB71,$D$97)</f>
        <v>0</v>
      </c>
      <c r="AC104" s="26">
        <f ca="1">_xll.CampagnaOutputPercentile(AC71,$D$97)</f>
        <v>0</v>
      </c>
      <c r="AD104" s="26">
        <f ca="1">_xll.CampagnaOutputPercentile(AD71,$D$97)</f>
        <v>0</v>
      </c>
      <c r="AE104" s="26">
        <f ca="1">_xll.CampagnaOutputPercentile(AE71,$D$97)</f>
        <v>0</v>
      </c>
      <c r="AF104" s="26">
        <f ca="1">_xll.CampagnaOutputPercentile(AF71,$D$97)</f>
        <v>0</v>
      </c>
      <c r="AG104" s="26">
        <f ca="1">_xll.CampagnaOutputPercentile(AG71,$D$97)</f>
        <v>0</v>
      </c>
      <c r="AH104" s="26">
        <f ca="1">_xll.CampagnaOutputPercentile(AH71,$D$97)</f>
        <v>0</v>
      </c>
      <c r="AI104" s="26">
        <f ca="1">_xll.CampagnaOutputPercentile(AI71,$D$97)</f>
        <v>0</v>
      </c>
      <c r="AJ104" s="26">
        <f ca="1">_xll.CampagnaOutputPercentile(AJ71,$D$97)</f>
        <v>0</v>
      </c>
      <c r="AK104" s="26">
        <f ca="1">_xll.CampagnaOutputPercentile(AK71,$D$97)</f>
        <v>0</v>
      </c>
      <c r="AL104" s="26">
        <f ca="1">_xll.CampagnaOutputPercentile(AL71,$D$97)</f>
        <v>0</v>
      </c>
      <c r="AM104" s="26">
        <f ca="1">_xll.CampagnaOutputPercentile(AM71,$D$97)</f>
        <v>0</v>
      </c>
      <c r="AN104" s="26">
        <f ca="1">_xll.CampagnaOutputPercentile(AN71,$D$97)</f>
        <v>0</v>
      </c>
      <c r="AO104" s="26">
        <f ca="1">_xll.CampagnaOutputPercentile(AO71,$D$97)</f>
        <v>0</v>
      </c>
      <c r="AP104" s="26">
        <f ca="1">_xll.CampagnaOutputPercentile(AP71,$D$97)</f>
        <v>0</v>
      </c>
      <c r="AQ104" s="26">
        <f ca="1">_xll.CampagnaOutputPercentile(AQ71,$D$97)</f>
        <v>0</v>
      </c>
      <c r="AR104" s="26">
        <f ca="1">_xll.CampagnaOutputPercentile(AR71,$D$97)</f>
        <v>0</v>
      </c>
      <c r="AS104" s="26">
        <f ca="1">_xll.CampagnaOutputPercentile(AS71,$D$97)</f>
        <v>0</v>
      </c>
      <c r="AT104" s="26">
        <f ca="1">_xll.CampagnaOutputPercentile(AT71,$D$97)</f>
        <v>0</v>
      </c>
      <c r="AU104" s="26">
        <f ca="1">_xll.CampagnaOutputPercentile(AU71,$D$97)</f>
        <v>0</v>
      </c>
      <c r="AV104" s="26">
        <f ca="1">_xll.CampagnaOutputPercentile(AV71,$D$97)</f>
        <v>0</v>
      </c>
      <c r="AW104" s="26">
        <f ca="1">_xll.CampagnaOutputPercentile(AW71,$D$97)</f>
        <v>0</v>
      </c>
      <c r="AX104" s="26">
        <f ca="1">_xll.CampagnaOutputPercentile(AX71,$D$97)</f>
        <v>0</v>
      </c>
      <c r="AY104" s="26">
        <f ca="1">_xll.CampagnaOutputPercentile(AY71,$D$97)</f>
        <v>0</v>
      </c>
      <c r="AZ104" s="26">
        <f ca="1">_xll.CampagnaOutputPercentile(AZ71,$D$97)</f>
        <v>0</v>
      </c>
      <c r="BA104" s="26">
        <f ca="1">_xll.CampagnaOutputPercentile(BA71,$D$97)</f>
        <v>0</v>
      </c>
      <c r="BB104" s="26">
        <f ca="1">_xll.CampagnaOutputPercentile(BB71,$D$97)</f>
        <v>0</v>
      </c>
      <c r="BC104" s="26">
        <f ca="1">_xll.CampagnaOutputPercentile(BC71,$D$97)</f>
        <v>0</v>
      </c>
      <c r="BD104" s="26">
        <f ca="1">_xll.CampagnaOutputPercentile(BD71,$D$97)</f>
        <v>0</v>
      </c>
      <c r="BE104" s="26">
        <f ca="1">_xll.CampagnaOutputPercentile(BE71,$D$97)</f>
        <v>0</v>
      </c>
      <c r="BF104" s="26">
        <f ca="1">_xll.CampagnaOutputPercentile(BF71,$D$97)</f>
        <v>0</v>
      </c>
      <c r="BG104" s="26">
        <f ca="1">_xll.CampagnaOutputPercentile(BG71,$D$97)</f>
        <v>0</v>
      </c>
      <c r="BH104" s="26">
        <f ca="1">_xll.CampagnaOutputPercentile(BH71,$D$97)</f>
        <v>0</v>
      </c>
      <c r="BI104" s="26">
        <f ca="1">_xll.CampagnaOutputPercentile(BI71,$D$97)</f>
        <v>0</v>
      </c>
      <c r="BJ104" s="26">
        <f ca="1">_xll.CampagnaOutputPercentile(BJ71,$D$97)</f>
        <v>0</v>
      </c>
      <c r="BK104" s="26">
        <f ca="1">_xll.CampagnaOutputPercentile(BK71,$D$97)</f>
        <v>0</v>
      </c>
      <c r="BL104" s="26">
        <f ca="1">_xll.CampagnaOutputPercentile(BL71,$D$97)</f>
        <v>0</v>
      </c>
      <c r="BM104" s="26">
        <f ca="1">_xll.CampagnaOutputPercentile(BM71,$D$97)</f>
        <v>0</v>
      </c>
      <c r="BN104" s="26">
        <f ca="1">_xll.CampagnaOutputPercentile(BN71,$D$97)</f>
        <v>0</v>
      </c>
      <c r="BO104" s="26">
        <f ca="1">_xll.CampagnaOutputPercentile(BO71,$D$97)</f>
        <v>0</v>
      </c>
      <c r="BP104" s="26">
        <f ca="1">_xll.CampagnaOutputPercentile(BP71,$D$97)</f>
        <v>0</v>
      </c>
      <c r="BQ104" s="26">
        <f ca="1">_xll.CampagnaOutputPercentile(BQ71,$D$97)</f>
        <v>0</v>
      </c>
      <c r="BR104" s="26">
        <f ca="1">_xll.CampagnaOutputPercentile(BR71,$D$97)</f>
        <v>0</v>
      </c>
      <c r="BS104" s="26">
        <f ca="1">_xll.CampagnaOutputPercentile(BS71,$D$97)</f>
        <v>0</v>
      </c>
      <c r="BT104" s="26">
        <f ca="1">_xll.CampagnaOutputPercentile(BT71,$D$97)</f>
        <v>0</v>
      </c>
      <c r="BU104" s="26">
        <f ca="1">_xll.CampagnaOutputPercentile(BU71,$D$97)</f>
        <v>0</v>
      </c>
      <c r="BV104" s="26">
        <f ca="1">_xll.CampagnaOutputPercentile(BV71,$D$97)</f>
        <v>0</v>
      </c>
      <c r="BW104" s="26">
        <f ca="1">_xll.CampagnaOutputPercentile(BW71,$D$97)</f>
        <v>0</v>
      </c>
      <c r="BX104" s="26">
        <f ca="1">_xll.CampagnaOutputPercentile(BX71,$D$97)</f>
        <v>0</v>
      </c>
      <c r="BY104" s="26">
        <f ca="1">_xll.CampagnaOutputPercentile(BY71,$D$97)</f>
        <v>0</v>
      </c>
      <c r="BZ104" s="26">
        <f ca="1">_xll.CampagnaOutputPercentile(BZ71,$D$97)</f>
        <v>0</v>
      </c>
      <c r="CA104" s="26">
        <f ca="1">_xll.CampagnaOutputPercentile(CA71,$D$97)</f>
        <v>0</v>
      </c>
      <c r="CB104" s="26">
        <f ca="1">_xll.CampagnaOutputPercentile(CB71,$D$97)</f>
        <v>0</v>
      </c>
      <c r="CC104" s="26">
        <f ca="1">_xll.CampagnaOutputPercentile(CC71,$D$97)</f>
        <v>0</v>
      </c>
      <c r="CD104" s="26">
        <f ca="1">_xll.CampagnaOutputPercentile(CD71,$D$97)</f>
        <v>0</v>
      </c>
      <c r="CE104" s="26">
        <f ca="1">_xll.CampagnaOutputPercentile(CE71,$D$97)</f>
        <v>0</v>
      </c>
      <c r="CF104" s="26">
        <f ca="1">_xll.CampagnaOutputPercentile(CF71,$D$97)</f>
        <v>0</v>
      </c>
      <c r="CG104" s="26">
        <f ca="1">_xll.CampagnaOutputPercentile(CG71,$D$97)</f>
        <v>0</v>
      </c>
      <c r="CH104" s="26">
        <f ca="1">_xll.CampagnaOutputPercentile(CH71,$D$97)</f>
        <v>0</v>
      </c>
      <c r="CI104" s="26">
        <f ca="1">_xll.CampagnaOutputPercentile(CI71,$D$97)</f>
        <v>0</v>
      </c>
      <c r="CJ104" s="26">
        <f ca="1">_xll.CampagnaOutputPercentile(CJ71,$D$97)</f>
        <v>0</v>
      </c>
      <c r="CK104" s="26">
        <f ca="1">_xll.CampagnaOutputPercentile(CK71,$D$97)</f>
        <v>0</v>
      </c>
      <c r="CL104" s="26">
        <f ca="1">_xll.CampagnaOutputPercentile(CL71,$D$97)</f>
        <v>0</v>
      </c>
      <c r="CM104" s="26">
        <f ca="1">_xll.CampagnaOutputPercentile(CM71,$D$97)</f>
        <v>0</v>
      </c>
      <c r="CN104" s="26">
        <f ca="1">_xll.CampagnaOutputPercentile(CN71,$D$97)</f>
        <v>0</v>
      </c>
      <c r="CO104" s="26">
        <f ca="1">_xll.CampagnaOutputPercentile(CO71,$D$97)</f>
        <v>0</v>
      </c>
    </row>
    <row r="106" spans="3:93" x14ac:dyDescent="0.3">
      <c r="C106" s="6" t="s">
        <v>65</v>
      </c>
      <c r="D106" s="31">
        <f ca="1">SUM(D100:D104)</f>
        <v>0</v>
      </c>
      <c r="E106" s="31">
        <f t="shared" ref="E106:BP106" ca="1" si="14">SUM(E100:E104)</f>
        <v>0</v>
      </c>
      <c r="F106" s="31">
        <f t="shared" ca="1" si="14"/>
        <v>0</v>
      </c>
      <c r="G106" s="31">
        <f t="shared" ca="1" si="14"/>
        <v>0</v>
      </c>
      <c r="H106" s="31">
        <f t="shared" ca="1" si="14"/>
        <v>0</v>
      </c>
      <c r="I106" s="31">
        <f t="shared" ca="1" si="14"/>
        <v>0</v>
      </c>
      <c r="J106" s="31">
        <f t="shared" ca="1" si="14"/>
        <v>0</v>
      </c>
      <c r="K106" s="31">
        <f t="shared" ca="1" si="14"/>
        <v>0</v>
      </c>
      <c r="L106" s="31">
        <f t="shared" ca="1" si="14"/>
        <v>0</v>
      </c>
      <c r="M106" s="31">
        <f t="shared" ca="1" si="14"/>
        <v>0</v>
      </c>
      <c r="N106" s="31">
        <f t="shared" ca="1" si="14"/>
        <v>0</v>
      </c>
      <c r="O106" s="31">
        <f t="shared" ca="1" si="14"/>
        <v>0</v>
      </c>
      <c r="P106" s="31">
        <f t="shared" ca="1" si="14"/>
        <v>0</v>
      </c>
      <c r="Q106" s="31">
        <f t="shared" ca="1" si="14"/>
        <v>0</v>
      </c>
      <c r="R106" s="31">
        <f t="shared" ca="1" si="14"/>
        <v>0</v>
      </c>
      <c r="S106" s="31">
        <f t="shared" ca="1" si="14"/>
        <v>0</v>
      </c>
      <c r="T106" s="31">
        <f t="shared" ca="1" si="14"/>
        <v>0</v>
      </c>
      <c r="U106" s="31">
        <f t="shared" ca="1" si="14"/>
        <v>40286.036270000004</v>
      </c>
      <c r="V106" s="31">
        <f t="shared" ca="1" si="14"/>
        <v>40803.755669999999</v>
      </c>
      <c r="W106" s="31">
        <f t="shared" ca="1" si="14"/>
        <v>40803.755669999999</v>
      </c>
      <c r="X106" s="31">
        <f t="shared" ca="1" si="14"/>
        <v>40803.755669999999</v>
      </c>
      <c r="Y106" s="31">
        <f t="shared" ca="1" si="14"/>
        <v>40810.469859999997</v>
      </c>
      <c r="Z106" s="31">
        <f t="shared" ca="1" si="14"/>
        <v>0</v>
      </c>
      <c r="AA106" s="31">
        <f t="shared" ca="1" si="14"/>
        <v>0</v>
      </c>
      <c r="AB106" s="31">
        <f t="shared" ca="1" si="14"/>
        <v>0</v>
      </c>
      <c r="AC106" s="31">
        <f t="shared" ca="1" si="14"/>
        <v>0</v>
      </c>
      <c r="AD106" s="31">
        <f t="shared" ca="1" si="14"/>
        <v>0</v>
      </c>
      <c r="AE106" s="31">
        <f t="shared" ca="1" si="14"/>
        <v>0</v>
      </c>
      <c r="AF106" s="31">
        <f t="shared" ca="1" si="14"/>
        <v>0</v>
      </c>
      <c r="AG106" s="31">
        <f t="shared" ca="1" si="14"/>
        <v>0</v>
      </c>
      <c r="AH106" s="31">
        <f t="shared" ca="1" si="14"/>
        <v>0</v>
      </c>
      <c r="AI106" s="31">
        <f t="shared" ca="1" si="14"/>
        <v>0</v>
      </c>
      <c r="AJ106" s="31">
        <f t="shared" ca="1" si="14"/>
        <v>0</v>
      </c>
      <c r="AK106" s="31">
        <f t="shared" ca="1" si="14"/>
        <v>0</v>
      </c>
      <c r="AL106" s="31">
        <f t="shared" ca="1" si="14"/>
        <v>0</v>
      </c>
      <c r="AM106" s="31">
        <f t="shared" ca="1" si="14"/>
        <v>0</v>
      </c>
      <c r="AN106" s="31">
        <f t="shared" ca="1" si="14"/>
        <v>0</v>
      </c>
      <c r="AO106" s="31">
        <f t="shared" ca="1" si="14"/>
        <v>0</v>
      </c>
      <c r="AP106" s="31">
        <f t="shared" ca="1" si="14"/>
        <v>0</v>
      </c>
      <c r="AQ106" s="31">
        <f t="shared" ca="1" si="14"/>
        <v>0</v>
      </c>
      <c r="AR106" s="31">
        <f t="shared" ca="1" si="14"/>
        <v>0</v>
      </c>
      <c r="AS106" s="31">
        <f t="shared" ca="1" si="14"/>
        <v>0</v>
      </c>
      <c r="AT106" s="31">
        <f t="shared" ca="1" si="14"/>
        <v>0</v>
      </c>
      <c r="AU106" s="31">
        <f t="shared" ca="1" si="14"/>
        <v>0</v>
      </c>
      <c r="AV106" s="31">
        <f t="shared" ca="1" si="14"/>
        <v>0</v>
      </c>
      <c r="AW106" s="31">
        <f t="shared" ca="1" si="14"/>
        <v>0</v>
      </c>
      <c r="AX106" s="31">
        <f t="shared" ca="1" si="14"/>
        <v>0</v>
      </c>
      <c r="AY106" s="31">
        <f t="shared" ca="1" si="14"/>
        <v>0</v>
      </c>
      <c r="AZ106" s="31">
        <f t="shared" ca="1" si="14"/>
        <v>0</v>
      </c>
      <c r="BA106" s="31">
        <f t="shared" ca="1" si="14"/>
        <v>0</v>
      </c>
      <c r="BB106" s="31">
        <f t="shared" ca="1" si="14"/>
        <v>0</v>
      </c>
      <c r="BC106" s="31">
        <f t="shared" ca="1" si="14"/>
        <v>0</v>
      </c>
      <c r="BD106" s="31">
        <f t="shared" ca="1" si="14"/>
        <v>0</v>
      </c>
      <c r="BE106" s="31">
        <f t="shared" ca="1" si="14"/>
        <v>0</v>
      </c>
      <c r="BF106" s="31">
        <f t="shared" ca="1" si="14"/>
        <v>0</v>
      </c>
      <c r="BG106" s="31">
        <f t="shared" ca="1" si="14"/>
        <v>0</v>
      </c>
      <c r="BH106" s="31">
        <f t="shared" ca="1" si="14"/>
        <v>0</v>
      </c>
      <c r="BI106" s="31">
        <f t="shared" ca="1" si="14"/>
        <v>0</v>
      </c>
      <c r="BJ106" s="31">
        <f t="shared" ca="1" si="14"/>
        <v>0</v>
      </c>
      <c r="BK106" s="31">
        <f t="shared" ca="1" si="14"/>
        <v>0</v>
      </c>
      <c r="BL106" s="31">
        <f t="shared" ca="1" si="14"/>
        <v>0</v>
      </c>
      <c r="BM106" s="31">
        <f t="shared" ca="1" si="14"/>
        <v>0</v>
      </c>
      <c r="BN106" s="31">
        <f t="shared" ca="1" si="14"/>
        <v>0</v>
      </c>
      <c r="BO106" s="31">
        <f t="shared" ca="1" si="14"/>
        <v>0</v>
      </c>
      <c r="BP106" s="31">
        <f t="shared" ca="1" si="14"/>
        <v>0</v>
      </c>
      <c r="BQ106" s="31">
        <f t="shared" ref="BQ106:CO106" ca="1" si="15">SUM(BQ100:BQ104)</f>
        <v>0</v>
      </c>
      <c r="BR106" s="31">
        <f t="shared" ca="1" si="15"/>
        <v>0</v>
      </c>
      <c r="BS106" s="31">
        <f t="shared" ca="1" si="15"/>
        <v>0</v>
      </c>
      <c r="BT106" s="31">
        <f t="shared" ca="1" si="15"/>
        <v>0</v>
      </c>
      <c r="BU106" s="31">
        <f t="shared" ca="1" si="15"/>
        <v>0</v>
      </c>
      <c r="BV106" s="31">
        <f t="shared" ca="1" si="15"/>
        <v>0</v>
      </c>
      <c r="BW106" s="31">
        <f t="shared" ca="1" si="15"/>
        <v>0</v>
      </c>
      <c r="BX106" s="31">
        <f t="shared" ca="1" si="15"/>
        <v>0</v>
      </c>
      <c r="BY106" s="31">
        <f t="shared" ca="1" si="15"/>
        <v>0</v>
      </c>
      <c r="BZ106" s="31">
        <f t="shared" ca="1" si="15"/>
        <v>0</v>
      </c>
      <c r="CA106" s="31">
        <f t="shared" ca="1" si="15"/>
        <v>0</v>
      </c>
      <c r="CB106" s="31">
        <f t="shared" ca="1" si="15"/>
        <v>0</v>
      </c>
      <c r="CC106" s="31">
        <f t="shared" ca="1" si="15"/>
        <v>0</v>
      </c>
      <c r="CD106" s="31">
        <f t="shared" ca="1" si="15"/>
        <v>0</v>
      </c>
      <c r="CE106" s="31">
        <f t="shared" ca="1" si="15"/>
        <v>0</v>
      </c>
      <c r="CF106" s="31">
        <f t="shared" ca="1" si="15"/>
        <v>0</v>
      </c>
      <c r="CG106" s="31">
        <f t="shared" ca="1" si="15"/>
        <v>0</v>
      </c>
      <c r="CH106" s="31">
        <f t="shared" ca="1" si="15"/>
        <v>0</v>
      </c>
      <c r="CI106" s="31">
        <f t="shared" ca="1" si="15"/>
        <v>0</v>
      </c>
      <c r="CJ106" s="31">
        <f t="shared" ca="1" si="15"/>
        <v>0</v>
      </c>
      <c r="CK106" s="31">
        <f t="shared" ca="1" si="15"/>
        <v>0</v>
      </c>
      <c r="CL106" s="31">
        <f t="shared" ca="1" si="15"/>
        <v>0</v>
      </c>
      <c r="CM106" s="31">
        <f t="shared" ca="1" si="15"/>
        <v>0</v>
      </c>
      <c r="CN106" s="31">
        <f t="shared" ca="1" si="15"/>
        <v>0</v>
      </c>
      <c r="CO106" s="31">
        <f t="shared" ca="1" si="15"/>
        <v>0</v>
      </c>
    </row>
  </sheetData>
  <conditionalFormatting sqref="A1">
    <cfRule type="cellIs" dxfId="3" priority="2" operator="equal">
      <formula>1</formula>
    </cfRule>
  </conditionalFormatting>
  <conditionalFormatting sqref="D1">
    <cfRule type="cellIs" dxfId="2" priority="1" operator="equal">
      <formula>"Error"</formula>
    </cfRule>
  </conditionalFormatting>
  <dataValidations count="1">
    <dataValidation type="list" allowBlank="1" showInputMessage="1" showErrorMessage="1" sqref="D86 K20 R20 D97">
      <formula1>$M$5:$M$13</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Lookups!$K$5:$K$13</xm:f>
          </x14:formula1>
          <xm:sqref>D20 D75 D48 K48 R48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4" tint="0.79998168889431442"/>
  </sheetPr>
  <dimension ref="A1:CQ70"/>
  <sheetViews>
    <sheetView showGridLines="0" workbookViewId="0"/>
  </sheetViews>
  <sheetFormatPr defaultRowHeight="14.4" x14ac:dyDescent="0.3"/>
  <cols>
    <col min="1" max="2" width="2.77734375" customWidth="1"/>
    <col min="4" max="4" width="11.5546875" bestFit="1" customWidth="1"/>
    <col min="5" max="5" width="2.77734375" customWidth="1"/>
  </cols>
  <sheetData>
    <row r="1" spans="1:4" x14ac:dyDescent="0.3">
      <c r="A1" s="33">
        <f ca="1">IF(ISERROR(SUM(C3:CO33)),1,0)</f>
        <v>0</v>
      </c>
      <c r="C1" t="s">
        <v>79</v>
      </c>
      <c r="D1" s="33" t="str">
        <f ca="1">Model_Health</f>
        <v>OK</v>
      </c>
    </row>
    <row r="3" spans="1:4" ht="18" x14ac:dyDescent="0.35">
      <c r="C3" s="2" t="s">
        <v>137</v>
      </c>
    </row>
    <row r="5" spans="1:4" x14ac:dyDescent="0.3">
      <c r="C5" s="6" t="s">
        <v>133</v>
      </c>
      <c r="D5" s="5" t="s">
        <v>113</v>
      </c>
    </row>
    <row r="6" spans="1:4" x14ac:dyDescent="0.3">
      <c r="C6" s="6" t="s">
        <v>134</v>
      </c>
      <c r="D6" s="5" t="s">
        <v>193</v>
      </c>
    </row>
    <row r="7" spans="1:4" x14ac:dyDescent="0.3">
      <c r="C7" s="6" t="s">
        <v>135</v>
      </c>
      <c r="D7" s="20">
        <f>IF(AND(D5="",D6=""),Year_Count,INDEX(Timeline!$F$17:$CQ$17,MATCH(D6,FY,0))-INDEX(Timeline!$F$17:$CQ$17,MATCH(D5,FY,0))+1)</f>
        <v>74</v>
      </c>
    </row>
    <row r="8" spans="1:4" x14ac:dyDescent="0.3">
      <c r="C8" s="6" t="s">
        <v>94</v>
      </c>
      <c r="D8" s="50">
        <v>0.5</v>
      </c>
    </row>
    <row r="17" spans="3:95" x14ac:dyDescent="0.3">
      <c r="F17" s="61" t="str">
        <f>IF($D$22="",Timeline!F14,INDEX(FY,MATCH($D$22,FY,0)))</f>
        <v>19/20</v>
      </c>
      <c r="G17" s="61" t="str">
        <f>IF(COUNTA($F17:F$17)&gt;=$D$7,"",INDEX(FY,MATCH(F17,FY,0)+1))</f>
        <v>20/21</v>
      </c>
      <c r="H17" s="61" t="str">
        <f>IF(COUNTA($F17:G$17)&gt;=$D$7,"",INDEX(FY,MATCH(G17,FY,0)+1))</f>
        <v>21/22</v>
      </c>
      <c r="I17" s="61" t="str">
        <f>IF(COUNTA($F17:H$17)&gt;=$D$7,"",INDEX(FY,MATCH(H17,FY,0)+1))</f>
        <v>22/23</v>
      </c>
      <c r="J17" s="61" t="str">
        <f>IF(COUNTA($F17:I$17)&gt;=$D$7,"",INDEX(FY,MATCH(I17,FY,0)+1))</f>
        <v>23/24</v>
      </c>
      <c r="K17" s="61" t="str">
        <f>IF(COUNTA($F17:J$17)&gt;=$D$7,"",INDEX(FY,MATCH(J17,FY,0)+1))</f>
        <v>24/25</v>
      </c>
      <c r="L17" s="61" t="str">
        <f>IF(COUNTA($F17:K$17)&gt;=$D$7,"",INDEX(FY,MATCH(K17,FY,0)+1))</f>
        <v>25/26</v>
      </c>
      <c r="M17" s="61" t="str">
        <f>IF(COUNTA($F17:L$17)&gt;=$D$7,"",INDEX(FY,MATCH(L17,FY,0)+1))</f>
        <v>26/27</v>
      </c>
      <c r="N17" s="61" t="str">
        <f>IF(COUNTA($F17:M$17)&gt;=$D$7,"",INDEX(FY,MATCH(M17,FY,0)+1))</f>
        <v>27/28</v>
      </c>
      <c r="O17" s="61" t="str">
        <f>IF(COUNTA($F17:N$17)&gt;=$D$7,"",INDEX(FY,MATCH(N17,FY,0)+1))</f>
        <v>28/29</v>
      </c>
      <c r="P17" s="61" t="str">
        <f>IF(COUNTA($F17:O$17)&gt;=$D$7,"",INDEX(FY,MATCH(O17,FY,0)+1))</f>
        <v>29/30</v>
      </c>
      <c r="Q17" s="61" t="str">
        <f>IF(COUNTA($F17:P$17)&gt;=$D$7,"",INDEX(FY,MATCH(P17,FY,0)+1))</f>
        <v>30/31</v>
      </c>
      <c r="R17" s="61" t="str">
        <f>IF(COUNTA($F17:Q$17)&gt;=$D$7,"",INDEX(FY,MATCH(Q17,FY,0)+1))</f>
        <v>31/32</v>
      </c>
      <c r="S17" s="61" t="str">
        <f>IF(COUNTA($F17:R$17)&gt;=$D$7,"",INDEX(FY,MATCH(R17,FY,0)+1))</f>
        <v>32/33</v>
      </c>
      <c r="T17" s="61" t="str">
        <f>IF(COUNTA($F17:S$17)&gt;=$D$7,"",INDEX(FY,MATCH(S17,FY,0)+1))</f>
        <v>33/34</v>
      </c>
      <c r="U17" s="61" t="str">
        <f>IF(COUNTA($F17:T$17)&gt;=$D$7,"",INDEX(FY,MATCH(T17,FY,0)+1))</f>
        <v>34/35</v>
      </c>
      <c r="V17" s="61" t="str">
        <f>IF(COUNTA($F17:U$17)&gt;=$D$7,"",INDEX(FY,MATCH(U17,FY,0)+1))</f>
        <v>35/36</v>
      </c>
      <c r="W17" s="61" t="str">
        <f>IF(COUNTA($F17:V$17)&gt;=$D$7,"",INDEX(FY,MATCH(V17,FY,0)+1))</f>
        <v>36/37</v>
      </c>
      <c r="X17" s="61" t="str">
        <f>IF(COUNTA($F17:W$17)&gt;=$D$7,"",INDEX(FY,MATCH(W17,FY,0)+1))</f>
        <v>37/38</v>
      </c>
      <c r="Y17" s="61" t="str">
        <f>IF(COUNTA($F17:X$17)&gt;=$D$7,"",INDEX(FY,MATCH(X17,FY,0)+1))</f>
        <v>38/39</v>
      </c>
      <c r="Z17" s="61" t="str">
        <f>IF(COUNTA($F17:Y$17)&gt;=$D$7,"",INDEX(FY,MATCH(Y17,FY,0)+1))</f>
        <v>39/40</v>
      </c>
      <c r="AA17" s="61" t="str">
        <f>IF(COUNTA($F17:Z$17)&gt;=$D$7,"",INDEX(FY,MATCH(Z17,FY,0)+1))</f>
        <v>40/41</v>
      </c>
      <c r="AB17" s="61" t="str">
        <f>IF(COUNTA($F17:AA$17)&gt;=$D$7,"",INDEX(FY,MATCH(AA17,FY,0)+1))</f>
        <v>41/42</v>
      </c>
      <c r="AC17" s="61" t="str">
        <f>IF(COUNTA($F17:AB$17)&gt;=$D$7,"",INDEX(FY,MATCH(AB17,FY,0)+1))</f>
        <v>42/43</v>
      </c>
      <c r="AD17" s="61" t="str">
        <f>IF(COUNTA($F17:AC$17)&gt;=$D$7,"",INDEX(FY,MATCH(AC17,FY,0)+1))</f>
        <v>43/44</v>
      </c>
      <c r="AE17" s="61" t="str">
        <f>IF(COUNTA($F17:AD$17)&gt;=$D$7,"",INDEX(FY,MATCH(AD17,FY,0)+1))</f>
        <v>44/45</v>
      </c>
      <c r="AF17" s="61" t="str">
        <f>IF(COUNTA($F17:AE$17)&gt;=$D$7,"",INDEX(FY,MATCH(AE17,FY,0)+1))</f>
        <v>45/46</v>
      </c>
      <c r="AG17" s="61" t="str">
        <f>IF(COUNTA($F17:AF$17)&gt;=$D$7,"",INDEX(FY,MATCH(AF17,FY,0)+1))</f>
        <v>46/47</v>
      </c>
      <c r="AH17" s="61" t="str">
        <f>IF(COUNTA($F17:AG$17)&gt;=$D$7,"",INDEX(FY,MATCH(AG17,FY,0)+1))</f>
        <v>47/48</v>
      </c>
      <c r="AI17" s="61" t="str">
        <f>IF(COUNTA($F17:AH$17)&gt;=$D$7,"",INDEX(FY,MATCH(AH17,FY,0)+1))</f>
        <v>48/49</v>
      </c>
      <c r="AJ17" s="61" t="str">
        <f>IF(COUNTA($F17:AI$17)&gt;=$D$7,"",INDEX(FY,MATCH(AI17,FY,0)+1))</f>
        <v>49/50</v>
      </c>
      <c r="AK17" s="61" t="str">
        <f>IF(COUNTA($F17:AJ$17)&gt;=$D$7,"",INDEX(FY,MATCH(AJ17,FY,0)+1))</f>
        <v>50/51</v>
      </c>
      <c r="AL17" s="61" t="str">
        <f>IF(COUNTA($F17:AK$17)&gt;=$D$7,"",INDEX(FY,MATCH(AK17,FY,0)+1))</f>
        <v>51/52</v>
      </c>
      <c r="AM17" s="61" t="str">
        <f>IF(COUNTA($F17:AL$17)&gt;=$D$7,"",INDEX(FY,MATCH(AL17,FY,0)+1))</f>
        <v>52/53</v>
      </c>
      <c r="AN17" s="61" t="str">
        <f>IF(COUNTA($F17:AM$17)&gt;=$D$7,"",INDEX(FY,MATCH(AM17,FY,0)+1))</f>
        <v>53/54</v>
      </c>
      <c r="AO17" s="61" t="str">
        <f>IF(COUNTA($F17:AN$17)&gt;=$D$7,"",INDEX(FY,MATCH(AN17,FY,0)+1))</f>
        <v>54/55</v>
      </c>
      <c r="AP17" s="61" t="str">
        <f>IF(COUNTA($F17:AO$17)&gt;=$D$7,"",INDEX(FY,MATCH(AO17,FY,0)+1))</f>
        <v>55/56</v>
      </c>
      <c r="AQ17" s="61" t="str">
        <f>IF(COUNTA($F17:AP$17)&gt;=$D$7,"",INDEX(FY,MATCH(AP17,FY,0)+1))</f>
        <v>56/57</v>
      </c>
      <c r="AR17" s="61" t="str">
        <f>IF(COUNTA($F17:AQ$17)&gt;=$D$7,"",INDEX(FY,MATCH(AQ17,FY,0)+1))</f>
        <v>57/58</v>
      </c>
      <c r="AS17" s="61" t="str">
        <f>IF(COUNTA($F17:AR$17)&gt;=$D$7,"",INDEX(FY,MATCH(AR17,FY,0)+1))</f>
        <v>58/59</v>
      </c>
      <c r="AT17" s="61" t="str">
        <f>IF(COUNTA($F17:AS$17)&gt;=$D$7,"",INDEX(FY,MATCH(AS17,FY,0)+1))</f>
        <v>59/60</v>
      </c>
      <c r="AU17" s="61" t="str">
        <f>IF(COUNTA($F17:AT$17)&gt;=$D$7,"",INDEX(FY,MATCH(AT17,FY,0)+1))</f>
        <v>60/61</v>
      </c>
      <c r="AV17" s="61" t="str">
        <f>IF(COUNTA($F17:AU$17)&gt;=$D$7,"",INDEX(FY,MATCH(AU17,FY,0)+1))</f>
        <v>61/62</v>
      </c>
      <c r="AW17" s="61" t="str">
        <f>IF(COUNTA($F17:AV$17)&gt;=$D$7,"",INDEX(FY,MATCH(AV17,FY,0)+1))</f>
        <v>62/63</v>
      </c>
      <c r="AX17" s="61" t="str">
        <f>IF(COUNTA($F17:AW$17)&gt;=$D$7,"",INDEX(FY,MATCH(AW17,FY,0)+1))</f>
        <v>63/64</v>
      </c>
      <c r="AY17" s="61" t="str">
        <f>IF(COUNTA($F17:AX$17)&gt;=$D$7,"",INDEX(FY,MATCH(AX17,FY,0)+1))</f>
        <v>64/65</v>
      </c>
      <c r="AZ17" s="61" t="str">
        <f>IF(COUNTA($F17:AY$17)&gt;=$D$7,"",INDEX(FY,MATCH(AY17,FY,0)+1))</f>
        <v>65/66</v>
      </c>
      <c r="BA17" s="61" t="str">
        <f>IF(COUNTA($F17:AZ$17)&gt;=$D$7,"",INDEX(FY,MATCH(AZ17,FY,0)+1))</f>
        <v>66/67</v>
      </c>
      <c r="BB17" s="61" t="str">
        <f>IF(COUNTA($F17:BA$17)&gt;=$D$7,"",INDEX(FY,MATCH(BA17,FY,0)+1))</f>
        <v>67/68</v>
      </c>
      <c r="BC17" s="61" t="str">
        <f>IF(COUNTA($F17:BB$17)&gt;=$D$7,"",INDEX(FY,MATCH(BB17,FY,0)+1))</f>
        <v>68/69</v>
      </c>
      <c r="BD17" s="61" t="str">
        <f>IF(COUNTA($F17:BC$17)&gt;=$D$7,"",INDEX(FY,MATCH(BC17,FY,0)+1))</f>
        <v>69/70</v>
      </c>
      <c r="BE17" s="61" t="str">
        <f>IF(COUNTA($F17:BD$17)&gt;=$D$7,"",INDEX(FY,MATCH(BD17,FY,0)+1))</f>
        <v>70/71</v>
      </c>
      <c r="BF17" s="61" t="str">
        <f>IF(COUNTA($F17:BE$17)&gt;=$D$7,"",INDEX(FY,MATCH(BE17,FY,0)+1))</f>
        <v>71/72</v>
      </c>
      <c r="BG17" s="61" t="str">
        <f>IF(COUNTA($F17:BF$17)&gt;=$D$7,"",INDEX(FY,MATCH(BF17,FY,0)+1))</f>
        <v>72/73</v>
      </c>
      <c r="BH17" s="61" t="str">
        <f>IF(COUNTA($F17:BG$17)&gt;=$D$7,"",INDEX(FY,MATCH(BG17,FY,0)+1))</f>
        <v>73/74</v>
      </c>
      <c r="BI17" s="61" t="str">
        <f>IF(COUNTA($F17:BH$17)&gt;=$D$7,"",INDEX(FY,MATCH(BH17,FY,0)+1))</f>
        <v>74/75</v>
      </c>
      <c r="BJ17" s="61" t="str">
        <f>IF(COUNTA($F17:BI$17)&gt;=$D$7,"",INDEX(FY,MATCH(BI17,FY,0)+1))</f>
        <v>75/76</v>
      </c>
      <c r="BK17" s="61" t="str">
        <f>IF(COUNTA($F17:BJ$17)&gt;=$D$7,"",INDEX(FY,MATCH(BJ17,FY,0)+1))</f>
        <v>76/77</v>
      </c>
      <c r="BL17" s="61" t="str">
        <f>IF(COUNTA($F17:BK$17)&gt;=$D$7,"",INDEX(FY,MATCH(BK17,FY,0)+1))</f>
        <v>77/78</v>
      </c>
      <c r="BM17" s="61" t="str">
        <f>IF(COUNTA($F17:BL$17)&gt;=$D$7,"",INDEX(FY,MATCH(BL17,FY,0)+1))</f>
        <v>78/79</v>
      </c>
      <c r="BN17" s="61" t="str">
        <f>IF(COUNTA($F17:BM$17)&gt;=$D$7,"",INDEX(FY,MATCH(BM17,FY,0)+1))</f>
        <v>79/80</v>
      </c>
      <c r="BO17" s="61" t="str">
        <f>IF(COUNTA($F17:BN$17)&gt;=$D$7,"",INDEX(FY,MATCH(BN17,FY,0)+1))</f>
        <v>80/81</v>
      </c>
      <c r="BP17" s="61" t="str">
        <f>IF(COUNTA($F17:BO$17)&gt;=$D$7,"",INDEX(FY,MATCH(BO17,FY,0)+1))</f>
        <v>81/82</v>
      </c>
      <c r="BQ17" s="61" t="str">
        <f>IF(COUNTA($F17:BP$17)&gt;=$D$7,"",INDEX(FY,MATCH(BP17,FY,0)+1))</f>
        <v>82/83</v>
      </c>
      <c r="BR17" s="61" t="str">
        <f>IF(COUNTA($F17:BQ$17)&gt;=$D$7,"",INDEX(FY,MATCH(BQ17,FY,0)+1))</f>
        <v>83/84</v>
      </c>
      <c r="BS17" s="61" t="str">
        <f>IF(COUNTA($F17:BR$17)&gt;=$D$7,"",INDEX(FY,MATCH(BR17,FY,0)+1))</f>
        <v>84/85</v>
      </c>
      <c r="BT17" s="61" t="str">
        <f>IF(COUNTA($F17:BS$17)&gt;=$D$7,"",INDEX(FY,MATCH(BS17,FY,0)+1))</f>
        <v>85/86</v>
      </c>
      <c r="BU17" s="61" t="str">
        <f>IF(COUNTA($F17:BT$17)&gt;=$D$7,"",INDEX(FY,MATCH(BT17,FY,0)+1))</f>
        <v>86/87</v>
      </c>
      <c r="BV17" s="61" t="str">
        <f>IF(COUNTA($F17:BU$17)&gt;=$D$7,"",INDEX(FY,MATCH(BU17,FY,0)+1))</f>
        <v>87/88</v>
      </c>
      <c r="BW17" s="61" t="str">
        <f>IF(COUNTA($F17:BV$17)&gt;=$D$7,"",INDEX(FY,MATCH(BV17,FY,0)+1))</f>
        <v>88/89</v>
      </c>
      <c r="BX17" s="61" t="str">
        <f>IF(COUNTA($F17:BW$17)&gt;=$D$7,"",INDEX(FY,MATCH(BW17,FY,0)+1))</f>
        <v>89/90</v>
      </c>
      <c r="BY17" s="61" t="str">
        <f>IF(COUNTA($F17:BX$17)&gt;=$D$7,"",INDEX(FY,MATCH(BX17,FY,0)+1))</f>
        <v>90/91</v>
      </c>
      <c r="BZ17" s="61" t="str">
        <f>IF(COUNTA($F17:BY$17)&gt;=$D$7,"",INDEX(FY,MATCH(BY17,FY,0)+1))</f>
        <v>91/92</v>
      </c>
      <c r="CA17" s="61" t="str">
        <f>IF(COUNTA($F17:BZ$17)&gt;=$D$7,"",INDEX(FY,MATCH(BZ17,FY,0)+1))</f>
        <v>92/93</v>
      </c>
      <c r="CB17" s="61" t="str">
        <f>IF(COUNTA($F17:CA$17)&gt;=$D$7,"",INDEX(FY,MATCH(CA17,FY,0)+1))</f>
        <v/>
      </c>
      <c r="CC17" s="61" t="str">
        <f>IF(COUNTA($F17:CB$17)&gt;=$D$7,"",INDEX(FY,MATCH(CB17,FY,0)+1))</f>
        <v/>
      </c>
      <c r="CD17" s="61" t="str">
        <f>IF(COUNTA($F17:CC$17)&gt;=$D$7,"",INDEX(FY,MATCH(CC17,FY,0)+1))</f>
        <v/>
      </c>
      <c r="CE17" s="61" t="str">
        <f>IF(COUNTA($F17:CD$17)&gt;=$D$7,"",INDEX(FY,MATCH(CD17,FY,0)+1))</f>
        <v/>
      </c>
      <c r="CF17" s="61" t="str">
        <f>IF(COUNTA($F17:CE$17)&gt;=$D$7,"",INDEX(FY,MATCH(CE17,FY,0)+1))</f>
        <v/>
      </c>
      <c r="CG17" s="61" t="str">
        <f>IF(COUNTA($F17:CF$17)&gt;=$D$7,"",INDEX(FY,MATCH(CF17,FY,0)+1))</f>
        <v/>
      </c>
      <c r="CH17" s="61" t="str">
        <f>IF(COUNTA($F17:CG$17)&gt;=$D$7,"",INDEX(FY,MATCH(CG17,FY,0)+1))</f>
        <v/>
      </c>
      <c r="CI17" s="61" t="str">
        <f>IF(COUNTA($F17:CH$17)&gt;=$D$7,"",INDEX(FY,MATCH(CH17,FY,0)+1))</f>
        <v/>
      </c>
      <c r="CJ17" s="61" t="str">
        <f>IF(COUNTA($F17:CI$17)&gt;=$D$7,"",INDEX(FY,MATCH(CI17,FY,0)+1))</f>
        <v/>
      </c>
      <c r="CK17" s="61" t="str">
        <f>IF(COUNTA($F17:CJ$17)&gt;=$D$7,"",INDEX(FY,MATCH(CJ17,FY,0)+1))</f>
        <v/>
      </c>
      <c r="CL17" s="61" t="str">
        <f>IF(COUNTA($F17:CK$17)&gt;=$D$7,"",INDEX(FY,MATCH(CK17,FY,0)+1))</f>
        <v/>
      </c>
      <c r="CM17" s="61" t="str">
        <f>IF(COUNTA($F17:CL$17)&gt;=$D$7,"",INDEX(FY,MATCH(CL17,FY,0)+1))</f>
        <v/>
      </c>
      <c r="CN17" s="61" t="str">
        <f>IF(COUNTA($F17:CM$17)&gt;=$D$7,"",INDEX(FY,MATCH(CM17,FY,0)+1))</f>
        <v/>
      </c>
      <c r="CO17" s="61" t="str">
        <f>IF(COUNTA($F17:CN$17)&gt;=$D$7,"",INDEX(FY,MATCH(CN17,FY,0)+1))</f>
        <v/>
      </c>
      <c r="CP17" s="61" t="str">
        <f>IF(COUNTA($F17:CO$17)&gt;=$D$7,"",INDEX(FY,MATCH(CO17,FY,0)+1))</f>
        <v/>
      </c>
      <c r="CQ17" s="61" t="str">
        <f>IF(COUNTA($F17:CP$17)&gt;=$D$7,"",INDEX(FY,MATCH(CP17,FY,0)+1))</f>
        <v/>
      </c>
    </row>
    <row r="18" spans="3:95" x14ac:dyDescent="0.3">
      <c r="D18" s="11" t="s">
        <v>65</v>
      </c>
      <c r="F18" s="26">
        <f ca="1">IF(OR($D$7&lt;=0,F$17=""),"",OFFSET(Outputs!$D$84,MATCH($D$8,Outputs!$D$75:$D$97,0)-1,MATCH(F$17,FY,0)-1))</f>
        <v>0</v>
      </c>
      <c r="G18" s="26">
        <f ca="1">IF(OR($D$7&lt;=0,G$17=""),"",OFFSET(Outputs!$D$84,MATCH($D$8,Outputs!$D$75:$D$97,0)-1,MATCH(G$17,FY,0)-1))</f>
        <v>0</v>
      </c>
      <c r="H18" s="26">
        <f ca="1">IF(OR($D$7&lt;=0,H$17=""),"",OFFSET(Outputs!$D$84,MATCH($D$8,Outputs!$D$75:$D$97,0)-1,MATCH(H$17,FY,0)-1))</f>
        <v>0</v>
      </c>
      <c r="I18" s="26">
        <f ca="1">IF(OR($D$7&lt;=0,I$17=""),"",OFFSET(Outputs!$D$84,MATCH($D$8,Outputs!$D$75:$D$97,0)-1,MATCH(I$17,FY,0)-1))</f>
        <v>0</v>
      </c>
      <c r="J18" s="26">
        <f ca="1">IF(OR($D$7&lt;=0,J$17=""),"",OFFSET(Outputs!$D$84,MATCH($D$8,Outputs!$D$75:$D$97,0)-1,MATCH(J$17,FY,0)-1))</f>
        <v>0</v>
      </c>
      <c r="K18" s="26">
        <f ca="1">IF(OR($D$7&lt;=0,K$17=""),"",OFFSET(Outputs!$D$84,MATCH($D$8,Outputs!$D$75:$D$97,0)-1,MATCH(K$17,FY,0)-1))</f>
        <v>0</v>
      </c>
      <c r="L18" s="26">
        <f ca="1">IF(OR($D$7&lt;=0,L$17=""),"",OFFSET(Outputs!$D$84,MATCH($D$8,Outputs!$D$75:$D$97,0)-1,MATCH(L$17,FY,0)-1))</f>
        <v>0</v>
      </c>
      <c r="M18" s="26">
        <f ca="1">IF(OR($D$7&lt;=0,M$17=""),"",OFFSET(Outputs!$D$84,MATCH($D$8,Outputs!$D$75:$D$97,0)-1,MATCH(M$17,FY,0)-1))</f>
        <v>0</v>
      </c>
      <c r="N18" s="26">
        <f ca="1">IF(OR($D$7&lt;=0,N$17=""),"",OFFSET(Outputs!$D$84,MATCH($D$8,Outputs!$D$75:$D$97,0)-1,MATCH(N$17,FY,0)-1))</f>
        <v>0</v>
      </c>
      <c r="O18" s="26">
        <f ca="1">IF(OR($D$7&lt;=0,O$17=""),"",OFFSET(Outputs!$D$84,MATCH($D$8,Outputs!$D$75:$D$97,0)-1,MATCH(O$17,FY,0)-1))</f>
        <v>0</v>
      </c>
      <c r="P18" s="26">
        <f ca="1">IF(OR($D$7&lt;=0,P$17=""),"",OFFSET(Outputs!$D$84,MATCH($D$8,Outputs!$D$75:$D$97,0)-1,MATCH(P$17,FY,0)-1))</f>
        <v>0</v>
      </c>
      <c r="Q18" s="26">
        <f ca="1">IF(OR($D$7&lt;=0,Q$17=""),"",OFFSET(Outputs!$D$84,MATCH($D$8,Outputs!$D$75:$D$97,0)-1,MATCH(Q$17,FY,0)-1))</f>
        <v>0</v>
      </c>
      <c r="R18" s="26">
        <f ca="1">IF(OR($D$7&lt;=0,R$17=""),"",OFFSET(Outputs!$D$84,MATCH($D$8,Outputs!$D$75:$D$97,0)-1,MATCH(R$17,FY,0)-1))</f>
        <v>0</v>
      </c>
      <c r="S18" s="26">
        <f ca="1">IF(OR($D$7&lt;=0,S$17=""),"",OFFSET(Outputs!$D$84,MATCH($D$8,Outputs!$D$75:$D$97,0)-1,MATCH(S$17,FY,0)-1))</f>
        <v>0</v>
      </c>
      <c r="T18" s="26">
        <f ca="1">IF(OR($D$7&lt;=0,T$17=""),"",OFFSET(Outputs!$D$84,MATCH($D$8,Outputs!$D$75:$D$97,0)-1,MATCH(T$17,FY,0)-1))</f>
        <v>0</v>
      </c>
      <c r="U18" s="26">
        <f ca="1">IF(OR($D$7&lt;=0,U$17=""),"",OFFSET(Outputs!$D$84,MATCH($D$8,Outputs!$D$75:$D$97,0)-1,MATCH(U$17,FY,0)-1))</f>
        <v>0</v>
      </c>
      <c r="V18" s="26">
        <f ca="1">IF(OR($D$7&lt;=0,V$17=""),"",OFFSET(Outputs!$D$84,MATCH($D$8,Outputs!$D$75:$D$97,0)-1,MATCH(V$17,FY,0)-1))</f>
        <v>0</v>
      </c>
      <c r="W18" s="26">
        <f ca="1">IF(OR($D$7&lt;=0,W$17=""),"",OFFSET(Outputs!$D$84,MATCH($D$8,Outputs!$D$75:$D$97,0)-1,MATCH(W$17,FY,0)-1))</f>
        <v>32464.508999999998</v>
      </c>
      <c r="X18" s="26">
        <f ca="1">IF(OR($D$7&lt;=0,X$17=""),"",OFFSET(Outputs!$D$84,MATCH($D$8,Outputs!$D$75:$D$97,0)-1,MATCH(X$17,FY,0)-1))</f>
        <v>32982.2284</v>
      </c>
      <c r="Y18" s="26">
        <f ca="1">IF(OR($D$7&lt;=0,Y$17=""),"",OFFSET(Outputs!$D$84,MATCH($D$8,Outputs!$D$75:$D$97,0)-1,MATCH(Y$17,FY,0)-1))</f>
        <v>32982.2284</v>
      </c>
      <c r="Z18" s="26">
        <f ca="1">IF(OR($D$7&lt;=0,Z$17=""),"",OFFSET(Outputs!$D$84,MATCH($D$8,Outputs!$D$75:$D$97,0)-1,MATCH(Z$17,FY,0)-1))</f>
        <v>32982.2284</v>
      </c>
      <c r="AA18" s="26">
        <f ca="1">IF(OR($D$7&lt;=0,AA$17=""),"",OFFSET(Outputs!$D$84,MATCH($D$8,Outputs!$D$75:$D$97,0)-1,MATCH(AA$17,FY,0)-1))</f>
        <v>32483.415649999999</v>
      </c>
      <c r="AB18" s="26">
        <f ca="1">IF(OR($D$7&lt;=0,AB$17=""),"",OFFSET(Outputs!$D$84,MATCH($D$8,Outputs!$D$75:$D$97,0)-1,MATCH(AB$17,FY,0)-1))</f>
        <v>0</v>
      </c>
      <c r="AC18" s="26">
        <f ca="1">IF(OR($D$7&lt;=0,AC$17=""),"",OFFSET(Outputs!$D$84,MATCH($D$8,Outputs!$D$75:$D$97,0)-1,MATCH(AC$17,FY,0)-1))</f>
        <v>0</v>
      </c>
      <c r="AD18" s="26">
        <f ca="1">IF(OR($D$7&lt;=0,AD$17=""),"",OFFSET(Outputs!$D$84,MATCH($D$8,Outputs!$D$75:$D$97,0)-1,MATCH(AD$17,FY,0)-1))</f>
        <v>0</v>
      </c>
      <c r="AE18" s="26">
        <f ca="1">IF(OR($D$7&lt;=0,AE$17=""),"",OFFSET(Outputs!$D$84,MATCH($D$8,Outputs!$D$75:$D$97,0)-1,MATCH(AE$17,FY,0)-1))</f>
        <v>0</v>
      </c>
      <c r="AF18" s="26">
        <f ca="1">IF(OR($D$7&lt;=0,AF$17=""),"",OFFSET(Outputs!$D$84,MATCH($D$8,Outputs!$D$75:$D$97,0)-1,MATCH(AF$17,FY,0)-1))</f>
        <v>0</v>
      </c>
      <c r="AG18" s="26">
        <f ca="1">IF(OR($D$7&lt;=0,AG$17=""),"",OFFSET(Outputs!$D$84,MATCH($D$8,Outputs!$D$75:$D$97,0)-1,MATCH(AG$17,FY,0)-1))</f>
        <v>0</v>
      </c>
      <c r="AH18" s="26">
        <f ca="1">IF(OR($D$7&lt;=0,AH$17=""),"",OFFSET(Outputs!$D$84,MATCH($D$8,Outputs!$D$75:$D$97,0)-1,MATCH(AH$17,FY,0)-1))</f>
        <v>0</v>
      </c>
      <c r="AI18" s="26">
        <f ca="1">IF(OR($D$7&lt;=0,AI$17=""),"",OFFSET(Outputs!$D$84,MATCH($D$8,Outputs!$D$75:$D$97,0)-1,MATCH(AI$17,FY,0)-1))</f>
        <v>0</v>
      </c>
      <c r="AJ18" s="26">
        <f ca="1">IF(OR($D$7&lt;=0,AJ$17=""),"",OFFSET(Outputs!$D$84,MATCH($D$8,Outputs!$D$75:$D$97,0)-1,MATCH(AJ$17,FY,0)-1))</f>
        <v>0</v>
      </c>
      <c r="AK18" s="26">
        <f ca="1">IF(OR($D$7&lt;=0,AK$17=""),"",OFFSET(Outputs!$D$84,MATCH($D$8,Outputs!$D$75:$D$97,0)-1,MATCH(AK$17,FY,0)-1))</f>
        <v>0</v>
      </c>
      <c r="AL18" s="26">
        <f ca="1">IF(OR($D$7&lt;=0,AL$17=""),"",OFFSET(Outputs!$D$84,MATCH($D$8,Outputs!$D$75:$D$97,0)-1,MATCH(AL$17,FY,0)-1))</f>
        <v>0</v>
      </c>
      <c r="AM18" s="26">
        <f ca="1">IF(OR($D$7&lt;=0,AM$17=""),"",OFFSET(Outputs!$D$84,MATCH($D$8,Outputs!$D$75:$D$97,0)-1,MATCH(AM$17,FY,0)-1))</f>
        <v>0</v>
      </c>
      <c r="AN18" s="26">
        <f ca="1">IF(OR($D$7&lt;=0,AN$17=""),"",OFFSET(Outputs!$D$84,MATCH($D$8,Outputs!$D$75:$D$97,0)-1,MATCH(AN$17,FY,0)-1))</f>
        <v>0</v>
      </c>
      <c r="AO18" s="26">
        <f ca="1">IF(OR($D$7&lt;=0,AO$17=""),"",OFFSET(Outputs!$D$84,MATCH($D$8,Outputs!$D$75:$D$97,0)-1,MATCH(AO$17,FY,0)-1))</f>
        <v>0</v>
      </c>
      <c r="AP18" s="26">
        <f ca="1">IF(OR($D$7&lt;=0,AP$17=""),"",OFFSET(Outputs!$D$84,MATCH($D$8,Outputs!$D$75:$D$97,0)-1,MATCH(AP$17,FY,0)-1))</f>
        <v>0</v>
      </c>
      <c r="AQ18" s="26">
        <f ca="1">IF(OR($D$7&lt;=0,AQ$17=""),"",OFFSET(Outputs!$D$84,MATCH($D$8,Outputs!$D$75:$D$97,0)-1,MATCH(AQ$17,FY,0)-1))</f>
        <v>0</v>
      </c>
      <c r="AR18" s="26">
        <f ca="1">IF(OR($D$7&lt;=0,AR$17=""),"",OFFSET(Outputs!$D$84,MATCH($D$8,Outputs!$D$75:$D$97,0)-1,MATCH(AR$17,FY,0)-1))</f>
        <v>0</v>
      </c>
      <c r="AS18" s="26">
        <f ca="1">IF(OR($D$7&lt;=0,AS$17=""),"",OFFSET(Outputs!$D$84,MATCH($D$8,Outputs!$D$75:$D$97,0)-1,MATCH(AS$17,FY,0)-1))</f>
        <v>0</v>
      </c>
      <c r="AT18" s="26">
        <f ca="1">IF(OR($D$7&lt;=0,AT$17=""),"",OFFSET(Outputs!$D$84,MATCH($D$8,Outputs!$D$75:$D$97,0)-1,MATCH(AT$17,FY,0)-1))</f>
        <v>0</v>
      </c>
      <c r="AU18" s="26">
        <f ca="1">IF(OR($D$7&lt;=0,AU$17=""),"",OFFSET(Outputs!$D$84,MATCH($D$8,Outputs!$D$75:$D$97,0)-1,MATCH(AU$17,FY,0)-1))</f>
        <v>0</v>
      </c>
      <c r="AV18" s="26">
        <f ca="1">IF(OR($D$7&lt;=0,AV$17=""),"",OFFSET(Outputs!$D$84,MATCH($D$8,Outputs!$D$75:$D$97,0)-1,MATCH(AV$17,FY,0)-1))</f>
        <v>0</v>
      </c>
      <c r="AW18" s="26">
        <f ca="1">IF(OR($D$7&lt;=0,AW$17=""),"",OFFSET(Outputs!$D$84,MATCH($D$8,Outputs!$D$75:$D$97,0)-1,MATCH(AW$17,FY,0)-1))</f>
        <v>0</v>
      </c>
      <c r="AX18" s="26">
        <f ca="1">IF(OR($D$7&lt;=0,AX$17=""),"",OFFSET(Outputs!$D$84,MATCH($D$8,Outputs!$D$75:$D$97,0)-1,MATCH(AX$17,FY,0)-1))</f>
        <v>0</v>
      </c>
      <c r="AY18" s="26">
        <f ca="1">IF(OR($D$7&lt;=0,AY$17=""),"",OFFSET(Outputs!$D$84,MATCH($D$8,Outputs!$D$75:$D$97,0)-1,MATCH(AY$17,FY,0)-1))</f>
        <v>0</v>
      </c>
      <c r="AZ18" s="26">
        <f ca="1">IF(OR($D$7&lt;=0,AZ$17=""),"",OFFSET(Outputs!$D$84,MATCH($D$8,Outputs!$D$75:$D$97,0)-1,MATCH(AZ$17,FY,0)-1))</f>
        <v>0</v>
      </c>
      <c r="BA18" s="26">
        <f ca="1">IF(OR($D$7&lt;=0,BA$17=""),"",OFFSET(Outputs!$D$84,MATCH($D$8,Outputs!$D$75:$D$97,0)-1,MATCH(BA$17,FY,0)-1))</f>
        <v>0</v>
      </c>
      <c r="BB18" s="26">
        <f ca="1">IF(OR($D$7&lt;=0,BB$17=""),"",OFFSET(Outputs!$D$84,MATCH($D$8,Outputs!$D$75:$D$97,0)-1,MATCH(BB$17,FY,0)-1))</f>
        <v>0</v>
      </c>
      <c r="BC18" s="26">
        <f ca="1">IF(OR($D$7&lt;=0,BC$17=""),"",OFFSET(Outputs!$D$84,MATCH($D$8,Outputs!$D$75:$D$97,0)-1,MATCH(BC$17,FY,0)-1))</f>
        <v>0</v>
      </c>
      <c r="BD18" s="26">
        <f ca="1">IF(OR($D$7&lt;=0,BD$17=""),"",OFFSET(Outputs!$D$84,MATCH($D$8,Outputs!$D$75:$D$97,0)-1,MATCH(BD$17,FY,0)-1))</f>
        <v>0</v>
      </c>
      <c r="BE18" s="26">
        <f ca="1">IF(OR($D$7&lt;=0,BE$17=""),"",OFFSET(Outputs!$D$84,MATCH($D$8,Outputs!$D$75:$D$97,0)-1,MATCH(BE$17,FY,0)-1))</f>
        <v>0</v>
      </c>
      <c r="BF18" s="26">
        <f ca="1">IF(OR($D$7&lt;=0,BF$17=""),"",OFFSET(Outputs!$D$84,MATCH($D$8,Outputs!$D$75:$D$97,0)-1,MATCH(BF$17,FY,0)-1))</f>
        <v>0</v>
      </c>
      <c r="BG18" s="26">
        <f ca="1">IF(OR($D$7&lt;=0,BG$17=""),"",OFFSET(Outputs!$D$84,MATCH($D$8,Outputs!$D$75:$D$97,0)-1,MATCH(BG$17,FY,0)-1))</f>
        <v>0</v>
      </c>
      <c r="BH18" s="26">
        <f ca="1">IF(OR($D$7&lt;=0,BH$17=""),"",OFFSET(Outputs!$D$84,MATCH($D$8,Outputs!$D$75:$D$97,0)-1,MATCH(BH$17,FY,0)-1))</f>
        <v>0</v>
      </c>
      <c r="BI18" s="26">
        <f ca="1">IF(OR($D$7&lt;=0,BI$17=""),"",OFFSET(Outputs!$D$84,MATCH($D$8,Outputs!$D$75:$D$97,0)-1,MATCH(BI$17,FY,0)-1))</f>
        <v>0</v>
      </c>
      <c r="BJ18" s="26">
        <f ca="1">IF(OR($D$7&lt;=0,BJ$17=""),"",OFFSET(Outputs!$D$84,MATCH($D$8,Outputs!$D$75:$D$97,0)-1,MATCH(BJ$17,FY,0)-1))</f>
        <v>0</v>
      </c>
      <c r="BK18" s="26">
        <f ca="1">IF(OR($D$7&lt;=0,BK$17=""),"",OFFSET(Outputs!$D$84,MATCH($D$8,Outputs!$D$75:$D$97,0)-1,MATCH(BK$17,FY,0)-1))</f>
        <v>0</v>
      </c>
      <c r="BL18" s="26">
        <f ca="1">IF(OR($D$7&lt;=0,BL$17=""),"",OFFSET(Outputs!$D$84,MATCH($D$8,Outputs!$D$75:$D$97,0)-1,MATCH(BL$17,FY,0)-1))</f>
        <v>0</v>
      </c>
      <c r="BM18" s="26">
        <f ca="1">IF(OR($D$7&lt;=0,BM$17=""),"",OFFSET(Outputs!$D$84,MATCH($D$8,Outputs!$D$75:$D$97,0)-1,MATCH(BM$17,FY,0)-1))</f>
        <v>0</v>
      </c>
      <c r="BN18" s="26">
        <f ca="1">IF(OR($D$7&lt;=0,BN$17=""),"",OFFSET(Outputs!$D$84,MATCH($D$8,Outputs!$D$75:$D$97,0)-1,MATCH(BN$17,FY,0)-1))</f>
        <v>0</v>
      </c>
      <c r="BO18" s="26">
        <f ca="1">IF(OR($D$7&lt;=0,BO$17=""),"",OFFSET(Outputs!$D$84,MATCH($D$8,Outputs!$D$75:$D$97,0)-1,MATCH(BO$17,FY,0)-1))</f>
        <v>0</v>
      </c>
      <c r="BP18" s="26">
        <f ca="1">IF(OR($D$7&lt;=0,BP$17=""),"",OFFSET(Outputs!$D$84,MATCH($D$8,Outputs!$D$75:$D$97,0)-1,MATCH(BP$17,FY,0)-1))</f>
        <v>0</v>
      </c>
      <c r="BQ18" s="26">
        <f ca="1">IF(OR($D$7&lt;=0,BQ$17=""),"",OFFSET(Outputs!$D$84,MATCH($D$8,Outputs!$D$75:$D$97,0)-1,MATCH(BQ$17,FY,0)-1))</f>
        <v>0</v>
      </c>
      <c r="BR18" s="26">
        <f ca="1">IF(OR($D$7&lt;=0,BR$17=""),"",OFFSET(Outputs!$D$84,MATCH($D$8,Outputs!$D$75:$D$97,0)-1,MATCH(BR$17,FY,0)-1))</f>
        <v>0</v>
      </c>
      <c r="BS18" s="26">
        <f ca="1">IF(OR($D$7&lt;=0,BS$17=""),"",OFFSET(Outputs!$D$84,MATCH($D$8,Outputs!$D$75:$D$97,0)-1,MATCH(BS$17,FY,0)-1))</f>
        <v>0</v>
      </c>
      <c r="BT18" s="26">
        <f ca="1">IF(OR($D$7&lt;=0,BT$17=""),"",OFFSET(Outputs!$D$84,MATCH($D$8,Outputs!$D$75:$D$97,0)-1,MATCH(BT$17,FY,0)-1))</f>
        <v>0</v>
      </c>
      <c r="BU18" s="26">
        <f ca="1">IF(OR($D$7&lt;=0,BU$17=""),"",OFFSET(Outputs!$D$84,MATCH($D$8,Outputs!$D$75:$D$97,0)-1,MATCH(BU$17,FY,0)-1))</f>
        <v>0</v>
      </c>
      <c r="BV18" s="26">
        <f ca="1">IF(OR($D$7&lt;=0,BV$17=""),"",OFFSET(Outputs!$D$84,MATCH($D$8,Outputs!$D$75:$D$97,0)-1,MATCH(BV$17,FY,0)-1))</f>
        <v>0</v>
      </c>
      <c r="BW18" s="26">
        <f ca="1">IF(OR($D$7&lt;=0,BW$17=""),"",OFFSET(Outputs!$D$84,MATCH($D$8,Outputs!$D$75:$D$97,0)-1,MATCH(BW$17,FY,0)-1))</f>
        <v>0</v>
      </c>
      <c r="BX18" s="26">
        <f ca="1">IF(OR($D$7&lt;=0,BX$17=""),"",OFFSET(Outputs!$D$84,MATCH($D$8,Outputs!$D$75:$D$97,0)-1,MATCH(BX$17,FY,0)-1))</f>
        <v>0</v>
      </c>
      <c r="BY18" s="26">
        <f ca="1">IF(OR($D$7&lt;=0,BY$17=""),"",OFFSET(Outputs!$D$84,MATCH($D$8,Outputs!$D$75:$D$97,0)-1,MATCH(BY$17,FY,0)-1))</f>
        <v>0</v>
      </c>
      <c r="BZ18" s="26">
        <f ca="1">IF(OR($D$7&lt;=0,BZ$17=""),"",OFFSET(Outputs!$D$84,MATCH($D$8,Outputs!$D$75:$D$97,0)-1,MATCH(BZ$17,FY,0)-1))</f>
        <v>0</v>
      </c>
      <c r="CA18" s="26">
        <f ca="1">IF(OR($D$7&lt;=0,CA$17=""),"",OFFSET(Outputs!$D$84,MATCH($D$8,Outputs!$D$75:$D$97,0)-1,MATCH(CA$17,FY,0)-1))</f>
        <v>0</v>
      </c>
      <c r="CB18" s="26" t="str">
        <f ca="1">IF(OR($D$7&lt;=0,CB$17=""),"",OFFSET(Outputs!$D$84,MATCH($D$8,Outputs!$D$75:$D$97,0)-1,MATCH(CB$17,FY,0)-1))</f>
        <v/>
      </c>
      <c r="CC18" s="26" t="str">
        <f ca="1">IF(OR($D$7&lt;=0,CC$17=""),"",OFFSET(Outputs!$D$84,MATCH($D$8,Outputs!$D$75:$D$97,0)-1,MATCH(CC$17,FY,0)-1))</f>
        <v/>
      </c>
      <c r="CD18" s="26" t="str">
        <f ca="1">IF(OR($D$7&lt;=0,CD$17=""),"",OFFSET(Outputs!$D$84,MATCH($D$8,Outputs!$D$75:$D$97,0)-1,MATCH(CD$17,FY,0)-1))</f>
        <v/>
      </c>
      <c r="CE18" s="26" t="str">
        <f ca="1">IF(OR($D$7&lt;=0,CE$17=""),"",OFFSET(Outputs!$D$84,MATCH($D$8,Outputs!$D$75:$D$97,0)-1,MATCH(CE$17,FY,0)-1))</f>
        <v/>
      </c>
      <c r="CF18" s="26" t="str">
        <f ca="1">IF(OR($D$7&lt;=0,CF$17=""),"",OFFSET(Outputs!$D$84,MATCH($D$8,Outputs!$D$75:$D$97,0)-1,MATCH(CF$17,FY,0)-1))</f>
        <v/>
      </c>
      <c r="CG18" s="26" t="str">
        <f ca="1">IF(OR($D$7&lt;=0,CG$17=""),"",OFFSET(Outputs!$D$84,MATCH($D$8,Outputs!$D$75:$D$97,0)-1,MATCH(CG$17,FY,0)-1))</f>
        <v/>
      </c>
      <c r="CH18" s="26" t="str">
        <f ca="1">IF(OR($D$7&lt;=0,CH$17=""),"",OFFSET(Outputs!$D$84,MATCH($D$8,Outputs!$D$75:$D$97,0)-1,MATCH(CH$17,FY,0)-1))</f>
        <v/>
      </c>
      <c r="CI18" s="26" t="str">
        <f ca="1">IF(OR($D$7&lt;=0,CI$17=""),"",OFFSET(Outputs!$D$84,MATCH($D$8,Outputs!$D$75:$D$97,0)-1,MATCH(CI$17,FY,0)-1))</f>
        <v/>
      </c>
      <c r="CJ18" s="26" t="str">
        <f ca="1">IF(OR($D$7&lt;=0,CJ$17=""),"",OFFSET(Outputs!$D$84,MATCH($D$8,Outputs!$D$75:$D$97,0)-1,MATCH(CJ$17,FY,0)-1))</f>
        <v/>
      </c>
      <c r="CK18" s="26" t="str">
        <f ca="1">IF(OR($D$7&lt;=0,CK$17=""),"",OFFSET(Outputs!$D$84,MATCH($D$8,Outputs!$D$75:$D$97,0)-1,MATCH(CK$17,FY,0)-1))</f>
        <v/>
      </c>
      <c r="CL18" s="26" t="str">
        <f ca="1">IF(OR($D$7&lt;=0,CL$17=""),"",OFFSET(Outputs!$D$84,MATCH($D$8,Outputs!$D$75:$D$97,0)-1,MATCH(CL$17,FY,0)-1))</f>
        <v/>
      </c>
      <c r="CM18" s="26" t="str">
        <f ca="1">IF(OR($D$7&lt;=0,CM$17=""),"",OFFSET(Outputs!$D$84,MATCH($D$8,Outputs!$D$75:$D$97,0)-1,MATCH(CM$17,FY,0)-1))</f>
        <v/>
      </c>
      <c r="CN18" s="26" t="str">
        <f ca="1">IF(OR($D$7&lt;=0,CN$17=""),"",OFFSET(Outputs!$D$84,MATCH($D$8,Outputs!$D$75:$D$97,0)-1,MATCH(CN$17,FY,0)-1))</f>
        <v/>
      </c>
      <c r="CO18" s="26" t="str">
        <f ca="1">IF(OR($D$7&lt;=0,CO$17=""),"",OFFSET(Outputs!$D$84,MATCH($D$8,Outputs!$D$75:$D$97,0)-1,MATCH(CO$17,FY,0)-1))</f>
        <v/>
      </c>
      <c r="CP18" s="26" t="str">
        <f ca="1">IF(OR($D$7&lt;=0,CP$17=""),"",OFFSET(Outputs!$D$84,MATCH($D$8,Outputs!$D$75:$D$97,0)-1,MATCH(CP$17,FY,0)-1))</f>
        <v/>
      </c>
      <c r="CQ18" s="26" t="str">
        <f ca="1">IF(OR($D$7&lt;=0,CQ$17=""),"",OFFSET(Outputs!$D$84,MATCH($D$8,Outputs!$D$75:$D$97,0)-1,MATCH(CQ$17,FY,0)-1))</f>
        <v/>
      </c>
    </row>
    <row r="20" spans="3:95" ht="18" x14ac:dyDescent="0.35">
      <c r="C20" s="2" t="s">
        <v>138</v>
      </c>
    </row>
    <row r="22" spans="3:95" x14ac:dyDescent="0.3">
      <c r="C22" s="6" t="s">
        <v>133</v>
      </c>
      <c r="D22" s="5" t="s">
        <v>113</v>
      </c>
    </row>
    <row r="23" spans="3:95" x14ac:dyDescent="0.3">
      <c r="C23" s="6" t="s">
        <v>134</v>
      </c>
      <c r="D23" s="5" t="s">
        <v>114</v>
      </c>
    </row>
    <row r="24" spans="3:95" x14ac:dyDescent="0.3">
      <c r="C24" s="6" t="s">
        <v>135</v>
      </c>
      <c r="D24" s="20">
        <f>IF(AND(D22="",D23=""),Year_Count,INDEX(Timeline!$F$17:$CQ$17,MATCH(D23,FY,0))-INDEX(Timeline!$F$17:$CQ$17,MATCH(D22,FY,0))+1)</f>
        <v>69</v>
      </c>
    </row>
    <row r="25" spans="3:95" x14ac:dyDescent="0.3">
      <c r="C25" s="6" t="s">
        <v>94</v>
      </c>
      <c r="D25" s="50">
        <v>0.5</v>
      </c>
    </row>
    <row r="34" spans="3:95" x14ac:dyDescent="0.3">
      <c r="F34" s="69" t="str">
        <f>IF($D$22="",Timeline!F14,INDEX(FY,MATCH($D$22,FY,0)))</f>
        <v>19/20</v>
      </c>
      <c r="G34" s="61" t="str">
        <f>IF(COUNTA($F$34:F34)&gt;=$D$24,"",INDEX(FY,MATCH(F34,FY,0)+1))</f>
        <v>20/21</v>
      </c>
      <c r="H34" s="61" t="str">
        <f>IF(COUNTA($F$34:G34)&gt;=$D$24,"",INDEX(FY,MATCH(G34,FY,0)+1))</f>
        <v>21/22</v>
      </c>
      <c r="I34" s="61" t="str">
        <f>IF(COUNTA($F$34:H34)&gt;=$D$24,"",INDEX(FY,MATCH(H34,FY,0)+1))</f>
        <v>22/23</v>
      </c>
      <c r="J34" s="61" t="str">
        <f>IF(COUNTA($F$34:I34)&gt;=$D$24,"",INDEX(FY,MATCH(I34,FY,0)+1))</f>
        <v>23/24</v>
      </c>
      <c r="K34" s="61" t="str">
        <f>IF(COUNTA($F$34:J34)&gt;=$D$24,"",INDEX(FY,MATCH(J34,FY,0)+1))</f>
        <v>24/25</v>
      </c>
      <c r="L34" s="61" t="str">
        <f>IF(COUNTA($F$34:K34)&gt;=$D$24,"",INDEX(FY,MATCH(K34,FY,0)+1))</f>
        <v>25/26</v>
      </c>
      <c r="M34" s="61" t="str">
        <f>IF(COUNTA($F$34:L34)&gt;=$D$24,"",INDEX(FY,MATCH(L34,FY,0)+1))</f>
        <v>26/27</v>
      </c>
      <c r="N34" s="61" t="str">
        <f>IF(COUNTA($F$34:M34)&gt;=$D$24,"",INDEX(FY,MATCH(M34,FY,0)+1))</f>
        <v>27/28</v>
      </c>
      <c r="O34" s="61" t="str">
        <f>IF(COUNTA($F$34:N34)&gt;=$D$24,"",INDEX(FY,MATCH(N34,FY,0)+1))</f>
        <v>28/29</v>
      </c>
      <c r="P34" s="61" t="str">
        <f>IF(COUNTA($F$34:O34)&gt;=$D$24,"",INDEX(FY,MATCH(O34,FY,0)+1))</f>
        <v>29/30</v>
      </c>
      <c r="Q34" s="61" t="str">
        <f>IF(COUNTA($F$34:P34)&gt;=$D$24,"",INDEX(FY,MATCH(P34,FY,0)+1))</f>
        <v>30/31</v>
      </c>
      <c r="R34" s="61" t="str">
        <f>IF(COUNTA($F$34:Q34)&gt;=$D$24,"",INDEX(FY,MATCH(Q34,FY,0)+1))</f>
        <v>31/32</v>
      </c>
      <c r="S34" s="61" t="str">
        <f>IF(COUNTA($F$34:R34)&gt;=$D$24,"",INDEX(FY,MATCH(R34,FY,0)+1))</f>
        <v>32/33</v>
      </c>
      <c r="T34" s="61" t="str">
        <f>IF(COUNTA($F$34:S34)&gt;=$D$24,"",INDEX(FY,MATCH(S34,FY,0)+1))</f>
        <v>33/34</v>
      </c>
      <c r="U34" s="61" t="str">
        <f>IF(COUNTA($F$34:T34)&gt;=$D$24,"",INDEX(FY,MATCH(T34,FY,0)+1))</f>
        <v>34/35</v>
      </c>
      <c r="V34" s="61" t="str">
        <f>IF(COUNTA($F$34:U34)&gt;=$D$24,"",INDEX(FY,MATCH(U34,FY,0)+1))</f>
        <v>35/36</v>
      </c>
      <c r="W34" s="61" t="str">
        <f>IF(COUNTA($F$34:V34)&gt;=$D$24,"",INDEX(FY,MATCH(V34,FY,0)+1))</f>
        <v>36/37</v>
      </c>
      <c r="X34" s="61" t="str">
        <f>IF(COUNTA($F$34:W34)&gt;=$D$24,"",INDEX(FY,MATCH(W34,FY,0)+1))</f>
        <v>37/38</v>
      </c>
      <c r="Y34" s="61" t="str">
        <f>IF(COUNTA($F$34:X34)&gt;=$D$24,"",INDEX(FY,MATCH(X34,FY,0)+1))</f>
        <v>38/39</v>
      </c>
      <c r="Z34" s="61" t="str">
        <f>IF(COUNTA($F$34:Y34)&gt;=$D$24,"",INDEX(FY,MATCH(Y34,FY,0)+1))</f>
        <v>39/40</v>
      </c>
      <c r="AA34" s="61" t="str">
        <f>IF(COUNTA($F$34:Z34)&gt;=$D$24,"",INDEX(FY,MATCH(Z34,FY,0)+1))</f>
        <v>40/41</v>
      </c>
      <c r="AB34" s="61" t="str">
        <f>IF(COUNTA($F$34:AA34)&gt;=$D$24,"",INDEX(FY,MATCH(AA34,FY,0)+1))</f>
        <v>41/42</v>
      </c>
      <c r="AC34" s="61" t="str">
        <f>IF(COUNTA($F$34:AB34)&gt;=$D$24,"",INDEX(FY,MATCH(AB34,FY,0)+1))</f>
        <v>42/43</v>
      </c>
      <c r="AD34" s="61" t="str">
        <f>IF(COUNTA($F$34:AC34)&gt;=$D$24,"",INDEX(FY,MATCH(AC34,FY,0)+1))</f>
        <v>43/44</v>
      </c>
      <c r="AE34" s="61" t="str">
        <f>IF(COUNTA($F$34:AD34)&gt;=$D$24,"",INDEX(FY,MATCH(AD34,FY,0)+1))</f>
        <v>44/45</v>
      </c>
      <c r="AF34" s="61" t="str">
        <f>IF(COUNTA($F$34:AE34)&gt;=$D$24,"",INDEX(FY,MATCH(AE34,FY,0)+1))</f>
        <v>45/46</v>
      </c>
      <c r="AG34" s="61" t="str">
        <f>IF(COUNTA($F$34:AF34)&gt;=$D$24,"",INDEX(FY,MATCH(AF34,FY,0)+1))</f>
        <v>46/47</v>
      </c>
      <c r="AH34" s="61" t="str">
        <f>IF(COUNTA($F$34:AG34)&gt;=$D$24,"",INDEX(FY,MATCH(AG34,FY,0)+1))</f>
        <v>47/48</v>
      </c>
      <c r="AI34" s="61" t="str">
        <f>IF(COUNTA($F$34:AH34)&gt;=$D$24,"",INDEX(FY,MATCH(AH34,FY,0)+1))</f>
        <v>48/49</v>
      </c>
      <c r="AJ34" s="61" t="str">
        <f>IF(COUNTA($F$34:AI34)&gt;=$D$24,"",INDEX(FY,MATCH(AI34,FY,0)+1))</f>
        <v>49/50</v>
      </c>
      <c r="AK34" s="61" t="str">
        <f>IF(COUNTA($F$34:AJ34)&gt;=$D$24,"",INDEX(FY,MATCH(AJ34,FY,0)+1))</f>
        <v>50/51</v>
      </c>
      <c r="AL34" s="61" t="str">
        <f>IF(COUNTA($F$34:AK34)&gt;=$D$24,"",INDEX(FY,MATCH(AK34,FY,0)+1))</f>
        <v>51/52</v>
      </c>
      <c r="AM34" s="61" t="str">
        <f>IF(COUNTA($F$34:AL34)&gt;=$D$24,"",INDEX(FY,MATCH(AL34,FY,0)+1))</f>
        <v>52/53</v>
      </c>
      <c r="AN34" s="61" t="str">
        <f>IF(COUNTA($F$34:AM34)&gt;=$D$24,"",INDEX(FY,MATCH(AM34,FY,0)+1))</f>
        <v>53/54</v>
      </c>
      <c r="AO34" s="61" t="str">
        <f>IF(COUNTA($F$34:AN34)&gt;=$D$24,"",INDEX(FY,MATCH(AN34,FY,0)+1))</f>
        <v>54/55</v>
      </c>
      <c r="AP34" s="61" t="str">
        <f>IF(COUNTA($F$34:AO34)&gt;=$D$24,"",INDEX(FY,MATCH(AO34,FY,0)+1))</f>
        <v>55/56</v>
      </c>
      <c r="AQ34" s="61" t="str">
        <f>IF(COUNTA($F$34:AP34)&gt;=$D$24,"",INDEX(FY,MATCH(AP34,FY,0)+1))</f>
        <v>56/57</v>
      </c>
      <c r="AR34" s="61" t="str">
        <f>IF(COUNTA($F$34:AQ34)&gt;=$D$24,"",INDEX(FY,MATCH(AQ34,FY,0)+1))</f>
        <v>57/58</v>
      </c>
      <c r="AS34" s="61" t="str">
        <f>IF(COUNTA($F$34:AR34)&gt;=$D$24,"",INDEX(FY,MATCH(AR34,FY,0)+1))</f>
        <v>58/59</v>
      </c>
      <c r="AT34" s="61" t="str">
        <f>IF(COUNTA($F$34:AS34)&gt;=$D$24,"",INDEX(FY,MATCH(AS34,FY,0)+1))</f>
        <v>59/60</v>
      </c>
      <c r="AU34" s="61" t="str">
        <f>IF(COUNTA($F$34:AT34)&gt;=$D$24,"",INDEX(FY,MATCH(AT34,FY,0)+1))</f>
        <v>60/61</v>
      </c>
      <c r="AV34" s="61" t="str">
        <f>IF(COUNTA($F$34:AU34)&gt;=$D$24,"",INDEX(FY,MATCH(AU34,FY,0)+1))</f>
        <v>61/62</v>
      </c>
      <c r="AW34" s="61" t="str">
        <f>IF(COUNTA($F$34:AV34)&gt;=$D$24,"",INDEX(FY,MATCH(AV34,FY,0)+1))</f>
        <v>62/63</v>
      </c>
      <c r="AX34" s="61" t="str">
        <f>IF(COUNTA($F$34:AW34)&gt;=$D$24,"",INDEX(FY,MATCH(AW34,FY,0)+1))</f>
        <v>63/64</v>
      </c>
      <c r="AY34" s="61" t="str">
        <f>IF(COUNTA($F$34:AX34)&gt;=$D$24,"",INDEX(FY,MATCH(AX34,FY,0)+1))</f>
        <v>64/65</v>
      </c>
      <c r="AZ34" s="61" t="str">
        <f>IF(COUNTA($F$34:AY34)&gt;=$D$24,"",INDEX(FY,MATCH(AY34,FY,0)+1))</f>
        <v>65/66</v>
      </c>
      <c r="BA34" s="61" t="str">
        <f>IF(COUNTA($F$34:AZ34)&gt;=$D$24,"",INDEX(FY,MATCH(AZ34,FY,0)+1))</f>
        <v>66/67</v>
      </c>
      <c r="BB34" s="61" t="str">
        <f>IF(COUNTA($F$34:BA34)&gt;=$D$24,"",INDEX(FY,MATCH(BA34,FY,0)+1))</f>
        <v>67/68</v>
      </c>
      <c r="BC34" s="61" t="str">
        <f>IF(COUNTA($F$34:BB34)&gt;=$D$24,"",INDEX(FY,MATCH(BB34,FY,0)+1))</f>
        <v>68/69</v>
      </c>
      <c r="BD34" s="61" t="str">
        <f>IF(COUNTA($F$34:BC34)&gt;=$D$24,"",INDEX(FY,MATCH(BC34,FY,0)+1))</f>
        <v>69/70</v>
      </c>
      <c r="BE34" s="61" t="str">
        <f>IF(COUNTA($F$34:BD34)&gt;=$D$24,"",INDEX(FY,MATCH(BD34,FY,0)+1))</f>
        <v>70/71</v>
      </c>
      <c r="BF34" s="61" t="str">
        <f>IF(COUNTA($F$34:BE34)&gt;=$D$24,"",INDEX(FY,MATCH(BE34,FY,0)+1))</f>
        <v>71/72</v>
      </c>
      <c r="BG34" s="61" t="str">
        <f>IF(COUNTA($F$34:BF34)&gt;=$D$24,"",INDEX(FY,MATCH(BF34,FY,0)+1))</f>
        <v>72/73</v>
      </c>
      <c r="BH34" s="61" t="str">
        <f>IF(COUNTA($F$34:BG34)&gt;=$D$24,"",INDEX(FY,MATCH(BG34,FY,0)+1))</f>
        <v>73/74</v>
      </c>
      <c r="BI34" s="61" t="str">
        <f>IF(COUNTA($F$34:BH34)&gt;=$D$24,"",INDEX(FY,MATCH(BH34,FY,0)+1))</f>
        <v>74/75</v>
      </c>
      <c r="BJ34" s="61" t="str">
        <f>IF(COUNTA($F$34:BI34)&gt;=$D$24,"",INDEX(FY,MATCH(BI34,FY,0)+1))</f>
        <v>75/76</v>
      </c>
      <c r="BK34" s="61" t="str">
        <f>IF(COUNTA($F$34:BJ34)&gt;=$D$24,"",INDEX(FY,MATCH(BJ34,FY,0)+1))</f>
        <v>76/77</v>
      </c>
      <c r="BL34" s="61" t="str">
        <f>IF(COUNTA($F$34:BK34)&gt;=$D$24,"",INDEX(FY,MATCH(BK34,FY,0)+1))</f>
        <v>77/78</v>
      </c>
      <c r="BM34" s="61" t="str">
        <f>IF(COUNTA($F$34:BL34)&gt;=$D$24,"",INDEX(FY,MATCH(BL34,FY,0)+1))</f>
        <v>78/79</v>
      </c>
      <c r="BN34" s="61" t="str">
        <f>IF(COUNTA($F$34:BM34)&gt;=$D$24,"",INDEX(FY,MATCH(BM34,FY,0)+1))</f>
        <v>79/80</v>
      </c>
      <c r="BO34" s="61" t="str">
        <f>IF(COUNTA($F$34:BN34)&gt;=$D$24,"",INDEX(FY,MATCH(BN34,FY,0)+1))</f>
        <v>80/81</v>
      </c>
      <c r="BP34" s="61" t="str">
        <f>IF(COUNTA($F$34:BO34)&gt;=$D$24,"",INDEX(FY,MATCH(BO34,FY,0)+1))</f>
        <v>81/82</v>
      </c>
      <c r="BQ34" s="61" t="str">
        <f>IF(COUNTA($F$34:BP34)&gt;=$D$24,"",INDEX(FY,MATCH(BP34,FY,0)+1))</f>
        <v>82/83</v>
      </c>
      <c r="BR34" s="61" t="str">
        <f>IF(COUNTA($F$34:BQ34)&gt;=$D$24,"",INDEX(FY,MATCH(BQ34,FY,0)+1))</f>
        <v>83/84</v>
      </c>
      <c r="BS34" s="61" t="str">
        <f>IF(COUNTA($F$34:BR34)&gt;=$D$24,"",INDEX(FY,MATCH(BR34,FY,0)+1))</f>
        <v>84/85</v>
      </c>
      <c r="BT34" s="61" t="str">
        <f>IF(COUNTA($F$34:BS34)&gt;=$D$24,"",INDEX(FY,MATCH(BS34,FY,0)+1))</f>
        <v>85/86</v>
      </c>
      <c r="BU34" s="61" t="str">
        <f>IF(COUNTA($F$34:BT34)&gt;=$D$24,"",INDEX(FY,MATCH(BT34,FY,0)+1))</f>
        <v>86/87</v>
      </c>
      <c r="BV34" s="61" t="str">
        <f>IF(COUNTA($F$34:BU34)&gt;=$D$24,"",INDEX(FY,MATCH(BU34,FY,0)+1))</f>
        <v>87/88</v>
      </c>
      <c r="BW34" s="61" t="str">
        <f>IF(COUNTA($F$34:BV34)&gt;=$D$24,"",INDEX(FY,MATCH(BV34,FY,0)+1))</f>
        <v/>
      </c>
      <c r="BX34" s="61" t="str">
        <f>IF(COUNTA($F$34:BW34)&gt;=$D$24,"",INDEX(FY,MATCH(BW34,FY,0)+1))</f>
        <v/>
      </c>
      <c r="BY34" s="61" t="str">
        <f>IF(COUNTA($F$34:BX34)&gt;=$D$24,"",INDEX(FY,MATCH(BX34,FY,0)+1))</f>
        <v/>
      </c>
      <c r="BZ34" s="61" t="str">
        <f>IF(COUNTA($F$34:BY34)&gt;=$D$24,"",INDEX(FY,MATCH(BY34,FY,0)+1))</f>
        <v/>
      </c>
      <c r="CA34" s="61" t="str">
        <f>IF(COUNTA($F$34:BZ34)&gt;=$D$24,"",INDEX(FY,MATCH(BZ34,FY,0)+1))</f>
        <v/>
      </c>
      <c r="CB34" s="61" t="str">
        <f>IF(COUNTA($F$34:CA34)&gt;=$D$24,"",INDEX(FY,MATCH(CA34,FY,0)+1))</f>
        <v/>
      </c>
      <c r="CC34" s="61" t="str">
        <f>IF(COUNTA($F$34:CB34)&gt;=$D$24,"",INDEX(FY,MATCH(CB34,FY,0)+1))</f>
        <v/>
      </c>
      <c r="CD34" s="61" t="str">
        <f>IF(COUNTA($F$34:CC34)&gt;=$D$24,"",INDEX(FY,MATCH(CC34,FY,0)+1))</f>
        <v/>
      </c>
      <c r="CE34" s="61" t="str">
        <f>IF(COUNTA($F$34:CD34)&gt;=$D$24,"",INDEX(FY,MATCH(CD34,FY,0)+1))</f>
        <v/>
      </c>
      <c r="CF34" s="61" t="str">
        <f>IF(COUNTA($F$34:CE34)&gt;=$D$24,"",INDEX(FY,MATCH(CE34,FY,0)+1))</f>
        <v/>
      </c>
      <c r="CG34" s="61" t="str">
        <f>IF(COUNTA($F$34:CF34)&gt;=$D$24,"",INDEX(FY,MATCH(CF34,FY,0)+1))</f>
        <v/>
      </c>
      <c r="CH34" s="61" t="str">
        <f>IF(COUNTA($F$34:CG34)&gt;=$D$24,"",INDEX(FY,MATCH(CG34,FY,0)+1))</f>
        <v/>
      </c>
      <c r="CI34" s="61" t="str">
        <f>IF(COUNTA($F$34:CH34)&gt;=$D$24,"",INDEX(FY,MATCH(CH34,FY,0)+1))</f>
        <v/>
      </c>
      <c r="CJ34" s="61" t="str">
        <f>IF(COUNTA($F$34:CI34)&gt;=$D$24,"",INDEX(FY,MATCH(CI34,FY,0)+1))</f>
        <v/>
      </c>
      <c r="CK34" s="61" t="str">
        <f>IF(COUNTA($F$34:CJ34)&gt;=$D$24,"",INDEX(FY,MATCH(CJ34,FY,0)+1))</f>
        <v/>
      </c>
      <c r="CL34" s="61" t="str">
        <f>IF(COUNTA($F$34:CK34)&gt;=$D$24,"",INDEX(FY,MATCH(CK34,FY,0)+1))</f>
        <v/>
      </c>
      <c r="CM34" s="61" t="str">
        <f>IF(COUNTA($F$34:CL34)&gt;=$D$24,"",INDEX(FY,MATCH(CL34,FY,0)+1))</f>
        <v/>
      </c>
      <c r="CN34" s="61" t="str">
        <f>IF(COUNTA($F$34:CM34)&gt;=$D$24,"",INDEX(FY,MATCH(CM34,FY,0)+1))</f>
        <v/>
      </c>
      <c r="CO34" s="61" t="str">
        <f>IF(COUNTA($F$34:CN34)&gt;=$D$24,"",INDEX(FY,MATCH(CN34,FY,0)+1))</f>
        <v/>
      </c>
      <c r="CP34" s="61" t="str">
        <f>IF(COUNTA($F$34:CO34)&gt;=$D$24,"",INDEX(FY,MATCH(CO34,FY,0)+1))</f>
        <v/>
      </c>
      <c r="CQ34" s="61" t="str">
        <f>IF(COUNTA($F$34:CP34)&gt;=$D$24,"",INDEX(FY,MATCH(CP34,FY,0)+1))</f>
        <v/>
      </c>
    </row>
    <row r="35" spans="3:95" x14ac:dyDescent="0.3">
      <c r="D35" s="6" t="str">
        <f>Lookups!C5</f>
        <v>Concept</v>
      </c>
      <c r="F35" s="26">
        <f ca="1">IF(OR($D$24&lt;=0,F$34=""),"",OFFSET(Outputs!$D78,MATCH($D$25,Outputs!$D$75:$D$97,0)-1,MATCH(F$34,FY,0)-1))</f>
        <v>0</v>
      </c>
      <c r="G35" s="26">
        <f ca="1">IF(OR($D$24&lt;=0,G$34=""),"",OFFSET(Outputs!$D78,MATCH($D$25,Outputs!$D$75:$D$97,0)-1,MATCH(G$34,FY,0)-1))</f>
        <v>0</v>
      </c>
      <c r="H35" s="26">
        <f ca="1">IF(OR($D$24&lt;=0,H$34=""),"",OFFSET(Outputs!$D78,MATCH($D$25,Outputs!$D$75:$D$97,0)-1,MATCH(H$34,FY,0)-1))</f>
        <v>0</v>
      </c>
      <c r="I35" s="26">
        <f ca="1">IF(OR($D$24&lt;=0,I$34=""),"",OFFSET(Outputs!$D78,MATCH($D$25,Outputs!$D$75:$D$97,0)-1,MATCH(I$34,FY,0)-1))</f>
        <v>0</v>
      </c>
      <c r="J35" s="26">
        <f ca="1">IF(OR($D$24&lt;=0,J$34=""),"",OFFSET(Outputs!$D78,MATCH($D$25,Outputs!$D$75:$D$97,0)-1,MATCH(J$34,FY,0)-1))</f>
        <v>0</v>
      </c>
      <c r="K35" s="26">
        <f ca="1">IF(OR($D$24&lt;=0,K$34=""),"",OFFSET(Outputs!$D78,MATCH($D$25,Outputs!$D$75:$D$97,0)-1,MATCH(K$34,FY,0)-1))</f>
        <v>0</v>
      </c>
      <c r="L35" s="26">
        <f ca="1">IF(OR($D$24&lt;=0,L$34=""),"",OFFSET(Outputs!$D78,MATCH($D$25,Outputs!$D$75:$D$97,0)-1,MATCH(L$34,FY,0)-1))</f>
        <v>0</v>
      </c>
      <c r="M35" s="26">
        <f ca="1">IF(OR($D$24&lt;=0,M$34=""),"",OFFSET(Outputs!$D78,MATCH($D$25,Outputs!$D$75:$D$97,0)-1,MATCH(M$34,FY,0)-1))</f>
        <v>0</v>
      </c>
      <c r="N35" s="26">
        <f ca="1">IF(OR($D$24&lt;=0,N$34=""),"",OFFSET(Outputs!$D78,MATCH($D$25,Outputs!$D$75:$D$97,0)-1,MATCH(N$34,FY,0)-1))</f>
        <v>0</v>
      </c>
      <c r="O35" s="26">
        <f ca="1">IF(OR($D$24&lt;=0,O$34=""),"",OFFSET(Outputs!$D78,MATCH($D$25,Outputs!$D$75:$D$97,0)-1,MATCH(O$34,FY,0)-1))</f>
        <v>0</v>
      </c>
      <c r="P35" s="26">
        <f ca="1">IF(OR($D$24&lt;=0,P$34=""),"",OFFSET(Outputs!$D78,MATCH($D$25,Outputs!$D$75:$D$97,0)-1,MATCH(P$34,FY,0)-1))</f>
        <v>0</v>
      </c>
      <c r="Q35" s="26">
        <f ca="1">IF(OR($D$24&lt;=0,Q$34=""),"",OFFSET(Outputs!$D78,MATCH($D$25,Outputs!$D$75:$D$97,0)-1,MATCH(Q$34,FY,0)-1))</f>
        <v>0</v>
      </c>
      <c r="R35" s="26">
        <f ca="1">IF(OR($D$24&lt;=0,R$34=""),"",OFFSET(Outputs!$D78,MATCH($D$25,Outputs!$D$75:$D$97,0)-1,MATCH(R$34,FY,0)-1))</f>
        <v>0</v>
      </c>
      <c r="S35" s="26">
        <f ca="1">IF(OR($D$24&lt;=0,S$34=""),"",OFFSET(Outputs!$D78,MATCH($D$25,Outputs!$D$75:$D$97,0)-1,MATCH(S$34,FY,0)-1))</f>
        <v>0</v>
      </c>
      <c r="T35" s="26">
        <f ca="1">IF(OR($D$24&lt;=0,T$34=""),"",OFFSET(Outputs!$D78,MATCH($D$25,Outputs!$D$75:$D$97,0)-1,MATCH(T$34,FY,0)-1))</f>
        <v>0</v>
      </c>
      <c r="U35" s="26">
        <f ca="1">IF(OR($D$24&lt;=0,U$34=""),"",OFFSET(Outputs!$D78,MATCH($D$25,Outputs!$D$75:$D$97,0)-1,MATCH(U$34,FY,0)-1))</f>
        <v>0</v>
      </c>
      <c r="V35" s="26">
        <f ca="1">IF(OR($D$24&lt;=0,V$34=""),"",OFFSET(Outputs!$D78,MATCH($D$25,Outputs!$D$75:$D$97,0)-1,MATCH(V$34,FY,0)-1))</f>
        <v>0</v>
      </c>
      <c r="W35" s="26">
        <f ca="1">IF(OR($D$24&lt;=0,W$34=""),"",OFFSET(Outputs!$D78,MATCH($D$25,Outputs!$D$75:$D$97,0)-1,MATCH(W$34,FY,0)-1))</f>
        <v>6178.9349500000008</v>
      </c>
      <c r="X35" s="26">
        <f ca="1">IF(OR($D$24&lt;=0,X$34=""),"",OFFSET(Outputs!$D78,MATCH($D$25,Outputs!$D$75:$D$97,0)-1,MATCH(X$34,FY,0)-1))</f>
        <v>4296.6543500000007</v>
      </c>
      <c r="Y35" s="26">
        <f ca="1">IF(OR($D$24&lt;=0,Y$34=""),"",OFFSET(Outputs!$D78,MATCH($D$25,Outputs!$D$75:$D$97,0)-1,MATCH(Y$34,FY,0)-1))</f>
        <v>4296.6543500000007</v>
      </c>
      <c r="Z35" s="26">
        <f ca="1">IF(OR($D$24&lt;=0,Z$34=""),"",OFFSET(Outputs!$D78,MATCH($D$25,Outputs!$D$75:$D$97,0)-1,MATCH(Z$34,FY,0)-1))</f>
        <v>4296.6543500000007</v>
      </c>
      <c r="AA35" s="26">
        <f ca="1">IF(OR($D$24&lt;=0,AA$34=""),"",OFFSET(Outputs!$D78,MATCH($D$25,Outputs!$D$75:$D$97,0)-1,MATCH(AA$34,FY,0)-1))</f>
        <v>4296.6543500000007</v>
      </c>
      <c r="AB35" s="26">
        <f ca="1">IF(OR($D$24&lt;=0,AB$34=""),"",OFFSET(Outputs!$D78,MATCH($D$25,Outputs!$D$75:$D$97,0)-1,MATCH(AB$34,FY,0)-1))</f>
        <v>0</v>
      </c>
      <c r="AC35" s="26">
        <f ca="1">IF(OR($D$24&lt;=0,AC$34=""),"",OFFSET(Outputs!$D78,MATCH($D$25,Outputs!$D$75:$D$97,0)-1,MATCH(AC$34,FY,0)-1))</f>
        <v>0</v>
      </c>
      <c r="AD35" s="26">
        <f ca="1">IF(OR($D$24&lt;=0,AD$34=""),"",OFFSET(Outputs!$D78,MATCH($D$25,Outputs!$D$75:$D$97,0)-1,MATCH(AD$34,FY,0)-1))</f>
        <v>0</v>
      </c>
      <c r="AE35" s="26">
        <f ca="1">IF(OR($D$24&lt;=0,AE$34=""),"",OFFSET(Outputs!$D78,MATCH($D$25,Outputs!$D$75:$D$97,0)-1,MATCH(AE$34,FY,0)-1))</f>
        <v>0</v>
      </c>
      <c r="AF35" s="26">
        <f ca="1">IF(OR($D$24&lt;=0,AF$34=""),"",OFFSET(Outputs!$D78,MATCH($D$25,Outputs!$D$75:$D$97,0)-1,MATCH(AF$34,FY,0)-1))</f>
        <v>0</v>
      </c>
      <c r="AG35" s="26">
        <f ca="1">IF(OR($D$24&lt;=0,AG$34=""),"",OFFSET(Outputs!$D78,MATCH($D$25,Outputs!$D$75:$D$97,0)-1,MATCH(AG$34,FY,0)-1))</f>
        <v>0</v>
      </c>
      <c r="AH35" s="26">
        <f ca="1">IF(OR($D$24&lt;=0,AH$34=""),"",OFFSET(Outputs!$D78,MATCH($D$25,Outputs!$D$75:$D$97,0)-1,MATCH(AH$34,FY,0)-1))</f>
        <v>0</v>
      </c>
      <c r="AI35" s="26">
        <f ca="1">IF(OR($D$24&lt;=0,AI$34=""),"",OFFSET(Outputs!$D78,MATCH($D$25,Outputs!$D$75:$D$97,0)-1,MATCH(AI$34,FY,0)-1))</f>
        <v>0</v>
      </c>
      <c r="AJ35" s="26">
        <f ca="1">IF(OR($D$24&lt;=0,AJ$34=""),"",OFFSET(Outputs!$D78,MATCH($D$25,Outputs!$D$75:$D$97,0)-1,MATCH(AJ$34,FY,0)-1))</f>
        <v>0</v>
      </c>
      <c r="AK35" s="26">
        <f ca="1">IF(OR($D$24&lt;=0,AK$34=""),"",OFFSET(Outputs!$D78,MATCH($D$25,Outputs!$D$75:$D$97,0)-1,MATCH(AK$34,FY,0)-1))</f>
        <v>0</v>
      </c>
      <c r="AL35" s="26">
        <f ca="1">IF(OR($D$24&lt;=0,AL$34=""),"",OFFSET(Outputs!$D78,MATCH($D$25,Outputs!$D$75:$D$97,0)-1,MATCH(AL$34,FY,0)-1))</f>
        <v>0</v>
      </c>
      <c r="AM35" s="26">
        <f ca="1">IF(OR($D$24&lt;=0,AM$34=""),"",OFFSET(Outputs!$D78,MATCH($D$25,Outputs!$D$75:$D$97,0)-1,MATCH(AM$34,FY,0)-1))</f>
        <v>0</v>
      </c>
      <c r="AN35" s="26">
        <f ca="1">IF(OR($D$24&lt;=0,AN$34=""),"",OFFSET(Outputs!$D78,MATCH($D$25,Outputs!$D$75:$D$97,0)-1,MATCH(AN$34,FY,0)-1))</f>
        <v>0</v>
      </c>
      <c r="AO35" s="26">
        <f ca="1">IF(OR($D$24&lt;=0,AO$34=""),"",OFFSET(Outputs!$D78,MATCH($D$25,Outputs!$D$75:$D$97,0)-1,MATCH(AO$34,FY,0)-1))</f>
        <v>0</v>
      </c>
      <c r="AP35" s="26">
        <f ca="1">IF(OR($D$24&lt;=0,AP$34=""),"",OFFSET(Outputs!$D78,MATCH($D$25,Outputs!$D$75:$D$97,0)-1,MATCH(AP$34,FY,0)-1))</f>
        <v>0</v>
      </c>
      <c r="AQ35" s="26">
        <f ca="1">IF(OR($D$24&lt;=0,AQ$34=""),"",OFFSET(Outputs!$D78,MATCH($D$25,Outputs!$D$75:$D$97,0)-1,MATCH(AQ$34,FY,0)-1))</f>
        <v>0</v>
      </c>
      <c r="AR35" s="26">
        <f ca="1">IF(OR($D$24&lt;=0,AR$34=""),"",OFFSET(Outputs!$D78,MATCH($D$25,Outputs!$D$75:$D$97,0)-1,MATCH(AR$34,FY,0)-1))</f>
        <v>0</v>
      </c>
      <c r="AS35" s="26">
        <f ca="1">IF(OR($D$24&lt;=0,AS$34=""),"",OFFSET(Outputs!$D78,MATCH($D$25,Outputs!$D$75:$D$97,0)-1,MATCH(AS$34,FY,0)-1))</f>
        <v>0</v>
      </c>
      <c r="AT35" s="26">
        <f ca="1">IF(OR($D$24&lt;=0,AT$34=""),"",OFFSET(Outputs!$D78,MATCH($D$25,Outputs!$D$75:$D$97,0)-1,MATCH(AT$34,FY,0)-1))</f>
        <v>0</v>
      </c>
      <c r="AU35" s="26">
        <f ca="1">IF(OR($D$24&lt;=0,AU$34=""),"",OFFSET(Outputs!$D78,MATCH($D$25,Outputs!$D$75:$D$97,0)-1,MATCH(AU$34,FY,0)-1))</f>
        <v>0</v>
      </c>
      <c r="AV35" s="26">
        <f ca="1">IF(OR($D$24&lt;=0,AV$34=""),"",OFFSET(Outputs!$D78,MATCH($D$25,Outputs!$D$75:$D$97,0)-1,MATCH(AV$34,FY,0)-1))</f>
        <v>0</v>
      </c>
      <c r="AW35" s="26">
        <f ca="1">IF(OR($D$24&lt;=0,AW$34=""),"",OFFSET(Outputs!$D78,MATCH($D$25,Outputs!$D$75:$D$97,0)-1,MATCH(AW$34,FY,0)-1))</f>
        <v>0</v>
      </c>
      <c r="AX35" s="26">
        <f ca="1">IF(OR($D$24&lt;=0,AX$34=""),"",OFFSET(Outputs!$D78,MATCH($D$25,Outputs!$D$75:$D$97,0)-1,MATCH(AX$34,FY,0)-1))</f>
        <v>0</v>
      </c>
      <c r="AY35" s="26">
        <f ca="1">IF(OR($D$24&lt;=0,AY$34=""),"",OFFSET(Outputs!$D78,MATCH($D$25,Outputs!$D$75:$D$97,0)-1,MATCH(AY$34,FY,0)-1))</f>
        <v>0</v>
      </c>
      <c r="AZ35" s="26">
        <f ca="1">IF(OR($D$24&lt;=0,AZ$34=""),"",OFFSET(Outputs!$D78,MATCH($D$25,Outputs!$D$75:$D$97,0)-1,MATCH(AZ$34,FY,0)-1))</f>
        <v>0</v>
      </c>
      <c r="BA35" s="26">
        <f ca="1">IF(OR($D$24&lt;=0,BA$34=""),"",OFFSET(Outputs!$D78,MATCH($D$25,Outputs!$D$75:$D$97,0)-1,MATCH(BA$34,FY,0)-1))</f>
        <v>0</v>
      </c>
      <c r="BB35" s="26">
        <f ca="1">IF(OR($D$24&lt;=0,BB$34=""),"",OFFSET(Outputs!$D78,MATCH($D$25,Outputs!$D$75:$D$97,0)-1,MATCH(BB$34,FY,0)-1))</f>
        <v>0</v>
      </c>
      <c r="BC35" s="26">
        <f ca="1">IF(OR($D$24&lt;=0,BC$34=""),"",OFFSET(Outputs!$D78,MATCH($D$25,Outputs!$D$75:$D$97,0)-1,MATCH(BC$34,FY,0)-1))</f>
        <v>0</v>
      </c>
      <c r="BD35" s="26">
        <f ca="1">IF(OR($D$24&lt;=0,BD$34=""),"",OFFSET(Outputs!$D78,MATCH($D$25,Outputs!$D$75:$D$97,0)-1,MATCH(BD$34,FY,0)-1))</f>
        <v>0</v>
      </c>
      <c r="BE35" s="26">
        <f ca="1">IF(OR($D$24&lt;=0,BE$34=""),"",OFFSET(Outputs!$D78,MATCH($D$25,Outputs!$D$75:$D$97,0)-1,MATCH(BE$34,FY,0)-1))</f>
        <v>0</v>
      </c>
      <c r="BF35" s="26">
        <f ca="1">IF(OR($D$24&lt;=0,BF$34=""),"",OFFSET(Outputs!$D78,MATCH($D$25,Outputs!$D$75:$D$97,0)-1,MATCH(BF$34,FY,0)-1))</f>
        <v>0</v>
      </c>
      <c r="BG35" s="26">
        <f ca="1">IF(OR($D$24&lt;=0,BG$34=""),"",OFFSET(Outputs!$D78,MATCH($D$25,Outputs!$D$75:$D$97,0)-1,MATCH(BG$34,FY,0)-1))</f>
        <v>0</v>
      </c>
      <c r="BH35" s="26">
        <f ca="1">IF(OR($D$24&lt;=0,BH$34=""),"",OFFSET(Outputs!$D78,MATCH($D$25,Outputs!$D$75:$D$97,0)-1,MATCH(BH$34,FY,0)-1))</f>
        <v>0</v>
      </c>
      <c r="BI35" s="26">
        <f ca="1">IF(OR($D$24&lt;=0,BI$34=""),"",OFFSET(Outputs!$D78,MATCH($D$25,Outputs!$D$75:$D$97,0)-1,MATCH(BI$34,FY,0)-1))</f>
        <v>0</v>
      </c>
      <c r="BJ35" s="26">
        <f ca="1">IF(OR($D$24&lt;=0,BJ$34=""),"",OFFSET(Outputs!$D78,MATCH($D$25,Outputs!$D$75:$D$97,0)-1,MATCH(BJ$34,FY,0)-1))</f>
        <v>0</v>
      </c>
      <c r="BK35" s="26">
        <f ca="1">IF(OR($D$24&lt;=0,BK$34=""),"",OFFSET(Outputs!$D78,MATCH($D$25,Outputs!$D$75:$D$97,0)-1,MATCH(BK$34,FY,0)-1))</f>
        <v>0</v>
      </c>
      <c r="BL35" s="26">
        <f ca="1">IF(OR($D$24&lt;=0,BL$34=""),"",OFFSET(Outputs!$D78,MATCH($D$25,Outputs!$D$75:$D$97,0)-1,MATCH(BL$34,FY,0)-1))</f>
        <v>0</v>
      </c>
      <c r="BM35" s="26">
        <f ca="1">IF(OR($D$24&lt;=0,BM$34=""),"",OFFSET(Outputs!$D78,MATCH($D$25,Outputs!$D$75:$D$97,0)-1,MATCH(BM$34,FY,0)-1))</f>
        <v>0</v>
      </c>
      <c r="BN35" s="26">
        <f ca="1">IF(OR($D$24&lt;=0,BN$34=""),"",OFFSET(Outputs!$D78,MATCH($D$25,Outputs!$D$75:$D$97,0)-1,MATCH(BN$34,FY,0)-1))</f>
        <v>0</v>
      </c>
      <c r="BO35" s="26">
        <f ca="1">IF(OR($D$24&lt;=0,BO$34=""),"",OFFSET(Outputs!$D78,MATCH($D$25,Outputs!$D$75:$D$97,0)-1,MATCH(BO$34,FY,0)-1))</f>
        <v>0</v>
      </c>
      <c r="BP35" s="26">
        <f ca="1">IF(OR($D$24&lt;=0,BP$34=""),"",OFFSET(Outputs!$D78,MATCH($D$25,Outputs!$D$75:$D$97,0)-1,MATCH(BP$34,FY,0)-1))</f>
        <v>0</v>
      </c>
      <c r="BQ35" s="26">
        <f ca="1">IF(OR($D$24&lt;=0,BQ$34=""),"",OFFSET(Outputs!$D78,MATCH($D$25,Outputs!$D$75:$D$97,0)-1,MATCH(BQ$34,FY,0)-1))</f>
        <v>0</v>
      </c>
      <c r="BR35" s="26">
        <f ca="1">IF(OR($D$24&lt;=0,BR$34=""),"",OFFSET(Outputs!$D78,MATCH($D$25,Outputs!$D$75:$D$97,0)-1,MATCH(BR$34,FY,0)-1))</f>
        <v>0</v>
      </c>
      <c r="BS35" s="26">
        <f ca="1">IF(OR($D$24&lt;=0,BS$34=""),"",OFFSET(Outputs!$D78,MATCH($D$25,Outputs!$D$75:$D$97,0)-1,MATCH(BS$34,FY,0)-1))</f>
        <v>0</v>
      </c>
      <c r="BT35" s="26">
        <f ca="1">IF(OR($D$24&lt;=0,BT$34=""),"",OFFSET(Outputs!$D78,MATCH($D$25,Outputs!$D$75:$D$97,0)-1,MATCH(BT$34,FY,0)-1))</f>
        <v>0</v>
      </c>
      <c r="BU35" s="26">
        <f ca="1">IF(OR($D$24&lt;=0,BU$34=""),"",OFFSET(Outputs!$D78,MATCH($D$25,Outputs!$D$75:$D$97,0)-1,MATCH(BU$34,FY,0)-1))</f>
        <v>0</v>
      </c>
      <c r="BV35" s="26">
        <f ca="1">IF(OR($D$24&lt;=0,BV$34=""),"",OFFSET(Outputs!$D78,MATCH($D$25,Outputs!$D$75:$D$97,0)-1,MATCH(BV$34,FY,0)-1))</f>
        <v>0</v>
      </c>
      <c r="BW35" s="26" t="str">
        <f ca="1">IF(OR($D$24&lt;=0,BW$34=""),"",OFFSET(Outputs!$D78,MATCH($D$25,Outputs!$D$75:$D$97,0)-1,MATCH(BW$34,FY,0)-1))</f>
        <v/>
      </c>
      <c r="BX35" s="26" t="str">
        <f ca="1">IF(OR($D$24&lt;=0,BX$34=""),"",OFFSET(Outputs!$D78,MATCH($D$25,Outputs!$D$75:$D$97,0)-1,MATCH(BX$34,FY,0)-1))</f>
        <v/>
      </c>
      <c r="BY35" s="26" t="str">
        <f ca="1">IF(OR($D$24&lt;=0,BY$34=""),"",OFFSET(Outputs!$D78,MATCH($D$25,Outputs!$D$75:$D$97,0)-1,MATCH(BY$34,FY,0)-1))</f>
        <v/>
      </c>
      <c r="BZ35" s="26" t="str">
        <f ca="1">IF(OR($D$24&lt;=0,BZ$34=""),"",OFFSET(Outputs!$D78,MATCH($D$25,Outputs!$D$75:$D$97,0)-1,MATCH(BZ$34,FY,0)-1))</f>
        <v/>
      </c>
      <c r="CA35" s="26" t="str">
        <f ca="1">IF(OR($D$24&lt;=0,CA$34=""),"",OFFSET(Outputs!$D78,MATCH($D$25,Outputs!$D$75:$D$97,0)-1,MATCH(CA$34,FY,0)-1))</f>
        <v/>
      </c>
      <c r="CB35" s="26" t="str">
        <f ca="1">IF(OR($D$24&lt;=0,CB$34=""),"",OFFSET(Outputs!$D78,MATCH($D$25,Outputs!$D$75:$D$97,0)-1,MATCH(CB$34,FY,0)-1))</f>
        <v/>
      </c>
      <c r="CC35" s="26" t="str">
        <f ca="1">IF(OR($D$24&lt;=0,CC$34=""),"",OFFSET(Outputs!$D78,MATCH($D$25,Outputs!$D$75:$D$97,0)-1,MATCH(CC$34,FY,0)-1))</f>
        <v/>
      </c>
      <c r="CD35" s="26" t="str">
        <f ca="1">IF(OR($D$24&lt;=0,CD$34=""),"",OFFSET(Outputs!$D78,MATCH($D$25,Outputs!$D$75:$D$97,0)-1,MATCH(CD$34,FY,0)-1))</f>
        <v/>
      </c>
      <c r="CE35" s="26" t="str">
        <f ca="1">IF(OR($D$24&lt;=0,CE$34=""),"",OFFSET(Outputs!$D78,MATCH($D$25,Outputs!$D$75:$D$97,0)-1,MATCH(CE$34,FY,0)-1))</f>
        <v/>
      </c>
      <c r="CF35" s="26" t="str">
        <f ca="1">IF(OR($D$24&lt;=0,CF$34=""),"",OFFSET(Outputs!$D78,MATCH($D$25,Outputs!$D$75:$D$97,0)-1,MATCH(CF$34,FY,0)-1))</f>
        <v/>
      </c>
      <c r="CG35" s="26" t="str">
        <f ca="1">IF(OR($D$24&lt;=0,CG$34=""),"",OFFSET(Outputs!$D78,MATCH($D$25,Outputs!$D$75:$D$97,0)-1,MATCH(CG$34,FY,0)-1))</f>
        <v/>
      </c>
      <c r="CH35" s="26" t="str">
        <f ca="1">IF(OR($D$24&lt;=0,CH$34=""),"",OFFSET(Outputs!$D78,MATCH($D$25,Outputs!$D$75:$D$97,0)-1,MATCH(CH$34,FY,0)-1))</f>
        <v/>
      </c>
      <c r="CI35" s="26" t="str">
        <f ca="1">IF(OR($D$24&lt;=0,CI$34=""),"",OFFSET(Outputs!$D78,MATCH($D$25,Outputs!$D$75:$D$97,0)-1,MATCH(CI$34,FY,0)-1))</f>
        <v/>
      </c>
      <c r="CJ35" s="26" t="str">
        <f ca="1">IF(OR($D$24&lt;=0,CJ$34=""),"",OFFSET(Outputs!$D78,MATCH($D$25,Outputs!$D$75:$D$97,0)-1,MATCH(CJ$34,FY,0)-1))</f>
        <v/>
      </c>
      <c r="CK35" s="26" t="str">
        <f ca="1">IF(OR($D$24&lt;=0,CK$34=""),"",OFFSET(Outputs!$D78,MATCH($D$25,Outputs!$D$75:$D$97,0)-1,MATCH(CK$34,FY,0)-1))</f>
        <v/>
      </c>
      <c r="CL35" s="26" t="str">
        <f ca="1">IF(OR($D$24&lt;=0,CL$34=""),"",OFFSET(Outputs!$D78,MATCH($D$25,Outputs!$D$75:$D$97,0)-1,MATCH(CL$34,FY,0)-1))</f>
        <v/>
      </c>
      <c r="CM35" s="26" t="str">
        <f ca="1">IF(OR($D$24&lt;=0,CM$34=""),"",OFFSET(Outputs!$D78,MATCH($D$25,Outputs!$D$75:$D$97,0)-1,MATCH(CM$34,FY,0)-1))</f>
        <v/>
      </c>
      <c r="CN35" s="26" t="str">
        <f ca="1">IF(OR($D$24&lt;=0,CN$34=""),"",OFFSET(Outputs!$D78,MATCH($D$25,Outputs!$D$75:$D$97,0)-1,MATCH(CN$34,FY,0)-1))</f>
        <v/>
      </c>
      <c r="CO35" s="26" t="str">
        <f ca="1">IF(OR($D$24&lt;=0,CO$34=""),"",OFFSET(Outputs!$D78,MATCH($D$25,Outputs!$D$75:$D$97,0)-1,MATCH(CO$34,FY,0)-1))</f>
        <v/>
      </c>
      <c r="CP35" s="26" t="str">
        <f ca="1">IF(OR($D$24&lt;=0,CP$34=""),"",OFFSET(Outputs!$D78,MATCH($D$25,Outputs!$D$75:$D$97,0)-1,MATCH(CP$34,FY,0)-1))</f>
        <v/>
      </c>
      <c r="CQ35" s="26" t="str">
        <f ca="1">IF(OR($D$24&lt;=0,CQ$34=""),"",OFFSET(Outputs!$D78,MATCH($D$25,Outputs!$D$75:$D$97,0)-1,MATCH(CQ$34,FY,0)-1))</f>
        <v/>
      </c>
    </row>
    <row r="36" spans="3:95" x14ac:dyDescent="0.3">
      <c r="D36" s="6" t="str">
        <f>Lookups!C6</f>
        <v>Assessment</v>
      </c>
      <c r="F36" s="26">
        <f ca="1">IF(OR($D$24&lt;=0,F$34=""),"",OFFSET(Outputs!$D79,MATCH($D$25,Outputs!$D$75:$D$97,0)-1,MATCH(F$34,FY,0)-1))</f>
        <v>0</v>
      </c>
      <c r="G36" s="26">
        <f ca="1">IF(OR($D$24&lt;=0,G$34=""),"",OFFSET(Outputs!$D79,MATCH($D$25,Outputs!$D$75:$D$97,0)-1,MATCH(G$34,FY,0)-1))</f>
        <v>0</v>
      </c>
      <c r="H36" s="26">
        <f ca="1">IF(OR($D$24&lt;=0,H$34=""),"",OFFSET(Outputs!$D79,MATCH($D$25,Outputs!$D$75:$D$97,0)-1,MATCH(H$34,FY,0)-1))</f>
        <v>0</v>
      </c>
      <c r="I36" s="26">
        <f ca="1">IF(OR($D$24&lt;=0,I$34=""),"",OFFSET(Outputs!$D79,MATCH($D$25,Outputs!$D$75:$D$97,0)-1,MATCH(I$34,FY,0)-1))</f>
        <v>0</v>
      </c>
      <c r="J36" s="26">
        <f ca="1">IF(OR($D$24&lt;=0,J$34=""),"",OFFSET(Outputs!$D79,MATCH($D$25,Outputs!$D$75:$D$97,0)-1,MATCH(J$34,FY,0)-1))</f>
        <v>0</v>
      </c>
      <c r="K36" s="26">
        <f ca="1">IF(OR($D$24&lt;=0,K$34=""),"",OFFSET(Outputs!$D79,MATCH($D$25,Outputs!$D$75:$D$97,0)-1,MATCH(K$34,FY,0)-1))</f>
        <v>0</v>
      </c>
      <c r="L36" s="26">
        <f ca="1">IF(OR($D$24&lt;=0,L$34=""),"",OFFSET(Outputs!$D79,MATCH($D$25,Outputs!$D$75:$D$97,0)-1,MATCH(L$34,FY,0)-1))</f>
        <v>0</v>
      </c>
      <c r="M36" s="26">
        <f ca="1">IF(OR($D$24&lt;=0,M$34=""),"",OFFSET(Outputs!$D79,MATCH($D$25,Outputs!$D$75:$D$97,0)-1,MATCH(M$34,FY,0)-1))</f>
        <v>0</v>
      </c>
      <c r="N36" s="26">
        <f ca="1">IF(OR($D$24&lt;=0,N$34=""),"",OFFSET(Outputs!$D79,MATCH($D$25,Outputs!$D$75:$D$97,0)-1,MATCH(N$34,FY,0)-1))</f>
        <v>0</v>
      </c>
      <c r="O36" s="26">
        <f ca="1">IF(OR($D$24&lt;=0,O$34=""),"",OFFSET(Outputs!$D79,MATCH($D$25,Outputs!$D$75:$D$97,0)-1,MATCH(O$34,FY,0)-1))</f>
        <v>0</v>
      </c>
      <c r="P36" s="26">
        <f ca="1">IF(OR($D$24&lt;=0,P$34=""),"",OFFSET(Outputs!$D79,MATCH($D$25,Outputs!$D$75:$D$97,0)-1,MATCH(P$34,FY,0)-1))</f>
        <v>0</v>
      </c>
      <c r="Q36" s="26">
        <f ca="1">IF(OR($D$24&lt;=0,Q$34=""),"",OFFSET(Outputs!$D79,MATCH($D$25,Outputs!$D$75:$D$97,0)-1,MATCH(Q$34,FY,0)-1))</f>
        <v>0</v>
      </c>
      <c r="R36" s="26">
        <f ca="1">IF(OR($D$24&lt;=0,R$34=""),"",OFFSET(Outputs!$D79,MATCH($D$25,Outputs!$D$75:$D$97,0)-1,MATCH(R$34,FY,0)-1))</f>
        <v>0</v>
      </c>
      <c r="S36" s="26">
        <f ca="1">IF(OR($D$24&lt;=0,S$34=""),"",OFFSET(Outputs!$D79,MATCH($D$25,Outputs!$D$75:$D$97,0)-1,MATCH(S$34,FY,0)-1))</f>
        <v>0</v>
      </c>
      <c r="T36" s="26">
        <f ca="1">IF(OR($D$24&lt;=0,T$34=""),"",OFFSET(Outputs!$D79,MATCH($D$25,Outputs!$D$75:$D$97,0)-1,MATCH(T$34,FY,0)-1))</f>
        <v>0</v>
      </c>
      <c r="U36" s="26">
        <f ca="1">IF(OR($D$24&lt;=0,U$34=""),"",OFFSET(Outputs!$D79,MATCH($D$25,Outputs!$D$75:$D$97,0)-1,MATCH(U$34,FY,0)-1))</f>
        <v>0</v>
      </c>
      <c r="V36" s="26">
        <f ca="1">IF(OR($D$24&lt;=0,V$34=""),"",OFFSET(Outputs!$D79,MATCH($D$25,Outputs!$D$75:$D$97,0)-1,MATCH(V$34,FY,0)-1))</f>
        <v>0</v>
      </c>
      <c r="W36" s="26">
        <f ca="1">IF(OR($D$24&lt;=0,W$34=""),"",OFFSET(Outputs!$D79,MATCH($D$25,Outputs!$D$75:$D$97,0)-1,MATCH(W$34,FY,0)-1))</f>
        <v>10596.887650000001</v>
      </c>
      <c r="X36" s="26">
        <f ca="1">IF(OR($D$24&lt;=0,X$34=""),"",OFFSET(Outputs!$D79,MATCH($D$25,Outputs!$D$75:$D$97,0)-1,MATCH(X$34,FY,0)-1))</f>
        <v>12996.887650000001</v>
      </c>
      <c r="Y36" s="26">
        <f ca="1">IF(OR($D$24&lt;=0,Y$34=""),"",OFFSET(Outputs!$D79,MATCH($D$25,Outputs!$D$75:$D$97,0)-1,MATCH(Y$34,FY,0)-1))</f>
        <v>10596.887650000001</v>
      </c>
      <c r="Z36" s="26">
        <f ca="1">IF(OR($D$24&lt;=0,Z$34=""),"",OFFSET(Outputs!$D79,MATCH($D$25,Outputs!$D$75:$D$97,0)-1,MATCH(Z$34,FY,0)-1))</f>
        <v>10596.887650000001</v>
      </c>
      <c r="AA36" s="26">
        <f ca="1">IF(OR($D$24&lt;=0,AA$34=""),"",OFFSET(Outputs!$D79,MATCH($D$25,Outputs!$D$75:$D$97,0)-1,MATCH(AA$34,FY,0)-1))</f>
        <v>10596.887650000001</v>
      </c>
      <c r="AB36" s="26">
        <f ca="1">IF(OR($D$24&lt;=0,AB$34=""),"",OFFSET(Outputs!$D79,MATCH($D$25,Outputs!$D$75:$D$97,0)-1,MATCH(AB$34,FY,0)-1))</f>
        <v>0</v>
      </c>
      <c r="AC36" s="26">
        <f ca="1">IF(OR($D$24&lt;=0,AC$34=""),"",OFFSET(Outputs!$D79,MATCH($D$25,Outputs!$D$75:$D$97,0)-1,MATCH(AC$34,FY,0)-1))</f>
        <v>0</v>
      </c>
      <c r="AD36" s="26">
        <f ca="1">IF(OR($D$24&lt;=0,AD$34=""),"",OFFSET(Outputs!$D79,MATCH($D$25,Outputs!$D$75:$D$97,0)-1,MATCH(AD$34,FY,0)-1))</f>
        <v>0</v>
      </c>
      <c r="AE36" s="26">
        <f ca="1">IF(OR($D$24&lt;=0,AE$34=""),"",OFFSET(Outputs!$D79,MATCH($D$25,Outputs!$D$75:$D$97,0)-1,MATCH(AE$34,FY,0)-1))</f>
        <v>0</v>
      </c>
      <c r="AF36" s="26">
        <f ca="1">IF(OR($D$24&lt;=0,AF$34=""),"",OFFSET(Outputs!$D79,MATCH($D$25,Outputs!$D$75:$D$97,0)-1,MATCH(AF$34,FY,0)-1))</f>
        <v>0</v>
      </c>
      <c r="AG36" s="26">
        <f ca="1">IF(OR($D$24&lt;=0,AG$34=""),"",OFFSET(Outputs!$D79,MATCH($D$25,Outputs!$D$75:$D$97,0)-1,MATCH(AG$34,FY,0)-1))</f>
        <v>0</v>
      </c>
      <c r="AH36" s="26">
        <f ca="1">IF(OR($D$24&lt;=0,AH$34=""),"",OFFSET(Outputs!$D79,MATCH($D$25,Outputs!$D$75:$D$97,0)-1,MATCH(AH$34,FY,0)-1))</f>
        <v>0</v>
      </c>
      <c r="AI36" s="26">
        <f ca="1">IF(OR($D$24&lt;=0,AI$34=""),"",OFFSET(Outputs!$D79,MATCH($D$25,Outputs!$D$75:$D$97,0)-1,MATCH(AI$34,FY,0)-1))</f>
        <v>0</v>
      </c>
      <c r="AJ36" s="26">
        <f ca="1">IF(OR($D$24&lt;=0,AJ$34=""),"",OFFSET(Outputs!$D79,MATCH($D$25,Outputs!$D$75:$D$97,0)-1,MATCH(AJ$34,FY,0)-1))</f>
        <v>0</v>
      </c>
      <c r="AK36" s="26">
        <f ca="1">IF(OR($D$24&lt;=0,AK$34=""),"",OFFSET(Outputs!$D79,MATCH($D$25,Outputs!$D$75:$D$97,0)-1,MATCH(AK$34,FY,0)-1))</f>
        <v>0</v>
      </c>
      <c r="AL36" s="26">
        <f ca="1">IF(OR($D$24&lt;=0,AL$34=""),"",OFFSET(Outputs!$D79,MATCH($D$25,Outputs!$D$75:$D$97,0)-1,MATCH(AL$34,FY,0)-1))</f>
        <v>0</v>
      </c>
      <c r="AM36" s="26">
        <f ca="1">IF(OR($D$24&lt;=0,AM$34=""),"",OFFSET(Outputs!$D79,MATCH($D$25,Outputs!$D$75:$D$97,0)-1,MATCH(AM$34,FY,0)-1))</f>
        <v>0</v>
      </c>
      <c r="AN36" s="26">
        <f ca="1">IF(OR($D$24&lt;=0,AN$34=""),"",OFFSET(Outputs!$D79,MATCH($D$25,Outputs!$D$75:$D$97,0)-1,MATCH(AN$34,FY,0)-1))</f>
        <v>0</v>
      </c>
      <c r="AO36" s="26">
        <f ca="1">IF(OR($D$24&lt;=0,AO$34=""),"",OFFSET(Outputs!$D79,MATCH($D$25,Outputs!$D$75:$D$97,0)-1,MATCH(AO$34,FY,0)-1))</f>
        <v>0</v>
      </c>
      <c r="AP36" s="26">
        <f ca="1">IF(OR($D$24&lt;=0,AP$34=""),"",OFFSET(Outputs!$D79,MATCH($D$25,Outputs!$D$75:$D$97,0)-1,MATCH(AP$34,FY,0)-1))</f>
        <v>0</v>
      </c>
      <c r="AQ36" s="26">
        <f ca="1">IF(OR($D$24&lt;=0,AQ$34=""),"",OFFSET(Outputs!$D79,MATCH($D$25,Outputs!$D$75:$D$97,0)-1,MATCH(AQ$34,FY,0)-1))</f>
        <v>0</v>
      </c>
      <c r="AR36" s="26">
        <f ca="1">IF(OR($D$24&lt;=0,AR$34=""),"",OFFSET(Outputs!$D79,MATCH($D$25,Outputs!$D$75:$D$97,0)-1,MATCH(AR$34,FY,0)-1))</f>
        <v>0</v>
      </c>
      <c r="AS36" s="26">
        <f ca="1">IF(OR($D$24&lt;=0,AS$34=""),"",OFFSET(Outputs!$D79,MATCH($D$25,Outputs!$D$75:$D$97,0)-1,MATCH(AS$34,FY,0)-1))</f>
        <v>0</v>
      </c>
      <c r="AT36" s="26">
        <f ca="1">IF(OR($D$24&lt;=0,AT$34=""),"",OFFSET(Outputs!$D79,MATCH($D$25,Outputs!$D$75:$D$97,0)-1,MATCH(AT$34,FY,0)-1))</f>
        <v>0</v>
      </c>
      <c r="AU36" s="26">
        <f ca="1">IF(OR($D$24&lt;=0,AU$34=""),"",OFFSET(Outputs!$D79,MATCH($D$25,Outputs!$D$75:$D$97,0)-1,MATCH(AU$34,FY,0)-1))</f>
        <v>0</v>
      </c>
      <c r="AV36" s="26">
        <f ca="1">IF(OR($D$24&lt;=0,AV$34=""),"",OFFSET(Outputs!$D79,MATCH($D$25,Outputs!$D$75:$D$97,0)-1,MATCH(AV$34,FY,0)-1))</f>
        <v>0</v>
      </c>
      <c r="AW36" s="26">
        <f ca="1">IF(OR($D$24&lt;=0,AW$34=""),"",OFFSET(Outputs!$D79,MATCH($D$25,Outputs!$D$75:$D$97,0)-1,MATCH(AW$34,FY,0)-1))</f>
        <v>0</v>
      </c>
      <c r="AX36" s="26">
        <f ca="1">IF(OR($D$24&lt;=0,AX$34=""),"",OFFSET(Outputs!$D79,MATCH($D$25,Outputs!$D$75:$D$97,0)-1,MATCH(AX$34,FY,0)-1))</f>
        <v>0</v>
      </c>
      <c r="AY36" s="26">
        <f ca="1">IF(OR($D$24&lt;=0,AY$34=""),"",OFFSET(Outputs!$D79,MATCH($D$25,Outputs!$D$75:$D$97,0)-1,MATCH(AY$34,FY,0)-1))</f>
        <v>0</v>
      </c>
      <c r="AZ36" s="26">
        <f ca="1">IF(OR($D$24&lt;=0,AZ$34=""),"",OFFSET(Outputs!$D79,MATCH($D$25,Outputs!$D$75:$D$97,0)-1,MATCH(AZ$34,FY,0)-1))</f>
        <v>0</v>
      </c>
      <c r="BA36" s="26">
        <f ca="1">IF(OR($D$24&lt;=0,BA$34=""),"",OFFSET(Outputs!$D79,MATCH($D$25,Outputs!$D$75:$D$97,0)-1,MATCH(BA$34,FY,0)-1))</f>
        <v>0</v>
      </c>
      <c r="BB36" s="26">
        <f ca="1">IF(OR($D$24&lt;=0,BB$34=""),"",OFFSET(Outputs!$D79,MATCH($D$25,Outputs!$D$75:$D$97,0)-1,MATCH(BB$34,FY,0)-1))</f>
        <v>0</v>
      </c>
      <c r="BC36" s="26">
        <f ca="1">IF(OR($D$24&lt;=0,BC$34=""),"",OFFSET(Outputs!$D79,MATCH($D$25,Outputs!$D$75:$D$97,0)-1,MATCH(BC$34,FY,0)-1))</f>
        <v>0</v>
      </c>
      <c r="BD36" s="26">
        <f ca="1">IF(OR($D$24&lt;=0,BD$34=""),"",OFFSET(Outputs!$D79,MATCH($D$25,Outputs!$D$75:$D$97,0)-1,MATCH(BD$34,FY,0)-1))</f>
        <v>0</v>
      </c>
      <c r="BE36" s="26">
        <f ca="1">IF(OR($D$24&lt;=0,BE$34=""),"",OFFSET(Outputs!$D79,MATCH($D$25,Outputs!$D$75:$D$97,0)-1,MATCH(BE$34,FY,0)-1))</f>
        <v>0</v>
      </c>
      <c r="BF36" s="26">
        <f ca="1">IF(OR($D$24&lt;=0,BF$34=""),"",OFFSET(Outputs!$D79,MATCH($D$25,Outputs!$D$75:$D$97,0)-1,MATCH(BF$34,FY,0)-1))</f>
        <v>0</v>
      </c>
      <c r="BG36" s="26">
        <f ca="1">IF(OR($D$24&lt;=0,BG$34=""),"",OFFSET(Outputs!$D79,MATCH($D$25,Outputs!$D$75:$D$97,0)-1,MATCH(BG$34,FY,0)-1))</f>
        <v>0</v>
      </c>
      <c r="BH36" s="26">
        <f ca="1">IF(OR($D$24&lt;=0,BH$34=""),"",OFFSET(Outputs!$D79,MATCH($D$25,Outputs!$D$75:$D$97,0)-1,MATCH(BH$34,FY,0)-1))</f>
        <v>0</v>
      </c>
      <c r="BI36" s="26">
        <f ca="1">IF(OR($D$24&lt;=0,BI$34=""),"",OFFSET(Outputs!$D79,MATCH($D$25,Outputs!$D$75:$D$97,0)-1,MATCH(BI$34,FY,0)-1))</f>
        <v>0</v>
      </c>
      <c r="BJ36" s="26">
        <f ca="1">IF(OR($D$24&lt;=0,BJ$34=""),"",OFFSET(Outputs!$D79,MATCH($D$25,Outputs!$D$75:$D$97,0)-1,MATCH(BJ$34,FY,0)-1))</f>
        <v>0</v>
      </c>
      <c r="BK36" s="26">
        <f ca="1">IF(OR($D$24&lt;=0,BK$34=""),"",OFFSET(Outputs!$D79,MATCH($D$25,Outputs!$D$75:$D$97,0)-1,MATCH(BK$34,FY,0)-1))</f>
        <v>0</v>
      </c>
      <c r="BL36" s="26">
        <f ca="1">IF(OR($D$24&lt;=0,BL$34=""),"",OFFSET(Outputs!$D79,MATCH($D$25,Outputs!$D$75:$D$97,0)-1,MATCH(BL$34,FY,0)-1))</f>
        <v>0</v>
      </c>
      <c r="BM36" s="26">
        <f ca="1">IF(OR($D$24&lt;=0,BM$34=""),"",OFFSET(Outputs!$D79,MATCH($D$25,Outputs!$D$75:$D$97,0)-1,MATCH(BM$34,FY,0)-1))</f>
        <v>0</v>
      </c>
      <c r="BN36" s="26">
        <f ca="1">IF(OR($D$24&lt;=0,BN$34=""),"",OFFSET(Outputs!$D79,MATCH($D$25,Outputs!$D$75:$D$97,0)-1,MATCH(BN$34,FY,0)-1))</f>
        <v>0</v>
      </c>
      <c r="BO36" s="26">
        <f ca="1">IF(OR($D$24&lt;=0,BO$34=""),"",OFFSET(Outputs!$D79,MATCH($D$25,Outputs!$D$75:$D$97,0)-1,MATCH(BO$34,FY,0)-1))</f>
        <v>0</v>
      </c>
      <c r="BP36" s="26">
        <f ca="1">IF(OR($D$24&lt;=0,BP$34=""),"",OFFSET(Outputs!$D79,MATCH($D$25,Outputs!$D$75:$D$97,0)-1,MATCH(BP$34,FY,0)-1))</f>
        <v>0</v>
      </c>
      <c r="BQ36" s="26">
        <f ca="1">IF(OR($D$24&lt;=0,BQ$34=""),"",OFFSET(Outputs!$D79,MATCH($D$25,Outputs!$D$75:$D$97,0)-1,MATCH(BQ$34,FY,0)-1))</f>
        <v>0</v>
      </c>
      <c r="BR36" s="26">
        <f ca="1">IF(OR($D$24&lt;=0,BR$34=""),"",OFFSET(Outputs!$D79,MATCH($D$25,Outputs!$D$75:$D$97,0)-1,MATCH(BR$34,FY,0)-1))</f>
        <v>0</v>
      </c>
      <c r="BS36" s="26">
        <f ca="1">IF(OR($D$24&lt;=0,BS$34=""),"",OFFSET(Outputs!$D79,MATCH($D$25,Outputs!$D$75:$D$97,0)-1,MATCH(BS$34,FY,0)-1))</f>
        <v>0</v>
      </c>
      <c r="BT36" s="26">
        <f ca="1">IF(OR($D$24&lt;=0,BT$34=""),"",OFFSET(Outputs!$D79,MATCH($D$25,Outputs!$D$75:$D$97,0)-1,MATCH(BT$34,FY,0)-1))</f>
        <v>0</v>
      </c>
      <c r="BU36" s="26">
        <f ca="1">IF(OR($D$24&lt;=0,BU$34=""),"",OFFSET(Outputs!$D79,MATCH($D$25,Outputs!$D$75:$D$97,0)-1,MATCH(BU$34,FY,0)-1))</f>
        <v>0</v>
      </c>
      <c r="BV36" s="26">
        <f ca="1">IF(OR($D$24&lt;=0,BV$34=""),"",OFFSET(Outputs!$D79,MATCH($D$25,Outputs!$D$75:$D$97,0)-1,MATCH(BV$34,FY,0)-1))</f>
        <v>0</v>
      </c>
      <c r="BW36" s="26" t="str">
        <f ca="1">IF(OR($D$24&lt;=0,BW$34=""),"",OFFSET(Outputs!$D79,MATCH($D$25,Outputs!$D$75:$D$97,0)-1,MATCH(BW$34,FY,0)-1))</f>
        <v/>
      </c>
      <c r="BX36" s="26" t="str">
        <f ca="1">IF(OR($D$24&lt;=0,BX$34=""),"",OFFSET(Outputs!$D79,MATCH($D$25,Outputs!$D$75:$D$97,0)-1,MATCH(BX$34,FY,0)-1))</f>
        <v/>
      </c>
      <c r="BY36" s="26" t="str">
        <f ca="1">IF(OR($D$24&lt;=0,BY$34=""),"",OFFSET(Outputs!$D79,MATCH($D$25,Outputs!$D$75:$D$97,0)-1,MATCH(BY$34,FY,0)-1))</f>
        <v/>
      </c>
      <c r="BZ36" s="26" t="str">
        <f ca="1">IF(OR($D$24&lt;=0,BZ$34=""),"",OFFSET(Outputs!$D79,MATCH($D$25,Outputs!$D$75:$D$97,0)-1,MATCH(BZ$34,FY,0)-1))</f>
        <v/>
      </c>
      <c r="CA36" s="26" t="str">
        <f ca="1">IF(OR($D$24&lt;=0,CA$34=""),"",OFFSET(Outputs!$D79,MATCH($D$25,Outputs!$D$75:$D$97,0)-1,MATCH(CA$34,FY,0)-1))</f>
        <v/>
      </c>
      <c r="CB36" s="26" t="str">
        <f ca="1">IF(OR($D$24&lt;=0,CB$34=""),"",OFFSET(Outputs!$D79,MATCH($D$25,Outputs!$D$75:$D$97,0)-1,MATCH(CB$34,FY,0)-1))</f>
        <v/>
      </c>
      <c r="CC36" s="26" t="str">
        <f ca="1">IF(OR($D$24&lt;=0,CC$34=""),"",OFFSET(Outputs!$D79,MATCH($D$25,Outputs!$D$75:$D$97,0)-1,MATCH(CC$34,FY,0)-1))</f>
        <v/>
      </c>
      <c r="CD36" s="26" t="str">
        <f ca="1">IF(OR($D$24&lt;=0,CD$34=""),"",OFFSET(Outputs!$D79,MATCH($D$25,Outputs!$D$75:$D$97,0)-1,MATCH(CD$34,FY,0)-1))</f>
        <v/>
      </c>
      <c r="CE36" s="26" t="str">
        <f ca="1">IF(OR($D$24&lt;=0,CE$34=""),"",OFFSET(Outputs!$D79,MATCH($D$25,Outputs!$D$75:$D$97,0)-1,MATCH(CE$34,FY,0)-1))</f>
        <v/>
      </c>
      <c r="CF36" s="26" t="str">
        <f ca="1">IF(OR($D$24&lt;=0,CF$34=""),"",OFFSET(Outputs!$D79,MATCH($D$25,Outputs!$D$75:$D$97,0)-1,MATCH(CF$34,FY,0)-1))</f>
        <v/>
      </c>
      <c r="CG36" s="26" t="str">
        <f ca="1">IF(OR($D$24&lt;=0,CG$34=""),"",OFFSET(Outputs!$D79,MATCH($D$25,Outputs!$D$75:$D$97,0)-1,MATCH(CG$34,FY,0)-1))</f>
        <v/>
      </c>
      <c r="CH36" s="26" t="str">
        <f ca="1">IF(OR($D$24&lt;=0,CH$34=""),"",OFFSET(Outputs!$D79,MATCH($D$25,Outputs!$D$75:$D$97,0)-1,MATCH(CH$34,FY,0)-1))</f>
        <v/>
      </c>
      <c r="CI36" s="26" t="str">
        <f ca="1">IF(OR($D$24&lt;=0,CI$34=""),"",OFFSET(Outputs!$D79,MATCH($D$25,Outputs!$D$75:$D$97,0)-1,MATCH(CI$34,FY,0)-1))</f>
        <v/>
      </c>
      <c r="CJ36" s="26" t="str">
        <f ca="1">IF(OR($D$24&lt;=0,CJ$34=""),"",OFFSET(Outputs!$D79,MATCH($D$25,Outputs!$D$75:$D$97,0)-1,MATCH(CJ$34,FY,0)-1))</f>
        <v/>
      </c>
      <c r="CK36" s="26" t="str">
        <f ca="1">IF(OR($D$24&lt;=0,CK$34=""),"",OFFSET(Outputs!$D79,MATCH($D$25,Outputs!$D$75:$D$97,0)-1,MATCH(CK$34,FY,0)-1))</f>
        <v/>
      </c>
      <c r="CL36" s="26" t="str">
        <f ca="1">IF(OR($D$24&lt;=0,CL$34=""),"",OFFSET(Outputs!$D79,MATCH($D$25,Outputs!$D$75:$D$97,0)-1,MATCH(CL$34,FY,0)-1))</f>
        <v/>
      </c>
      <c r="CM36" s="26" t="str">
        <f ca="1">IF(OR($D$24&lt;=0,CM$34=""),"",OFFSET(Outputs!$D79,MATCH($D$25,Outputs!$D$75:$D$97,0)-1,MATCH(CM$34,FY,0)-1))</f>
        <v/>
      </c>
      <c r="CN36" s="26" t="str">
        <f ca="1">IF(OR($D$24&lt;=0,CN$34=""),"",OFFSET(Outputs!$D79,MATCH($D$25,Outputs!$D$75:$D$97,0)-1,MATCH(CN$34,FY,0)-1))</f>
        <v/>
      </c>
      <c r="CO36" s="26" t="str">
        <f ca="1">IF(OR($D$24&lt;=0,CO$34=""),"",OFFSET(Outputs!$D79,MATCH($D$25,Outputs!$D$75:$D$97,0)-1,MATCH(CO$34,FY,0)-1))</f>
        <v/>
      </c>
      <c r="CP36" s="26" t="str">
        <f ca="1">IF(OR($D$24&lt;=0,CP$34=""),"",OFFSET(Outputs!$D79,MATCH($D$25,Outputs!$D$75:$D$97,0)-1,MATCH(CP$34,FY,0)-1))</f>
        <v/>
      </c>
      <c r="CQ36" s="26" t="str">
        <f ca="1">IF(OR($D$24&lt;=0,CQ$34=""),"",OFFSET(Outputs!$D79,MATCH($D$25,Outputs!$D$75:$D$97,0)-1,MATCH(CQ$34,FY,0)-1))</f>
        <v/>
      </c>
    </row>
    <row r="37" spans="3:95" x14ac:dyDescent="0.3">
      <c r="D37" s="6" t="str">
        <f>Lookups!C7</f>
        <v>Design</v>
      </c>
      <c r="F37" s="26">
        <f ca="1">IF(OR($D$24&lt;=0,F$34=""),"",OFFSET(Outputs!$D80,MATCH($D$25,Outputs!$D$75:$D$97,0)-1,MATCH(F$34,FY,0)-1))</f>
        <v>0</v>
      </c>
      <c r="G37" s="26">
        <f ca="1">IF(OR($D$24&lt;=0,G$34=""),"",OFFSET(Outputs!$D80,MATCH($D$25,Outputs!$D$75:$D$97,0)-1,MATCH(G$34,FY,0)-1))</f>
        <v>0</v>
      </c>
      <c r="H37" s="26">
        <f ca="1">IF(OR($D$24&lt;=0,H$34=""),"",OFFSET(Outputs!$D80,MATCH($D$25,Outputs!$D$75:$D$97,0)-1,MATCH(H$34,FY,0)-1))</f>
        <v>0</v>
      </c>
      <c r="I37" s="26">
        <f ca="1">IF(OR($D$24&lt;=0,I$34=""),"",OFFSET(Outputs!$D80,MATCH($D$25,Outputs!$D$75:$D$97,0)-1,MATCH(I$34,FY,0)-1))</f>
        <v>0</v>
      </c>
      <c r="J37" s="26">
        <f ca="1">IF(OR($D$24&lt;=0,J$34=""),"",OFFSET(Outputs!$D80,MATCH($D$25,Outputs!$D$75:$D$97,0)-1,MATCH(J$34,FY,0)-1))</f>
        <v>0</v>
      </c>
      <c r="K37" s="26">
        <f ca="1">IF(OR($D$24&lt;=0,K$34=""),"",OFFSET(Outputs!$D80,MATCH($D$25,Outputs!$D$75:$D$97,0)-1,MATCH(K$34,FY,0)-1))</f>
        <v>0</v>
      </c>
      <c r="L37" s="26">
        <f ca="1">IF(OR($D$24&lt;=0,L$34=""),"",OFFSET(Outputs!$D80,MATCH($D$25,Outputs!$D$75:$D$97,0)-1,MATCH(L$34,FY,0)-1))</f>
        <v>0</v>
      </c>
      <c r="M37" s="26">
        <f ca="1">IF(OR($D$24&lt;=0,M$34=""),"",OFFSET(Outputs!$D80,MATCH($D$25,Outputs!$D$75:$D$97,0)-1,MATCH(M$34,FY,0)-1))</f>
        <v>0</v>
      </c>
      <c r="N37" s="26">
        <f ca="1">IF(OR($D$24&lt;=0,N$34=""),"",OFFSET(Outputs!$D80,MATCH($D$25,Outputs!$D$75:$D$97,0)-1,MATCH(N$34,FY,0)-1))</f>
        <v>0</v>
      </c>
      <c r="O37" s="26">
        <f ca="1">IF(OR($D$24&lt;=0,O$34=""),"",OFFSET(Outputs!$D80,MATCH($D$25,Outputs!$D$75:$D$97,0)-1,MATCH(O$34,FY,0)-1))</f>
        <v>0</v>
      </c>
      <c r="P37" s="26">
        <f ca="1">IF(OR($D$24&lt;=0,P$34=""),"",OFFSET(Outputs!$D80,MATCH($D$25,Outputs!$D$75:$D$97,0)-1,MATCH(P$34,FY,0)-1))</f>
        <v>0</v>
      </c>
      <c r="Q37" s="26">
        <f ca="1">IF(OR($D$24&lt;=0,Q$34=""),"",OFFSET(Outputs!$D80,MATCH($D$25,Outputs!$D$75:$D$97,0)-1,MATCH(Q$34,FY,0)-1))</f>
        <v>0</v>
      </c>
      <c r="R37" s="26">
        <f ca="1">IF(OR($D$24&lt;=0,R$34=""),"",OFFSET(Outputs!$D80,MATCH($D$25,Outputs!$D$75:$D$97,0)-1,MATCH(R$34,FY,0)-1))</f>
        <v>0</v>
      </c>
      <c r="S37" s="26">
        <f ca="1">IF(OR($D$24&lt;=0,S$34=""),"",OFFSET(Outputs!$D80,MATCH($D$25,Outputs!$D$75:$D$97,0)-1,MATCH(S$34,FY,0)-1))</f>
        <v>0</v>
      </c>
      <c r="T37" s="26">
        <f ca="1">IF(OR($D$24&lt;=0,T$34=""),"",OFFSET(Outputs!$D80,MATCH($D$25,Outputs!$D$75:$D$97,0)-1,MATCH(T$34,FY,0)-1))</f>
        <v>0</v>
      </c>
      <c r="U37" s="26">
        <f ca="1">IF(OR($D$24&lt;=0,U$34=""),"",OFFSET(Outputs!$D80,MATCH($D$25,Outputs!$D$75:$D$97,0)-1,MATCH(U$34,FY,0)-1))</f>
        <v>0</v>
      </c>
      <c r="V37" s="26">
        <f ca="1">IF(OR($D$24&lt;=0,V$34=""),"",OFFSET(Outputs!$D80,MATCH($D$25,Outputs!$D$75:$D$97,0)-1,MATCH(V$34,FY,0)-1))</f>
        <v>0</v>
      </c>
      <c r="W37" s="26">
        <f ca="1">IF(OR($D$24&lt;=0,W$34=""),"",OFFSET(Outputs!$D80,MATCH($D$25,Outputs!$D$75:$D$97,0)-1,MATCH(W$34,FY,0)-1))</f>
        <v>15688.686399999999</v>
      </c>
      <c r="X37" s="26">
        <f ca="1">IF(OR($D$24&lt;=0,X$34=""),"",OFFSET(Outputs!$D80,MATCH($D$25,Outputs!$D$75:$D$97,0)-1,MATCH(X$34,FY,0)-1))</f>
        <v>15688.686399999999</v>
      </c>
      <c r="Y37" s="26">
        <f ca="1">IF(OR($D$24&lt;=0,Y$34=""),"",OFFSET(Outputs!$D80,MATCH($D$25,Outputs!$D$75:$D$97,0)-1,MATCH(Y$34,FY,0)-1))</f>
        <v>18088.686399999999</v>
      </c>
      <c r="Z37" s="26">
        <f ca="1">IF(OR($D$24&lt;=0,Z$34=""),"",OFFSET(Outputs!$D80,MATCH($D$25,Outputs!$D$75:$D$97,0)-1,MATCH(Z$34,FY,0)-1))</f>
        <v>15688.686399999999</v>
      </c>
      <c r="AA37" s="26">
        <f ca="1">IF(OR($D$24&lt;=0,AA$34=""),"",OFFSET(Outputs!$D80,MATCH($D$25,Outputs!$D$75:$D$97,0)-1,MATCH(AA$34,FY,0)-1))</f>
        <v>15688.686399999999</v>
      </c>
      <c r="AB37" s="26">
        <f ca="1">IF(OR($D$24&lt;=0,AB$34=""),"",OFFSET(Outputs!$D80,MATCH($D$25,Outputs!$D$75:$D$97,0)-1,MATCH(AB$34,FY,0)-1))</f>
        <v>0</v>
      </c>
      <c r="AC37" s="26">
        <f ca="1">IF(OR($D$24&lt;=0,AC$34=""),"",OFFSET(Outputs!$D80,MATCH($D$25,Outputs!$D$75:$D$97,0)-1,MATCH(AC$34,FY,0)-1))</f>
        <v>0</v>
      </c>
      <c r="AD37" s="26">
        <f ca="1">IF(OR($D$24&lt;=0,AD$34=""),"",OFFSET(Outputs!$D80,MATCH($D$25,Outputs!$D$75:$D$97,0)-1,MATCH(AD$34,FY,0)-1))</f>
        <v>0</v>
      </c>
      <c r="AE37" s="26">
        <f ca="1">IF(OR($D$24&lt;=0,AE$34=""),"",OFFSET(Outputs!$D80,MATCH($D$25,Outputs!$D$75:$D$97,0)-1,MATCH(AE$34,FY,0)-1))</f>
        <v>0</v>
      </c>
      <c r="AF37" s="26">
        <f ca="1">IF(OR($D$24&lt;=0,AF$34=""),"",OFFSET(Outputs!$D80,MATCH($D$25,Outputs!$D$75:$D$97,0)-1,MATCH(AF$34,FY,0)-1))</f>
        <v>0</v>
      </c>
      <c r="AG37" s="26">
        <f ca="1">IF(OR($D$24&lt;=0,AG$34=""),"",OFFSET(Outputs!$D80,MATCH($D$25,Outputs!$D$75:$D$97,0)-1,MATCH(AG$34,FY,0)-1))</f>
        <v>0</v>
      </c>
      <c r="AH37" s="26">
        <f ca="1">IF(OR($D$24&lt;=0,AH$34=""),"",OFFSET(Outputs!$D80,MATCH($D$25,Outputs!$D$75:$D$97,0)-1,MATCH(AH$34,FY,0)-1))</f>
        <v>0</v>
      </c>
      <c r="AI37" s="26">
        <f ca="1">IF(OR($D$24&lt;=0,AI$34=""),"",OFFSET(Outputs!$D80,MATCH($D$25,Outputs!$D$75:$D$97,0)-1,MATCH(AI$34,FY,0)-1))</f>
        <v>0</v>
      </c>
      <c r="AJ37" s="26">
        <f ca="1">IF(OR($D$24&lt;=0,AJ$34=""),"",OFFSET(Outputs!$D80,MATCH($D$25,Outputs!$D$75:$D$97,0)-1,MATCH(AJ$34,FY,0)-1))</f>
        <v>0</v>
      </c>
      <c r="AK37" s="26">
        <f ca="1">IF(OR($D$24&lt;=0,AK$34=""),"",OFFSET(Outputs!$D80,MATCH($D$25,Outputs!$D$75:$D$97,0)-1,MATCH(AK$34,FY,0)-1))</f>
        <v>0</v>
      </c>
      <c r="AL37" s="26">
        <f ca="1">IF(OR($D$24&lt;=0,AL$34=""),"",OFFSET(Outputs!$D80,MATCH($D$25,Outputs!$D$75:$D$97,0)-1,MATCH(AL$34,FY,0)-1))</f>
        <v>0</v>
      </c>
      <c r="AM37" s="26">
        <f ca="1">IF(OR($D$24&lt;=0,AM$34=""),"",OFFSET(Outputs!$D80,MATCH($D$25,Outputs!$D$75:$D$97,0)-1,MATCH(AM$34,FY,0)-1))</f>
        <v>0</v>
      </c>
      <c r="AN37" s="26">
        <f ca="1">IF(OR($D$24&lt;=0,AN$34=""),"",OFFSET(Outputs!$D80,MATCH($D$25,Outputs!$D$75:$D$97,0)-1,MATCH(AN$34,FY,0)-1))</f>
        <v>0</v>
      </c>
      <c r="AO37" s="26">
        <f ca="1">IF(OR($D$24&lt;=0,AO$34=""),"",OFFSET(Outputs!$D80,MATCH($D$25,Outputs!$D$75:$D$97,0)-1,MATCH(AO$34,FY,0)-1))</f>
        <v>0</v>
      </c>
      <c r="AP37" s="26">
        <f ca="1">IF(OR($D$24&lt;=0,AP$34=""),"",OFFSET(Outputs!$D80,MATCH($D$25,Outputs!$D$75:$D$97,0)-1,MATCH(AP$34,FY,0)-1))</f>
        <v>0</v>
      </c>
      <c r="AQ37" s="26">
        <f ca="1">IF(OR($D$24&lt;=0,AQ$34=""),"",OFFSET(Outputs!$D80,MATCH($D$25,Outputs!$D$75:$D$97,0)-1,MATCH(AQ$34,FY,0)-1))</f>
        <v>0</v>
      </c>
      <c r="AR37" s="26">
        <f ca="1">IF(OR($D$24&lt;=0,AR$34=""),"",OFFSET(Outputs!$D80,MATCH($D$25,Outputs!$D$75:$D$97,0)-1,MATCH(AR$34,FY,0)-1))</f>
        <v>0</v>
      </c>
      <c r="AS37" s="26">
        <f ca="1">IF(OR($D$24&lt;=0,AS$34=""),"",OFFSET(Outputs!$D80,MATCH($D$25,Outputs!$D$75:$D$97,0)-1,MATCH(AS$34,FY,0)-1))</f>
        <v>0</v>
      </c>
      <c r="AT37" s="26">
        <f ca="1">IF(OR($D$24&lt;=0,AT$34=""),"",OFFSET(Outputs!$D80,MATCH($D$25,Outputs!$D$75:$D$97,0)-1,MATCH(AT$34,FY,0)-1))</f>
        <v>0</v>
      </c>
      <c r="AU37" s="26">
        <f ca="1">IF(OR($D$24&lt;=0,AU$34=""),"",OFFSET(Outputs!$D80,MATCH($D$25,Outputs!$D$75:$D$97,0)-1,MATCH(AU$34,FY,0)-1))</f>
        <v>0</v>
      </c>
      <c r="AV37" s="26">
        <f ca="1">IF(OR($D$24&lt;=0,AV$34=""),"",OFFSET(Outputs!$D80,MATCH($D$25,Outputs!$D$75:$D$97,0)-1,MATCH(AV$34,FY,0)-1))</f>
        <v>0</v>
      </c>
      <c r="AW37" s="26">
        <f ca="1">IF(OR($D$24&lt;=0,AW$34=""),"",OFFSET(Outputs!$D80,MATCH($D$25,Outputs!$D$75:$D$97,0)-1,MATCH(AW$34,FY,0)-1))</f>
        <v>0</v>
      </c>
      <c r="AX37" s="26">
        <f ca="1">IF(OR($D$24&lt;=0,AX$34=""),"",OFFSET(Outputs!$D80,MATCH($D$25,Outputs!$D$75:$D$97,0)-1,MATCH(AX$34,FY,0)-1))</f>
        <v>0</v>
      </c>
      <c r="AY37" s="26">
        <f ca="1">IF(OR($D$24&lt;=0,AY$34=""),"",OFFSET(Outputs!$D80,MATCH($D$25,Outputs!$D$75:$D$97,0)-1,MATCH(AY$34,FY,0)-1))</f>
        <v>0</v>
      </c>
      <c r="AZ37" s="26">
        <f ca="1">IF(OR($D$24&lt;=0,AZ$34=""),"",OFFSET(Outputs!$D80,MATCH($D$25,Outputs!$D$75:$D$97,0)-1,MATCH(AZ$34,FY,0)-1))</f>
        <v>0</v>
      </c>
      <c r="BA37" s="26">
        <f ca="1">IF(OR($D$24&lt;=0,BA$34=""),"",OFFSET(Outputs!$D80,MATCH($D$25,Outputs!$D$75:$D$97,0)-1,MATCH(BA$34,FY,0)-1))</f>
        <v>0</v>
      </c>
      <c r="BB37" s="26">
        <f ca="1">IF(OR($D$24&lt;=0,BB$34=""),"",OFFSET(Outputs!$D80,MATCH($D$25,Outputs!$D$75:$D$97,0)-1,MATCH(BB$34,FY,0)-1))</f>
        <v>0</v>
      </c>
      <c r="BC37" s="26">
        <f ca="1">IF(OR($D$24&lt;=0,BC$34=""),"",OFFSET(Outputs!$D80,MATCH($D$25,Outputs!$D$75:$D$97,0)-1,MATCH(BC$34,FY,0)-1))</f>
        <v>0</v>
      </c>
      <c r="BD37" s="26">
        <f ca="1">IF(OR($D$24&lt;=0,BD$34=""),"",OFFSET(Outputs!$D80,MATCH($D$25,Outputs!$D$75:$D$97,0)-1,MATCH(BD$34,FY,0)-1))</f>
        <v>0</v>
      </c>
      <c r="BE37" s="26">
        <f ca="1">IF(OR($D$24&lt;=0,BE$34=""),"",OFFSET(Outputs!$D80,MATCH($D$25,Outputs!$D$75:$D$97,0)-1,MATCH(BE$34,FY,0)-1))</f>
        <v>0</v>
      </c>
      <c r="BF37" s="26">
        <f ca="1">IF(OR($D$24&lt;=0,BF$34=""),"",OFFSET(Outputs!$D80,MATCH($D$25,Outputs!$D$75:$D$97,0)-1,MATCH(BF$34,FY,0)-1))</f>
        <v>0</v>
      </c>
      <c r="BG37" s="26">
        <f ca="1">IF(OR($D$24&lt;=0,BG$34=""),"",OFFSET(Outputs!$D80,MATCH($D$25,Outputs!$D$75:$D$97,0)-1,MATCH(BG$34,FY,0)-1))</f>
        <v>0</v>
      </c>
      <c r="BH37" s="26">
        <f ca="1">IF(OR($D$24&lt;=0,BH$34=""),"",OFFSET(Outputs!$D80,MATCH($D$25,Outputs!$D$75:$D$97,0)-1,MATCH(BH$34,FY,0)-1))</f>
        <v>0</v>
      </c>
      <c r="BI37" s="26">
        <f ca="1">IF(OR($D$24&lt;=0,BI$34=""),"",OFFSET(Outputs!$D80,MATCH($D$25,Outputs!$D$75:$D$97,0)-1,MATCH(BI$34,FY,0)-1))</f>
        <v>0</v>
      </c>
      <c r="BJ37" s="26">
        <f ca="1">IF(OR($D$24&lt;=0,BJ$34=""),"",OFFSET(Outputs!$D80,MATCH($D$25,Outputs!$D$75:$D$97,0)-1,MATCH(BJ$34,FY,0)-1))</f>
        <v>0</v>
      </c>
      <c r="BK37" s="26">
        <f ca="1">IF(OR($D$24&lt;=0,BK$34=""),"",OFFSET(Outputs!$D80,MATCH($D$25,Outputs!$D$75:$D$97,0)-1,MATCH(BK$34,FY,0)-1))</f>
        <v>0</v>
      </c>
      <c r="BL37" s="26">
        <f ca="1">IF(OR($D$24&lt;=0,BL$34=""),"",OFFSET(Outputs!$D80,MATCH($D$25,Outputs!$D$75:$D$97,0)-1,MATCH(BL$34,FY,0)-1))</f>
        <v>0</v>
      </c>
      <c r="BM37" s="26">
        <f ca="1">IF(OR($D$24&lt;=0,BM$34=""),"",OFFSET(Outputs!$D80,MATCH($D$25,Outputs!$D$75:$D$97,0)-1,MATCH(BM$34,FY,0)-1))</f>
        <v>0</v>
      </c>
      <c r="BN37" s="26">
        <f ca="1">IF(OR($D$24&lt;=0,BN$34=""),"",OFFSET(Outputs!$D80,MATCH($D$25,Outputs!$D$75:$D$97,0)-1,MATCH(BN$34,FY,0)-1))</f>
        <v>0</v>
      </c>
      <c r="BO37" s="26">
        <f ca="1">IF(OR($D$24&lt;=0,BO$34=""),"",OFFSET(Outputs!$D80,MATCH($D$25,Outputs!$D$75:$D$97,0)-1,MATCH(BO$34,FY,0)-1))</f>
        <v>0</v>
      </c>
      <c r="BP37" s="26">
        <f ca="1">IF(OR($D$24&lt;=0,BP$34=""),"",OFFSET(Outputs!$D80,MATCH($D$25,Outputs!$D$75:$D$97,0)-1,MATCH(BP$34,FY,0)-1))</f>
        <v>0</v>
      </c>
      <c r="BQ37" s="26">
        <f ca="1">IF(OR($D$24&lt;=0,BQ$34=""),"",OFFSET(Outputs!$D80,MATCH($D$25,Outputs!$D$75:$D$97,0)-1,MATCH(BQ$34,FY,0)-1))</f>
        <v>0</v>
      </c>
      <c r="BR37" s="26">
        <f ca="1">IF(OR($D$24&lt;=0,BR$34=""),"",OFFSET(Outputs!$D80,MATCH($D$25,Outputs!$D$75:$D$97,0)-1,MATCH(BR$34,FY,0)-1))</f>
        <v>0</v>
      </c>
      <c r="BS37" s="26">
        <f ca="1">IF(OR($D$24&lt;=0,BS$34=""),"",OFFSET(Outputs!$D80,MATCH($D$25,Outputs!$D$75:$D$97,0)-1,MATCH(BS$34,FY,0)-1))</f>
        <v>0</v>
      </c>
      <c r="BT37" s="26">
        <f ca="1">IF(OR($D$24&lt;=0,BT$34=""),"",OFFSET(Outputs!$D80,MATCH($D$25,Outputs!$D$75:$D$97,0)-1,MATCH(BT$34,FY,0)-1))</f>
        <v>0</v>
      </c>
      <c r="BU37" s="26">
        <f ca="1">IF(OR($D$24&lt;=0,BU$34=""),"",OFFSET(Outputs!$D80,MATCH($D$25,Outputs!$D$75:$D$97,0)-1,MATCH(BU$34,FY,0)-1))</f>
        <v>0</v>
      </c>
      <c r="BV37" s="26">
        <f ca="1">IF(OR($D$24&lt;=0,BV$34=""),"",OFFSET(Outputs!$D80,MATCH($D$25,Outputs!$D$75:$D$97,0)-1,MATCH(BV$34,FY,0)-1))</f>
        <v>0</v>
      </c>
      <c r="BW37" s="26" t="str">
        <f ca="1">IF(OR($D$24&lt;=0,BW$34=""),"",OFFSET(Outputs!$D80,MATCH($D$25,Outputs!$D$75:$D$97,0)-1,MATCH(BW$34,FY,0)-1))</f>
        <v/>
      </c>
      <c r="BX37" s="26" t="str">
        <f ca="1">IF(OR($D$24&lt;=0,BX$34=""),"",OFFSET(Outputs!$D80,MATCH($D$25,Outputs!$D$75:$D$97,0)-1,MATCH(BX$34,FY,0)-1))</f>
        <v/>
      </c>
      <c r="BY37" s="26" t="str">
        <f ca="1">IF(OR($D$24&lt;=0,BY$34=""),"",OFFSET(Outputs!$D80,MATCH($D$25,Outputs!$D$75:$D$97,0)-1,MATCH(BY$34,FY,0)-1))</f>
        <v/>
      </c>
      <c r="BZ37" s="26" t="str">
        <f ca="1">IF(OR($D$24&lt;=0,BZ$34=""),"",OFFSET(Outputs!$D80,MATCH($D$25,Outputs!$D$75:$D$97,0)-1,MATCH(BZ$34,FY,0)-1))</f>
        <v/>
      </c>
      <c r="CA37" s="26" t="str">
        <f ca="1">IF(OR($D$24&lt;=0,CA$34=""),"",OFFSET(Outputs!$D80,MATCH($D$25,Outputs!$D$75:$D$97,0)-1,MATCH(CA$34,FY,0)-1))</f>
        <v/>
      </c>
      <c r="CB37" s="26" t="str">
        <f ca="1">IF(OR($D$24&lt;=0,CB$34=""),"",OFFSET(Outputs!$D80,MATCH($D$25,Outputs!$D$75:$D$97,0)-1,MATCH(CB$34,FY,0)-1))</f>
        <v/>
      </c>
      <c r="CC37" s="26" t="str">
        <f ca="1">IF(OR($D$24&lt;=0,CC$34=""),"",OFFSET(Outputs!$D80,MATCH($D$25,Outputs!$D$75:$D$97,0)-1,MATCH(CC$34,FY,0)-1))</f>
        <v/>
      </c>
      <c r="CD37" s="26" t="str">
        <f ca="1">IF(OR($D$24&lt;=0,CD$34=""),"",OFFSET(Outputs!$D80,MATCH($D$25,Outputs!$D$75:$D$97,0)-1,MATCH(CD$34,FY,0)-1))</f>
        <v/>
      </c>
      <c r="CE37" s="26" t="str">
        <f ca="1">IF(OR($D$24&lt;=0,CE$34=""),"",OFFSET(Outputs!$D80,MATCH($D$25,Outputs!$D$75:$D$97,0)-1,MATCH(CE$34,FY,0)-1))</f>
        <v/>
      </c>
      <c r="CF37" s="26" t="str">
        <f ca="1">IF(OR($D$24&lt;=0,CF$34=""),"",OFFSET(Outputs!$D80,MATCH($D$25,Outputs!$D$75:$D$97,0)-1,MATCH(CF$34,FY,0)-1))</f>
        <v/>
      </c>
      <c r="CG37" s="26" t="str">
        <f ca="1">IF(OR($D$24&lt;=0,CG$34=""),"",OFFSET(Outputs!$D80,MATCH($D$25,Outputs!$D$75:$D$97,0)-1,MATCH(CG$34,FY,0)-1))</f>
        <v/>
      </c>
      <c r="CH37" s="26" t="str">
        <f ca="1">IF(OR($D$24&lt;=0,CH$34=""),"",OFFSET(Outputs!$D80,MATCH($D$25,Outputs!$D$75:$D$97,0)-1,MATCH(CH$34,FY,0)-1))</f>
        <v/>
      </c>
      <c r="CI37" s="26" t="str">
        <f ca="1">IF(OR($D$24&lt;=0,CI$34=""),"",OFFSET(Outputs!$D80,MATCH($D$25,Outputs!$D$75:$D$97,0)-1,MATCH(CI$34,FY,0)-1))</f>
        <v/>
      </c>
      <c r="CJ37" s="26" t="str">
        <f ca="1">IF(OR($D$24&lt;=0,CJ$34=""),"",OFFSET(Outputs!$D80,MATCH($D$25,Outputs!$D$75:$D$97,0)-1,MATCH(CJ$34,FY,0)-1))</f>
        <v/>
      </c>
      <c r="CK37" s="26" t="str">
        <f ca="1">IF(OR($D$24&lt;=0,CK$34=""),"",OFFSET(Outputs!$D80,MATCH($D$25,Outputs!$D$75:$D$97,0)-1,MATCH(CK$34,FY,0)-1))</f>
        <v/>
      </c>
      <c r="CL37" s="26" t="str">
        <f ca="1">IF(OR($D$24&lt;=0,CL$34=""),"",OFFSET(Outputs!$D80,MATCH($D$25,Outputs!$D$75:$D$97,0)-1,MATCH(CL$34,FY,0)-1))</f>
        <v/>
      </c>
      <c r="CM37" s="26" t="str">
        <f ca="1">IF(OR($D$24&lt;=0,CM$34=""),"",OFFSET(Outputs!$D80,MATCH($D$25,Outputs!$D$75:$D$97,0)-1,MATCH(CM$34,FY,0)-1))</f>
        <v/>
      </c>
      <c r="CN37" s="26" t="str">
        <f ca="1">IF(OR($D$24&lt;=0,CN$34=""),"",OFFSET(Outputs!$D80,MATCH($D$25,Outputs!$D$75:$D$97,0)-1,MATCH(CN$34,FY,0)-1))</f>
        <v/>
      </c>
      <c r="CO37" s="26" t="str">
        <f ca="1">IF(OR($D$24&lt;=0,CO$34=""),"",OFFSET(Outputs!$D80,MATCH($D$25,Outputs!$D$75:$D$97,0)-1,MATCH(CO$34,FY,0)-1))</f>
        <v/>
      </c>
      <c r="CP37" s="26" t="str">
        <f ca="1">IF(OR($D$24&lt;=0,CP$34=""),"",OFFSET(Outputs!$D80,MATCH($D$25,Outputs!$D$75:$D$97,0)-1,MATCH(CP$34,FY,0)-1))</f>
        <v/>
      </c>
      <c r="CQ37" s="26" t="str">
        <f ca="1">IF(OR($D$24&lt;=0,CQ$34=""),"",OFFSET(Outputs!$D80,MATCH($D$25,Outputs!$D$75:$D$97,0)-1,MATCH(CQ$34,FY,0)-1))</f>
        <v/>
      </c>
    </row>
    <row r="38" spans="3:95" x14ac:dyDescent="0.3">
      <c r="D38" s="6" t="str">
        <f>Lookups!C8</f>
        <v>Manufacture</v>
      </c>
      <c r="F38" s="26">
        <f ca="1">IF(OR($D$24&lt;=0,F$34=""),"",OFFSET(Outputs!$D81,MATCH($D$25,Outputs!$D$75:$D$97,0)-1,MATCH(F$34,FY,0)-1))</f>
        <v>0</v>
      </c>
      <c r="G38" s="26">
        <f ca="1">IF(OR($D$24&lt;=0,G$34=""),"",OFFSET(Outputs!$D81,MATCH($D$25,Outputs!$D$75:$D$97,0)-1,MATCH(G$34,FY,0)-1))</f>
        <v>0</v>
      </c>
      <c r="H38" s="26">
        <f ca="1">IF(OR($D$24&lt;=0,H$34=""),"",OFFSET(Outputs!$D81,MATCH($D$25,Outputs!$D$75:$D$97,0)-1,MATCH(H$34,FY,0)-1))</f>
        <v>0</v>
      </c>
      <c r="I38" s="26">
        <f ca="1">IF(OR($D$24&lt;=0,I$34=""),"",OFFSET(Outputs!$D81,MATCH($D$25,Outputs!$D$75:$D$97,0)-1,MATCH(I$34,FY,0)-1))</f>
        <v>0</v>
      </c>
      <c r="J38" s="26">
        <f ca="1">IF(OR($D$24&lt;=0,J$34=""),"",OFFSET(Outputs!$D81,MATCH($D$25,Outputs!$D$75:$D$97,0)-1,MATCH(J$34,FY,0)-1))</f>
        <v>0</v>
      </c>
      <c r="K38" s="26">
        <f ca="1">IF(OR($D$24&lt;=0,K$34=""),"",OFFSET(Outputs!$D81,MATCH($D$25,Outputs!$D$75:$D$97,0)-1,MATCH(K$34,FY,0)-1))</f>
        <v>0</v>
      </c>
      <c r="L38" s="26">
        <f ca="1">IF(OR($D$24&lt;=0,L$34=""),"",OFFSET(Outputs!$D81,MATCH($D$25,Outputs!$D$75:$D$97,0)-1,MATCH(L$34,FY,0)-1))</f>
        <v>0</v>
      </c>
      <c r="M38" s="26">
        <f ca="1">IF(OR($D$24&lt;=0,M$34=""),"",OFFSET(Outputs!$D81,MATCH($D$25,Outputs!$D$75:$D$97,0)-1,MATCH(M$34,FY,0)-1))</f>
        <v>0</v>
      </c>
      <c r="N38" s="26">
        <f ca="1">IF(OR($D$24&lt;=0,N$34=""),"",OFFSET(Outputs!$D81,MATCH($D$25,Outputs!$D$75:$D$97,0)-1,MATCH(N$34,FY,0)-1))</f>
        <v>0</v>
      </c>
      <c r="O38" s="26">
        <f ca="1">IF(OR($D$24&lt;=0,O$34=""),"",OFFSET(Outputs!$D81,MATCH($D$25,Outputs!$D$75:$D$97,0)-1,MATCH(O$34,FY,0)-1))</f>
        <v>0</v>
      </c>
      <c r="P38" s="26">
        <f ca="1">IF(OR($D$24&lt;=0,P$34=""),"",OFFSET(Outputs!$D81,MATCH($D$25,Outputs!$D$75:$D$97,0)-1,MATCH(P$34,FY,0)-1))</f>
        <v>0</v>
      </c>
      <c r="Q38" s="26">
        <f ca="1">IF(OR($D$24&lt;=0,Q$34=""),"",OFFSET(Outputs!$D81,MATCH($D$25,Outputs!$D$75:$D$97,0)-1,MATCH(Q$34,FY,0)-1))</f>
        <v>0</v>
      </c>
      <c r="R38" s="26">
        <f ca="1">IF(OR($D$24&lt;=0,R$34=""),"",OFFSET(Outputs!$D81,MATCH($D$25,Outputs!$D$75:$D$97,0)-1,MATCH(R$34,FY,0)-1))</f>
        <v>0</v>
      </c>
      <c r="S38" s="26">
        <f ca="1">IF(OR($D$24&lt;=0,S$34=""),"",OFFSET(Outputs!$D81,MATCH($D$25,Outputs!$D$75:$D$97,0)-1,MATCH(S$34,FY,0)-1))</f>
        <v>0</v>
      </c>
      <c r="T38" s="26">
        <f ca="1">IF(OR($D$24&lt;=0,T$34=""),"",OFFSET(Outputs!$D81,MATCH($D$25,Outputs!$D$75:$D$97,0)-1,MATCH(T$34,FY,0)-1))</f>
        <v>0</v>
      </c>
      <c r="U38" s="26">
        <f ca="1">IF(OR($D$24&lt;=0,U$34=""),"",OFFSET(Outputs!$D81,MATCH($D$25,Outputs!$D$75:$D$97,0)-1,MATCH(U$34,FY,0)-1))</f>
        <v>0</v>
      </c>
      <c r="V38" s="26">
        <f ca="1">IF(OR($D$24&lt;=0,V$34=""),"",OFFSET(Outputs!$D81,MATCH($D$25,Outputs!$D$75:$D$97,0)-1,MATCH(V$34,FY,0)-1))</f>
        <v>0</v>
      </c>
      <c r="W38" s="26">
        <f ca="1">IF(OR($D$24&lt;=0,W$34=""),"",OFFSET(Outputs!$D81,MATCH($D$25,Outputs!$D$75:$D$97,0)-1,MATCH(W$34,FY,0)-1))</f>
        <v>0</v>
      </c>
      <c r="X38" s="26">
        <f ca="1">IF(OR($D$24&lt;=0,X$34=""),"",OFFSET(Outputs!$D81,MATCH($D$25,Outputs!$D$75:$D$97,0)-1,MATCH(X$34,FY,0)-1))</f>
        <v>0</v>
      </c>
      <c r="Y38" s="26">
        <f ca="1">IF(OR($D$24&lt;=0,Y$34=""),"",OFFSET(Outputs!$D81,MATCH($D$25,Outputs!$D$75:$D$97,0)-1,MATCH(Y$34,FY,0)-1))</f>
        <v>0</v>
      </c>
      <c r="Z38" s="26">
        <f ca="1">IF(OR($D$24&lt;=0,Z$34=""),"",OFFSET(Outputs!$D81,MATCH($D$25,Outputs!$D$75:$D$97,0)-1,MATCH(Z$34,FY,0)-1))</f>
        <v>2400</v>
      </c>
      <c r="AA38" s="26">
        <f ca="1">IF(OR($D$24&lt;=0,AA$34=""),"",OFFSET(Outputs!$D81,MATCH($D$25,Outputs!$D$75:$D$97,0)-1,MATCH(AA$34,FY,0)-1))</f>
        <v>0</v>
      </c>
      <c r="AB38" s="26">
        <f ca="1">IF(OR($D$24&lt;=0,AB$34=""),"",OFFSET(Outputs!$D81,MATCH($D$25,Outputs!$D$75:$D$97,0)-1,MATCH(AB$34,FY,0)-1))</f>
        <v>0</v>
      </c>
      <c r="AC38" s="26">
        <f ca="1">IF(OR($D$24&lt;=0,AC$34=""),"",OFFSET(Outputs!$D81,MATCH($D$25,Outputs!$D$75:$D$97,0)-1,MATCH(AC$34,FY,0)-1))</f>
        <v>0</v>
      </c>
      <c r="AD38" s="26">
        <f ca="1">IF(OR($D$24&lt;=0,AD$34=""),"",OFFSET(Outputs!$D81,MATCH($D$25,Outputs!$D$75:$D$97,0)-1,MATCH(AD$34,FY,0)-1))</f>
        <v>0</v>
      </c>
      <c r="AE38" s="26">
        <f ca="1">IF(OR($D$24&lt;=0,AE$34=""),"",OFFSET(Outputs!$D81,MATCH($D$25,Outputs!$D$75:$D$97,0)-1,MATCH(AE$34,FY,0)-1))</f>
        <v>0</v>
      </c>
      <c r="AF38" s="26">
        <f ca="1">IF(OR($D$24&lt;=0,AF$34=""),"",OFFSET(Outputs!$D81,MATCH($D$25,Outputs!$D$75:$D$97,0)-1,MATCH(AF$34,FY,0)-1))</f>
        <v>0</v>
      </c>
      <c r="AG38" s="26">
        <f ca="1">IF(OR($D$24&lt;=0,AG$34=""),"",OFFSET(Outputs!$D81,MATCH($D$25,Outputs!$D$75:$D$97,0)-1,MATCH(AG$34,FY,0)-1))</f>
        <v>0</v>
      </c>
      <c r="AH38" s="26">
        <f ca="1">IF(OR($D$24&lt;=0,AH$34=""),"",OFFSET(Outputs!$D81,MATCH($D$25,Outputs!$D$75:$D$97,0)-1,MATCH(AH$34,FY,0)-1))</f>
        <v>0</v>
      </c>
      <c r="AI38" s="26">
        <f ca="1">IF(OR($D$24&lt;=0,AI$34=""),"",OFFSET(Outputs!$D81,MATCH($D$25,Outputs!$D$75:$D$97,0)-1,MATCH(AI$34,FY,0)-1))</f>
        <v>0</v>
      </c>
      <c r="AJ38" s="26">
        <f ca="1">IF(OR($D$24&lt;=0,AJ$34=""),"",OFFSET(Outputs!$D81,MATCH($D$25,Outputs!$D$75:$D$97,0)-1,MATCH(AJ$34,FY,0)-1))</f>
        <v>0</v>
      </c>
      <c r="AK38" s="26">
        <f ca="1">IF(OR($D$24&lt;=0,AK$34=""),"",OFFSET(Outputs!$D81,MATCH($D$25,Outputs!$D$75:$D$97,0)-1,MATCH(AK$34,FY,0)-1))</f>
        <v>0</v>
      </c>
      <c r="AL38" s="26">
        <f ca="1">IF(OR($D$24&lt;=0,AL$34=""),"",OFFSET(Outputs!$D81,MATCH($D$25,Outputs!$D$75:$D$97,0)-1,MATCH(AL$34,FY,0)-1))</f>
        <v>0</v>
      </c>
      <c r="AM38" s="26">
        <f ca="1">IF(OR($D$24&lt;=0,AM$34=""),"",OFFSET(Outputs!$D81,MATCH($D$25,Outputs!$D$75:$D$97,0)-1,MATCH(AM$34,FY,0)-1))</f>
        <v>0</v>
      </c>
      <c r="AN38" s="26">
        <f ca="1">IF(OR($D$24&lt;=0,AN$34=""),"",OFFSET(Outputs!$D81,MATCH($D$25,Outputs!$D$75:$D$97,0)-1,MATCH(AN$34,FY,0)-1))</f>
        <v>0</v>
      </c>
      <c r="AO38" s="26">
        <f ca="1">IF(OR($D$24&lt;=0,AO$34=""),"",OFFSET(Outputs!$D81,MATCH($D$25,Outputs!$D$75:$D$97,0)-1,MATCH(AO$34,FY,0)-1))</f>
        <v>0</v>
      </c>
      <c r="AP38" s="26">
        <f ca="1">IF(OR($D$24&lt;=0,AP$34=""),"",OFFSET(Outputs!$D81,MATCH($D$25,Outputs!$D$75:$D$97,0)-1,MATCH(AP$34,FY,0)-1))</f>
        <v>0</v>
      </c>
      <c r="AQ38" s="26">
        <f ca="1">IF(OR($D$24&lt;=0,AQ$34=""),"",OFFSET(Outputs!$D81,MATCH($D$25,Outputs!$D$75:$D$97,0)-1,MATCH(AQ$34,FY,0)-1))</f>
        <v>0</v>
      </c>
      <c r="AR38" s="26">
        <f ca="1">IF(OR($D$24&lt;=0,AR$34=""),"",OFFSET(Outputs!$D81,MATCH($D$25,Outputs!$D$75:$D$97,0)-1,MATCH(AR$34,FY,0)-1))</f>
        <v>0</v>
      </c>
      <c r="AS38" s="26">
        <f ca="1">IF(OR($D$24&lt;=0,AS$34=""),"",OFFSET(Outputs!$D81,MATCH($D$25,Outputs!$D$75:$D$97,0)-1,MATCH(AS$34,FY,0)-1))</f>
        <v>0</v>
      </c>
      <c r="AT38" s="26">
        <f ca="1">IF(OR($D$24&lt;=0,AT$34=""),"",OFFSET(Outputs!$D81,MATCH($D$25,Outputs!$D$75:$D$97,0)-1,MATCH(AT$34,FY,0)-1))</f>
        <v>0</v>
      </c>
      <c r="AU38" s="26">
        <f ca="1">IF(OR($D$24&lt;=0,AU$34=""),"",OFFSET(Outputs!$D81,MATCH($D$25,Outputs!$D$75:$D$97,0)-1,MATCH(AU$34,FY,0)-1))</f>
        <v>0</v>
      </c>
      <c r="AV38" s="26">
        <f ca="1">IF(OR($D$24&lt;=0,AV$34=""),"",OFFSET(Outputs!$D81,MATCH($D$25,Outputs!$D$75:$D$97,0)-1,MATCH(AV$34,FY,0)-1))</f>
        <v>0</v>
      </c>
      <c r="AW38" s="26">
        <f ca="1">IF(OR($D$24&lt;=0,AW$34=""),"",OFFSET(Outputs!$D81,MATCH($D$25,Outputs!$D$75:$D$97,0)-1,MATCH(AW$34,FY,0)-1))</f>
        <v>0</v>
      </c>
      <c r="AX38" s="26">
        <f ca="1">IF(OR($D$24&lt;=0,AX$34=""),"",OFFSET(Outputs!$D81,MATCH($D$25,Outputs!$D$75:$D$97,0)-1,MATCH(AX$34,FY,0)-1))</f>
        <v>0</v>
      </c>
      <c r="AY38" s="26">
        <f ca="1">IF(OR($D$24&lt;=0,AY$34=""),"",OFFSET(Outputs!$D81,MATCH($D$25,Outputs!$D$75:$D$97,0)-1,MATCH(AY$34,FY,0)-1))</f>
        <v>0</v>
      </c>
      <c r="AZ38" s="26">
        <f ca="1">IF(OR($D$24&lt;=0,AZ$34=""),"",OFFSET(Outputs!$D81,MATCH($D$25,Outputs!$D$75:$D$97,0)-1,MATCH(AZ$34,FY,0)-1))</f>
        <v>0</v>
      </c>
      <c r="BA38" s="26">
        <f ca="1">IF(OR($D$24&lt;=0,BA$34=""),"",OFFSET(Outputs!$D81,MATCH($D$25,Outputs!$D$75:$D$97,0)-1,MATCH(BA$34,FY,0)-1))</f>
        <v>0</v>
      </c>
      <c r="BB38" s="26">
        <f ca="1">IF(OR($D$24&lt;=0,BB$34=""),"",OFFSET(Outputs!$D81,MATCH($D$25,Outputs!$D$75:$D$97,0)-1,MATCH(BB$34,FY,0)-1))</f>
        <v>0</v>
      </c>
      <c r="BC38" s="26">
        <f ca="1">IF(OR($D$24&lt;=0,BC$34=""),"",OFFSET(Outputs!$D81,MATCH($D$25,Outputs!$D$75:$D$97,0)-1,MATCH(BC$34,FY,0)-1))</f>
        <v>0</v>
      </c>
      <c r="BD38" s="26">
        <f ca="1">IF(OR($D$24&lt;=0,BD$34=""),"",OFFSET(Outputs!$D81,MATCH($D$25,Outputs!$D$75:$D$97,0)-1,MATCH(BD$34,FY,0)-1))</f>
        <v>0</v>
      </c>
      <c r="BE38" s="26">
        <f ca="1">IF(OR($D$24&lt;=0,BE$34=""),"",OFFSET(Outputs!$D81,MATCH($D$25,Outputs!$D$75:$D$97,0)-1,MATCH(BE$34,FY,0)-1))</f>
        <v>0</v>
      </c>
      <c r="BF38" s="26">
        <f ca="1">IF(OR($D$24&lt;=0,BF$34=""),"",OFFSET(Outputs!$D81,MATCH($D$25,Outputs!$D$75:$D$97,0)-1,MATCH(BF$34,FY,0)-1))</f>
        <v>0</v>
      </c>
      <c r="BG38" s="26">
        <f ca="1">IF(OR($D$24&lt;=0,BG$34=""),"",OFFSET(Outputs!$D81,MATCH($D$25,Outputs!$D$75:$D$97,0)-1,MATCH(BG$34,FY,0)-1))</f>
        <v>0</v>
      </c>
      <c r="BH38" s="26">
        <f ca="1">IF(OR($D$24&lt;=0,BH$34=""),"",OFFSET(Outputs!$D81,MATCH($D$25,Outputs!$D$75:$D$97,0)-1,MATCH(BH$34,FY,0)-1))</f>
        <v>0</v>
      </c>
      <c r="BI38" s="26">
        <f ca="1">IF(OR($D$24&lt;=0,BI$34=""),"",OFFSET(Outputs!$D81,MATCH($D$25,Outputs!$D$75:$D$97,0)-1,MATCH(BI$34,FY,0)-1))</f>
        <v>0</v>
      </c>
      <c r="BJ38" s="26">
        <f ca="1">IF(OR($D$24&lt;=0,BJ$34=""),"",OFFSET(Outputs!$D81,MATCH($D$25,Outputs!$D$75:$D$97,0)-1,MATCH(BJ$34,FY,0)-1))</f>
        <v>0</v>
      </c>
      <c r="BK38" s="26">
        <f ca="1">IF(OR($D$24&lt;=0,BK$34=""),"",OFFSET(Outputs!$D81,MATCH($D$25,Outputs!$D$75:$D$97,0)-1,MATCH(BK$34,FY,0)-1))</f>
        <v>0</v>
      </c>
      <c r="BL38" s="26">
        <f ca="1">IF(OR($D$24&lt;=0,BL$34=""),"",OFFSET(Outputs!$D81,MATCH($D$25,Outputs!$D$75:$D$97,0)-1,MATCH(BL$34,FY,0)-1))</f>
        <v>0</v>
      </c>
      <c r="BM38" s="26">
        <f ca="1">IF(OR($D$24&lt;=0,BM$34=""),"",OFFSET(Outputs!$D81,MATCH($D$25,Outputs!$D$75:$D$97,0)-1,MATCH(BM$34,FY,0)-1))</f>
        <v>0</v>
      </c>
      <c r="BN38" s="26">
        <f ca="1">IF(OR($D$24&lt;=0,BN$34=""),"",OFFSET(Outputs!$D81,MATCH($D$25,Outputs!$D$75:$D$97,0)-1,MATCH(BN$34,FY,0)-1))</f>
        <v>0</v>
      </c>
      <c r="BO38" s="26">
        <f ca="1">IF(OR($D$24&lt;=0,BO$34=""),"",OFFSET(Outputs!$D81,MATCH($D$25,Outputs!$D$75:$D$97,0)-1,MATCH(BO$34,FY,0)-1))</f>
        <v>0</v>
      </c>
      <c r="BP38" s="26">
        <f ca="1">IF(OR($D$24&lt;=0,BP$34=""),"",OFFSET(Outputs!$D81,MATCH($D$25,Outputs!$D$75:$D$97,0)-1,MATCH(BP$34,FY,0)-1))</f>
        <v>0</v>
      </c>
      <c r="BQ38" s="26">
        <f ca="1">IF(OR($D$24&lt;=0,BQ$34=""),"",OFFSET(Outputs!$D81,MATCH($D$25,Outputs!$D$75:$D$97,0)-1,MATCH(BQ$34,FY,0)-1))</f>
        <v>0</v>
      </c>
      <c r="BR38" s="26">
        <f ca="1">IF(OR($D$24&lt;=0,BR$34=""),"",OFFSET(Outputs!$D81,MATCH($D$25,Outputs!$D$75:$D$97,0)-1,MATCH(BR$34,FY,0)-1))</f>
        <v>0</v>
      </c>
      <c r="BS38" s="26">
        <f ca="1">IF(OR($D$24&lt;=0,BS$34=""),"",OFFSET(Outputs!$D81,MATCH($D$25,Outputs!$D$75:$D$97,0)-1,MATCH(BS$34,FY,0)-1))</f>
        <v>0</v>
      </c>
      <c r="BT38" s="26">
        <f ca="1">IF(OR($D$24&lt;=0,BT$34=""),"",OFFSET(Outputs!$D81,MATCH($D$25,Outputs!$D$75:$D$97,0)-1,MATCH(BT$34,FY,0)-1))</f>
        <v>0</v>
      </c>
      <c r="BU38" s="26">
        <f ca="1">IF(OR($D$24&lt;=0,BU$34=""),"",OFFSET(Outputs!$D81,MATCH($D$25,Outputs!$D$75:$D$97,0)-1,MATCH(BU$34,FY,0)-1))</f>
        <v>0</v>
      </c>
      <c r="BV38" s="26">
        <f ca="1">IF(OR($D$24&lt;=0,BV$34=""),"",OFFSET(Outputs!$D81,MATCH($D$25,Outputs!$D$75:$D$97,0)-1,MATCH(BV$34,FY,0)-1))</f>
        <v>0</v>
      </c>
      <c r="BW38" s="26" t="str">
        <f ca="1">IF(OR($D$24&lt;=0,BW$34=""),"",OFFSET(Outputs!$D81,MATCH($D$25,Outputs!$D$75:$D$97,0)-1,MATCH(BW$34,FY,0)-1))</f>
        <v/>
      </c>
      <c r="BX38" s="26" t="str">
        <f ca="1">IF(OR($D$24&lt;=0,BX$34=""),"",OFFSET(Outputs!$D81,MATCH($D$25,Outputs!$D$75:$D$97,0)-1,MATCH(BX$34,FY,0)-1))</f>
        <v/>
      </c>
      <c r="BY38" s="26" t="str">
        <f ca="1">IF(OR($D$24&lt;=0,BY$34=""),"",OFFSET(Outputs!$D81,MATCH($D$25,Outputs!$D$75:$D$97,0)-1,MATCH(BY$34,FY,0)-1))</f>
        <v/>
      </c>
      <c r="BZ38" s="26" t="str">
        <f ca="1">IF(OR($D$24&lt;=0,BZ$34=""),"",OFFSET(Outputs!$D81,MATCH($D$25,Outputs!$D$75:$D$97,0)-1,MATCH(BZ$34,FY,0)-1))</f>
        <v/>
      </c>
      <c r="CA38" s="26" t="str">
        <f ca="1">IF(OR($D$24&lt;=0,CA$34=""),"",OFFSET(Outputs!$D81,MATCH($D$25,Outputs!$D$75:$D$97,0)-1,MATCH(CA$34,FY,0)-1))</f>
        <v/>
      </c>
      <c r="CB38" s="26" t="str">
        <f ca="1">IF(OR($D$24&lt;=0,CB$34=""),"",OFFSET(Outputs!$D81,MATCH($D$25,Outputs!$D$75:$D$97,0)-1,MATCH(CB$34,FY,0)-1))</f>
        <v/>
      </c>
      <c r="CC38" s="26" t="str">
        <f ca="1">IF(OR($D$24&lt;=0,CC$34=""),"",OFFSET(Outputs!$D81,MATCH($D$25,Outputs!$D$75:$D$97,0)-1,MATCH(CC$34,FY,0)-1))</f>
        <v/>
      </c>
      <c r="CD38" s="26" t="str">
        <f ca="1">IF(OR($D$24&lt;=0,CD$34=""),"",OFFSET(Outputs!$D81,MATCH($D$25,Outputs!$D$75:$D$97,0)-1,MATCH(CD$34,FY,0)-1))</f>
        <v/>
      </c>
      <c r="CE38" s="26" t="str">
        <f ca="1">IF(OR($D$24&lt;=0,CE$34=""),"",OFFSET(Outputs!$D81,MATCH($D$25,Outputs!$D$75:$D$97,0)-1,MATCH(CE$34,FY,0)-1))</f>
        <v/>
      </c>
      <c r="CF38" s="26" t="str">
        <f ca="1">IF(OR($D$24&lt;=0,CF$34=""),"",OFFSET(Outputs!$D81,MATCH($D$25,Outputs!$D$75:$D$97,0)-1,MATCH(CF$34,FY,0)-1))</f>
        <v/>
      </c>
      <c r="CG38" s="26" t="str">
        <f ca="1">IF(OR($D$24&lt;=0,CG$34=""),"",OFFSET(Outputs!$D81,MATCH($D$25,Outputs!$D$75:$D$97,0)-1,MATCH(CG$34,FY,0)-1))</f>
        <v/>
      </c>
      <c r="CH38" s="26" t="str">
        <f ca="1">IF(OR($D$24&lt;=0,CH$34=""),"",OFFSET(Outputs!$D81,MATCH($D$25,Outputs!$D$75:$D$97,0)-1,MATCH(CH$34,FY,0)-1))</f>
        <v/>
      </c>
      <c r="CI38" s="26" t="str">
        <f ca="1">IF(OR($D$24&lt;=0,CI$34=""),"",OFFSET(Outputs!$D81,MATCH($D$25,Outputs!$D$75:$D$97,0)-1,MATCH(CI$34,FY,0)-1))</f>
        <v/>
      </c>
      <c r="CJ38" s="26" t="str">
        <f ca="1">IF(OR($D$24&lt;=0,CJ$34=""),"",OFFSET(Outputs!$D81,MATCH($D$25,Outputs!$D$75:$D$97,0)-1,MATCH(CJ$34,FY,0)-1))</f>
        <v/>
      </c>
      <c r="CK38" s="26" t="str">
        <f ca="1">IF(OR($D$24&lt;=0,CK$34=""),"",OFFSET(Outputs!$D81,MATCH($D$25,Outputs!$D$75:$D$97,0)-1,MATCH(CK$34,FY,0)-1))</f>
        <v/>
      </c>
      <c r="CL38" s="26" t="str">
        <f ca="1">IF(OR($D$24&lt;=0,CL$34=""),"",OFFSET(Outputs!$D81,MATCH($D$25,Outputs!$D$75:$D$97,0)-1,MATCH(CL$34,FY,0)-1))</f>
        <v/>
      </c>
      <c r="CM38" s="26" t="str">
        <f ca="1">IF(OR($D$24&lt;=0,CM$34=""),"",OFFSET(Outputs!$D81,MATCH($D$25,Outputs!$D$75:$D$97,0)-1,MATCH(CM$34,FY,0)-1))</f>
        <v/>
      </c>
      <c r="CN38" s="26" t="str">
        <f ca="1">IF(OR($D$24&lt;=0,CN$34=""),"",OFFSET(Outputs!$D81,MATCH($D$25,Outputs!$D$75:$D$97,0)-1,MATCH(CN$34,FY,0)-1))</f>
        <v/>
      </c>
      <c r="CO38" s="26" t="str">
        <f ca="1">IF(OR($D$24&lt;=0,CO$34=""),"",OFFSET(Outputs!$D81,MATCH($D$25,Outputs!$D$75:$D$97,0)-1,MATCH(CO$34,FY,0)-1))</f>
        <v/>
      </c>
      <c r="CP38" s="26" t="str">
        <f ca="1">IF(OR($D$24&lt;=0,CP$34=""),"",OFFSET(Outputs!$D81,MATCH($D$25,Outputs!$D$75:$D$97,0)-1,MATCH(CP$34,FY,0)-1))</f>
        <v/>
      </c>
      <c r="CQ38" s="26" t="str">
        <f ca="1">IF(OR($D$24&lt;=0,CQ$34=""),"",OFFSET(Outputs!$D81,MATCH($D$25,Outputs!$D$75:$D$97,0)-1,MATCH(CQ$34,FY,0)-1))</f>
        <v/>
      </c>
    </row>
    <row r="39" spans="3:95" x14ac:dyDescent="0.3">
      <c r="D39" s="6" t="str">
        <f>Lookups!C9</f>
        <v>In-Service</v>
      </c>
      <c r="F39" s="26">
        <f ca="1">IF(OR($D$24&lt;=0,F$34=""),"",OFFSET(Outputs!$D82,MATCH($D$25,Outputs!$D$75:$D$97,0)-1,MATCH(F$34,FY,0)-1))</f>
        <v>0</v>
      </c>
      <c r="G39" s="26">
        <f ca="1">IF(OR($D$24&lt;=0,G$34=""),"",OFFSET(Outputs!$D82,MATCH($D$25,Outputs!$D$75:$D$97,0)-1,MATCH(G$34,FY,0)-1))</f>
        <v>0</v>
      </c>
      <c r="H39" s="26">
        <f ca="1">IF(OR($D$24&lt;=0,H$34=""),"",OFFSET(Outputs!$D82,MATCH($D$25,Outputs!$D$75:$D$97,0)-1,MATCH(H$34,FY,0)-1))</f>
        <v>0</v>
      </c>
      <c r="I39" s="26">
        <f ca="1">IF(OR($D$24&lt;=0,I$34=""),"",OFFSET(Outputs!$D82,MATCH($D$25,Outputs!$D$75:$D$97,0)-1,MATCH(I$34,FY,0)-1))</f>
        <v>0</v>
      </c>
      <c r="J39" s="26">
        <f ca="1">IF(OR($D$24&lt;=0,J$34=""),"",OFFSET(Outputs!$D82,MATCH($D$25,Outputs!$D$75:$D$97,0)-1,MATCH(J$34,FY,0)-1))</f>
        <v>0</v>
      </c>
      <c r="K39" s="26">
        <f ca="1">IF(OR($D$24&lt;=0,K$34=""),"",OFFSET(Outputs!$D82,MATCH($D$25,Outputs!$D$75:$D$97,0)-1,MATCH(K$34,FY,0)-1))</f>
        <v>0</v>
      </c>
      <c r="L39" s="26">
        <f ca="1">IF(OR($D$24&lt;=0,L$34=""),"",OFFSET(Outputs!$D82,MATCH($D$25,Outputs!$D$75:$D$97,0)-1,MATCH(L$34,FY,0)-1))</f>
        <v>0</v>
      </c>
      <c r="M39" s="26">
        <f ca="1">IF(OR($D$24&lt;=0,M$34=""),"",OFFSET(Outputs!$D82,MATCH($D$25,Outputs!$D$75:$D$97,0)-1,MATCH(M$34,FY,0)-1))</f>
        <v>0</v>
      </c>
      <c r="N39" s="26">
        <f ca="1">IF(OR($D$24&lt;=0,N$34=""),"",OFFSET(Outputs!$D82,MATCH($D$25,Outputs!$D$75:$D$97,0)-1,MATCH(N$34,FY,0)-1))</f>
        <v>0</v>
      </c>
      <c r="O39" s="26">
        <f ca="1">IF(OR($D$24&lt;=0,O$34=""),"",OFFSET(Outputs!$D82,MATCH($D$25,Outputs!$D$75:$D$97,0)-1,MATCH(O$34,FY,0)-1))</f>
        <v>0</v>
      </c>
      <c r="P39" s="26">
        <f ca="1">IF(OR($D$24&lt;=0,P$34=""),"",OFFSET(Outputs!$D82,MATCH($D$25,Outputs!$D$75:$D$97,0)-1,MATCH(P$34,FY,0)-1))</f>
        <v>0</v>
      </c>
      <c r="Q39" s="26">
        <f ca="1">IF(OR($D$24&lt;=0,Q$34=""),"",OFFSET(Outputs!$D82,MATCH($D$25,Outputs!$D$75:$D$97,0)-1,MATCH(Q$34,FY,0)-1))</f>
        <v>0</v>
      </c>
      <c r="R39" s="26">
        <f ca="1">IF(OR($D$24&lt;=0,R$34=""),"",OFFSET(Outputs!$D82,MATCH($D$25,Outputs!$D$75:$D$97,0)-1,MATCH(R$34,FY,0)-1))</f>
        <v>0</v>
      </c>
      <c r="S39" s="26">
        <f ca="1">IF(OR($D$24&lt;=0,S$34=""),"",OFFSET(Outputs!$D82,MATCH($D$25,Outputs!$D$75:$D$97,0)-1,MATCH(S$34,FY,0)-1))</f>
        <v>0</v>
      </c>
      <c r="T39" s="26">
        <f ca="1">IF(OR($D$24&lt;=0,T$34=""),"",OFFSET(Outputs!$D82,MATCH($D$25,Outputs!$D$75:$D$97,0)-1,MATCH(T$34,FY,0)-1))</f>
        <v>0</v>
      </c>
      <c r="U39" s="26">
        <f ca="1">IF(OR($D$24&lt;=0,U$34=""),"",OFFSET(Outputs!$D82,MATCH($D$25,Outputs!$D$75:$D$97,0)-1,MATCH(U$34,FY,0)-1))</f>
        <v>0</v>
      </c>
      <c r="V39" s="26">
        <f ca="1">IF(OR($D$24&lt;=0,V$34=""),"",OFFSET(Outputs!$D82,MATCH($D$25,Outputs!$D$75:$D$97,0)-1,MATCH(V$34,FY,0)-1))</f>
        <v>0</v>
      </c>
      <c r="W39" s="26">
        <f ca="1">IF(OR($D$24&lt;=0,W$34=""),"",OFFSET(Outputs!$D82,MATCH($D$25,Outputs!$D$75:$D$97,0)-1,MATCH(W$34,FY,0)-1))</f>
        <v>0</v>
      </c>
      <c r="X39" s="26">
        <f ca="1">IF(OR($D$24&lt;=0,X$34=""),"",OFFSET(Outputs!$D82,MATCH($D$25,Outputs!$D$75:$D$97,0)-1,MATCH(X$34,FY,0)-1))</f>
        <v>0</v>
      </c>
      <c r="Y39" s="26">
        <f ca="1">IF(OR($D$24&lt;=0,Y$34=""),"",OFFSET(Outputs!$D82,MATCH($D$25,Outputs!$D$75:$D$97,0)-1,MATCH(Y$34,FY,0)-1))</f>
        <v>0</v>
      </c>
      <c r="Z39" s="26">
        <f ca="1">IF(OR($D$24&lt;=0,Z$34=""),"",OFFSET(Outputs!$D82,MATCH($D$25,Outputs!$D$75:$D$97,0)-1,MATCH(Z$34,FY,0)-1))</f>
        <v>0</v>
      </c>
      <c r="AA39" s="26">
        <f ca="1">IF(OR($D$24&lt;=0,AA$34=""),"",OFFSET(Outputs!$D82,MATCH($D$25,Outputs!$D$75:$D$97,0)-1,MATCH(AA$34,FY,0)-1))</f>
        <v>1901.1872499999999</v>
      </c>
      <c r="AB39" s="26">
        <f ca="1">IF(OR($D$24&lt;=0,AB$34=""),"",OFFSET(Outputs!$D82,MATCH($D$25,Outputs!$D$75:$D$97,0)-1,MATCH(AB$34,FY,0)-1))</f>
        <v>0</v>
      </c>
      <c r="AC39" s="26">
        <f ca="1">IF(OR($D$24&lt;=0,AC$34=""),"",OFFSET(Outputs!$D82,MATCH($D$25,Outputs!$D$75:$D$97,0)-1,MATCH(AC$34,FY,0)-1))</f>
        <v>0</v>
      </c>
      <c r="AD39" s="26">
        <f ca="1">IF(OR($D$24&lt;=0,AD$34=""),"",OFFSET(Outputs!$D82,MATCH($D$25,Outputs!$D$75:$D$97,0)-1,MATCH(AD$34,FY,0)-1))</f>
        <v>0</v>
      </c>
      <c r="AE39" s="26">
        <f ca="1">IF(OR($D$24&lt;=0,AE$34=""),"",OFFSET(Outputs!$D82,MATCH($D$25,Outputs!$D$75:$D$97,0)-1,MATCH(AE$34,FY,0)-1))</f>
        <v>0</v>
      </c>
      <c r="AF39" s="26">
        <f ca="1">IF(OR($D$24&lt;=0,AF$34=""),"",OFFSET(Outputs!$D82,MATCH($D$25,Outputs!$D$75:$D$97,0)-1,MATCH(AF$34,FY,0)-1))</f>
        <v>0</v>
      </c>
      <c r="AG39" s="26">
        <f ca="1">IF(OR($D$24&lt;=0,AG$34=""),"",OFFSET(Outputs!$D82,MATCH($D$25,Outputs!$D$75:$D$97,0)-1,MATCH(AG$34,FY,0)-1))</f>
        <v>0</v>
      </c>
      <c r="AH39" s="26">
        <f ca="1">IF(OR($D$24&lt;=0,AH$34=""),"",OFFSET(Outputs!$D82,MATCH($D$25,Outputs!$D$75:$D$97,0)-1,MATCH(AH$34,FY,0)-1))</f>
        <v>0</v>
      </c>
      <c r="AI39" s="26">
        <f ca="1">IF(OR($D$24&lt;=0,AI$34=""),"",OFFSET(Outputs!$D82,MATCH($D$25,Outputs!$D$75:$D$97,0)-1,MATCH(AI$34,FY,0)-1))</f>
        <v>0</v>
      </c>
      <c r="AJ39" s="26">
        <f ca="1">IF(OR($D$24&lt;=0,AJ$34=""),"",OFFSET(Outputs!$D82,MATCH($D$25,Outputs!$D$75:$D$97,0)-1,MATCH(AJ$34,FY,0)-1))</f>
        <v>0</v>
      </c>
      <c r="AK39" s="26">
        <f ca="1">IF(OR($D$24&lt;=0,AK$34=""),"",OFFSET(Outputs!$D82,MATCH($D$25,Outputs!$D$75:$D$97,0)-1,MATCH(AK$34,FY,0)-1))</f>
        <v>0</v>
      </c>
      <c r="AL39" s="26">
        <f ca="1">IF(OR($D$24&lt;=0,AL$34=""),"",OFFSET(Outputs!$D82,MATCH($D$25,Outputs!$D$75:$D$97,0)-1,MATCH(AL$34,FY,0)-1))</f>
        <v>0</v>
      </c>
      <c r="AM39" s="26">
        <f ca="1">IF(OR($D$24&lt;=0,AM$34=""),"",OFFSET(Outputs!$D82,MATCH($D$25,Outputs!$D$75:$D$97,0)-1,MATCH(AM$34,FY,0)-1))</f>
        <v>0</v>
      </c>
      <c r="AN39" s="26">
        <f ca="1">IF(OR($D$24&lt;=0,AN$34=""),"",OFFSET(Outputs!$D82,MATCH($D$25,Outputs!$D$75:$D$97,0)-1,MATCH(AN$34,FY,0)-1))</f>
        <v>0</v>
      </c>
      <c r="AO39" s="26">
        <f ca="1">IF(OR($D$24&lt;=0,AO$34=""),"",OFFSET(Outputs!$D82,MATCH($D$25,Outputs!$D$75:$D$97,0)-1,MATCH(AO$34,FY,0)-1))</f>
        <v>0</v>
      </c>
      <c r="AP39" s="26">
        <f ca="1">IF(OR($D$24&lt;=0,AP$34=""),"",OFFSET(Outputs!$D82,MATCH($D$25,Outputs!$D$75:$D$97,0)-1,MATCH(AP$34,FY,0)-1))</f>
        <v>0</v>
      </c>
      <c r="AQ39" s="26">
        <f ca="1">IF(OR($D$24&lt;=0,AQ$34=""),"",OFFSET(Outputs!$D82,MATCH($D$25,Outputs!$D$75:$D$97,0)-1,MATCH(AQ$34,FY,0)-1))</f>
        <v>0</v>
      </c>
      <c r="AR39" s="26">
        <f ca="1">IF(OR($D$24&lt;=0,AR$34=""),"",OFFSET(Outputs!$D82,MATCH($D$25,Outputs!$D$75:$D$97,0)-1,MATCH(AR$34,FY,0)-1))</f>
        <v>0</v>
      </c>
      <c r="AS39" s="26">
        <f ca="1">IF(OR($D$24&lt;=0,AS$34=""),"",OFFSET(Outputs!$D82,MATCH($D$25,Outputs!$D$75:$D$97,0)-1,MATCH(AS$34,FY,0)-1))</f>
        <v>0</v>
      </c>
      <c r="AT39" s="26">
        <f ca="1">IF(OR($D$24&lt;=0,AT$34=""),"",OFFSET(Outputs!$D82,MATCH($D$25,Outputs!$D$75:$D$97,0)-1,MATCH(AT$34,FY,0)-1))</f>
        <v>0</v>
      </c>
      <c r="AU39" s="26">
        <f ca="1">IF(OR($D$24&lt;=0,AU$34=""),"",OFFSET(Outputs!$D82,MATCH($D$25,Outputs!$D$75:$D$97,0)-1,MATCH(AU$34,FY,0)-1))</f>
        <v>0</v>
      </c>
      <c r="AV39" s="26">
        <f ca="1">IF(OR($D$24&lt;=0,AV$34=""),"",OFFSET(Outputs!$D82,MATCH($D$25,Outputs!$D$75:$D$97,0)-1,MATCH(AV$34,FY,0)-1))</f>
        <v>0</v>
      </c>
      <c r="AW39" s="26">
        <f ca="1">IF(OR($D$24&lt;=0,AW$34=""),"",OFFSET(Outputs!$D82,MATCH($D$25,Outputs!$D$75:$D$97,0)-1,MATCH(AW$34,FY,0)-1))</f>
        <v>0</v>
      </c>
      <c r="AX39" s="26">
        <f ca="1">IF(OR($D$24&lt;=0,AX$34=""),"",OFFSET(Outputs!$D82,MATCH($D$25,Outputs!$D$75:$D$97,0)-1,MATCH(AX$34,FY,0)-1))</f>
        <v>0</v>
      </c>
      <c r="AY39" s="26">
        <f ca="1">IF(OR($D$24&lt;=0,AY$34=""),"",OFFSET(Outputs!$D82,MATCH($D$25,Outputs!$D$75:$D$97,0)-1,MATCH(AY$34,FY,0)-1))</f>
        <v>0</v>
      </c>
      <c r="AZ39" s="26">
        <f ca="1">IF(OR($D$24&lt;=0,AZ$34=""),"",OFFSET(Outputs!$D82,MATCH($D$25,Outputs!$D$75:$D$97,0)-1,MATCH(AZ$34,FY,0)-1))</f>
        <v>0</v>
      </c>
      <c r="BA39" s="26">
        <f ca="1">IF(OR($D$24&lt;=0,BA$34=""),"",OFFSET(Outputs!$D82,MATCH($D$25,Outputs!$D$75:$D$97,0)-1,MATCH(BA$34,FY,0)-1))</f>
        <v>0</v>
      </c>
      <c r="BB39" s="26">
        <f ca="1">IF(OR($D$24&lt;=0,BB$34=""),"",OFFSET(Outputs!$D82,MATCH($D$25,Outputs!$D$75:$D$97,0)-1,MATCH(BB$34,FY,0)-1))</f>
        <v>0</v>
      </c>
      <c r="BC39" s="26">
        <f ca="1">IF(OR($D$24&lt;=0,BC$34=""),"",OFFSET(Outputs!$D82,MATCH($D$25,Outputs!$D$75:$D$97,0)-1,MATCH(BC$34,FY,0)-1))</f>
        <v>0</v>
      </c>
      <c r="BD39" s="26">
        <f ca="1">IF(OR($D$24&lt;=0,BD$34=""),"",OFFSET(Outputs!$D82,MATCH($D$25,Outputs!$D$75:$D$97,0)-1,MATCH(BD$34,FY,0)-1))</f>
        <v>0</v>
      </c>
      <c r="BE39" s="26">
        <f ca="1">IF(OR($D$24&lt;=0,BE$34=""),"",OFFSET(Outputs!$D82,MATCH($D$25,Outputs!$D$75:$D$97,0)-1,MATCH(BE$34,FY,0)-1))</f>
        <v>0</v>
      </c>
      <c r="BF39" s="26">
        <f ca="1">IF(OR($D$24&lt;=0,BF$34=""),"",OFFSET(Outputs!$D82,MATCH($D$25,Outputs!$D$75:$D$97,0)-1,MATCH(BF$34,FY,0)-1))</f>
        <v>0</v>
      </c>
      <c r="BG39" s="26">
        <f ca="1">IF(OR($D$24&lt;=0,BG$34=""),"",OFFSET(Outputs!$D82,MATCH($D$25,Outputs!$D$75:$D$97,0)-1,MATCH(BG$34,FY,0)-1))</f>
        <v>0</v>
      </c>
      <c r="BH39" s="26">
        <f ca="1">IF(OR($D$24&lt;=0,BH$34=""),"",OFFSET(Outputs!$D82,MATCH($D$25,Outputs!$D$75:$D$97,0)-1,MATCH(BH$34,FY,0)-1))</f>
        <v>0</v>
      </c>
      <c r="BI39" s="26">
        <f ca="1">IF(OR($D$24&lt;=0,BI$34=""),"",OFFSET(Outputs!$D82,MATCH($D$25,Outputs!$D$75:$D$97,0)-1,MATCH(BI$34,FY,0)-1))</f>
        <v>0</v>
      </c>
      <c r="BJ39" s="26">
        <f ca="1">IF(OR($D$24&lt;=0,BJ$34=""),"",OFFSET(Outputs!$D82,MATCH($D$25,Outputs!$D$75:$D$97,0)-1,MATCH(BJ$34,FY,0)-1))</f>
        <v>0</v>
      </c>
      <c r="BK39" s="26">
        <f ca="1">IF(OR($D$24&lt;=0,BK$34=""),"",OFFSET(Outputs!$D82,MATCH($D$25,Outputs!$D$75:$D$97,0)-1,MATCH(BK$34,FY,0)-1))</f>
        <v>0</v>
      </c>
      <c r="BL39" s="26">
        <f ca="1">IF(OR($D$24&lt;=0,BL$34=""),"",OFFSET(Outputs!$D82,MATCH($D$25,Outputs!$D$75:$D$97,0)-1,MATCH(BL$34,FY,0)-1))</f>
        <v>0</v>
      </c>
      <c r="BM39" s="26">
        <f ca="1">IF(OR($D$24&lt;=0,BM$34=""),"",OFFSET(Outputs!$D82,MATCH($D$25,Outputs!$D$75:$D$97,0)-1,MATCH(BM$34,FY,0)-1))</f>
        <v>0</v>
      </c>
      <c r="BN39" s="26">
        <f ca="1">IF(OR($D$24&lt;=0,BN$34=""),"",OFFSET(Outputs!$D82,MATCH($D$25,Outputs!$D$75:$D$97,0)-1,MATCH(BN$34,FY,0)-1))</f>
        <v>0</v>
      </c>
      <c r="BO39" s="26">
        <f ca="1">IF(OR($D$24&lt;=0,BO$34=""),"",OFFSET(Outputs!$D82,MATCH($D$25,Outputs!$D$75:$D$97,0)-1,MATCH(BO$34,FY,0)-1))</f>
        <v>0</v>
      </c>
      <c r="BP39" s="26">
        <f ca="1">IF(OR($D$24&lt;=0,BP$34=""),"",OFFSET(Outputs!$D82,MATCH($D$25,Outputs!$D$75:$D$97,0)-1,MATCH(BP$34,FY,0)-1))</f>
        <v>0</v>
      </c>
      <c r="BQ39" s="26">
        <f ca="1">IF(OR($D$24&lt;=0,BQ$34=""),"",OFFSET(Outputs!$D82,MATCH($D$25,Outputs!$D$75:$D$97,0)-1,MATCH(BQ$34,FY,0)-1))</f>
        <v>0</v>
      </c>
      <c r="BR39" s="26">
        <f ca="1">IF(OR($D$24&lt;=0,BR$34=""),"",OFFSET(Outputs!$D82,MATCH($D$25,Outputs!$D$75:$D$97,0)-1,MATCH(BR$34,FY,0)-1))</f>
        <v>0</v>
      </c>
      <c r="BS39" s="26">
        <f ca="1">IF(OR($D$24&lt;=0,BS$34=""),"",OFFSET(Outputs!$D82,MATCH($D$25,Outputs!$D$75:$D$97,0)-1,MATCH(BS$34,FY,0)-1))</f>
        <v>0</v>
      </c>
      <c r="BT39" s="26">
        <f ca="1">IF(OR($D$24&lt;=0,BT$34=""),"",OFFSET(Outputs!$D82,MATCH($D$25,Outputs!$D$75:$D$97,0)-1,MATCH(BT$34,FY,0)-1))</f>
        <v>0</v>
      </c>
      <c r="BU39" s="26">
        <f ca="1">IF(OR($D$24&lt;=0,BU$34=""),"",OFFSET(Outputs!$D82,MATCH($D$25,Outputs!$D$75:$D$97,0)-1,MATCH(BU$34,FY,0)-1))</f>
        <v>0</v>
      </c>
      <c r="BV39" s="26">
        <f ca="1">IF(OR($D$24&lt;=0,BV$34=""),"",OFFSET(Outputs!$D82,MATCH($D$25,Outputs!$D$75:$D$97,0)-1,MATCH(BV$34,FY,0)-1))</f>
        <v>0</v>
      </c>
      <c r="BW39" s="26" t="str">
        <f ca="1">IF(OR($D$24&lt;=0,BW$34=""),"",OFFSET(Outputs!$D82,MATCH($D$25,Outputs!$D$75:$D$97,0)-1,MATCH(BW$34,FY,0)-1))</f>
        <v/>
      </c>
      <c r="BX39" s="26" t="str">
        <f ca="1">IF(OR($D$24&lt;=0,BX$34=""),"",OFFSET(Outputs!$D82,MATCH($D$25,Outputs!$D$75:$D$97,0)-1,MATCH(BX$34,FY,0)-1))</f>
        <v/>
      </c>
      <c r="BY39" s="26" t="str">
        <f ca="1">IF(OR($D$24&lt;=0,BY$34=""),"",OFFSET(Outputs!$D82,MATCH($D$25,Outputs!$D$75:$D$97,0)-1,MATCH(BY$34,FY,0)-1))</f>
        <v/>
      </c>
      <c r="BZ39" s="26" t="str">
        <f ca="1">IF(OR($D$24&lt;=0,BZ$34=""),"",OFFSET(Outputs!$D82,MATCH($D$25,Outputs!$D$75:$D$97,0)-1,MATCH(BZ$34,FY,0)-1))</f>
        <v/>
      </c>
      <c r="CA39" s="26" t="str">
        <f ca="1">IF(OR($D$24&lt;=0,CA$34=""),"",OFFSET(Outputs!$D82,MATCH($D$25,Outputs!$D$75:$D$97,0)-1,MATCH(CA$34,FY,0)-1))</f>
        <v/>
      </c>
      <c r="CB39" s="26" t="str">
        <f ca="1">IF(OR($D$24&lt;=0,CB$34=""),"",OFFSET(Outputs!$D82,MATCH($D$25,Outputs!$D$75:$D$97,0)-1,MATCH(CB$34,FY,0)-1))</f>
        <v/>
      </c>
      <c r="CC39" s="26" t="str">
        <f ca="1">IF(OR($D$24&lt;=0,CC$34=""),"",OFFSET(Outputs!$D82,MATCH($D$25,Outputs!$D$75:$D$97,0)-1,MATCH(CC$34,FY,0)-1))</f>
        <v/>
      </c>
      <c r="CD39" s="26" t="str">
        <f ca="1">IF(OR($D$24&lt;=0,CD$34=""),"",OFFSET(Outputs!$D82,MATCH($D$25,Outputs!$D$75:$D$97,0)-1,MATCH(CD$34,FY,0)-1))</f>
        <v/>
      </c>
      <c r="CE39" s="26" t="str">
        <f ca="1">IF(OR($D$24&lt;=0,CE$34=""),"",OFFSET(Outputs!$D82,MATCH($D$25,Outputs!$D$75:$D$97,0)-1,MATCH(CE$34,FY,0)-1))</f>
        <v/>
      </c>
      <c r="CF39" s="26" t="str">
        <f ca="1">IF(OR($D$24&lt;=0,CF$34=""),"",OFFSET(Outputs!$D82,MATCH($D$25,Outputs!$D$75:$D$97,0)-1,MATCH(CF$34,FY,0)-1))</f>
        <v/>
      </c>
      <c r="CG39" s="26" t="str">
        <f ca="1">IF(OR($D$24&lt;=0,CG$34=""),"",OFFSET(Outputs!$D82,MATCH($D$25,Outputs!$D$75:$D$97,0)-1,MATCH(CG$34,FY,0)-1))</f>
        <v/>
      </c>
      <c r="CH39" s="26" t="str">
        <f ca="1">IF(OR($D$24&lt;=0,CH$34=""),"",OFFSET(Outputs!$D82,MATCH($D$25,Outputs!$D$75:$D$97,0)-1,MATCH(CH$34,FY,0)-1))</f>
        <v/>
      </c>
      <c r="CI39" s="26" t="str">
        <f ca="1">IF(OR($D$24&lt;=0,CI$34=""),"",OFFSET(Outputs!$D82,MATCH($D$25,Outputs!$D$75:$D$97,0)-1,MATCH(CI$34,FY,0)-1))</f>
        <v/>
      </c>
      <c r="CJ39" s="26" t="str">
        <f ca="1">IF(OR($D$24&lt;=0,CJ$34=""),"",OFFSET(Outputs!$D82,MATCH($D$25,Outputs!$D$75:$D$97,0)-1,MATCH(CJ$34,FY,0)-1))</f>
        <v/>
      </c>
      <c r="CK39" s="26" t="str">
        <f ca="1">IF(OR($D$24&lt;=0,CK$34=""),"",OFFSET(Outputs!$D82,MATCH($D$25,Outputs!$D$75:$D$97,0)-1,MATCH(CK$34,FY,0)-1))</f>
        <v/>
      </c>
      <c r="CL39" s="26" t="str">
        <f ca="1">IF(OR($D$24&lt;=0,CL$34=""),"",OFFSET(Outputs!$D82,MATCH($D$25,Outputs!$D$75:$D$97,0)-1,MATCH(CL$34,FY,0)-1))</f>
        <v/>
      </c>
      <c r="CM39" s="26" t="str">
        <f ca="1">IF(OR($D$24&lt;=0,CM$34=""),"",OFFSET(Outputs!$D82,MATCH($D$25,Outputs!$D$75:$D$97,0)-1,MATCH(CM$34,FY,0)-1))</f>
        <v/>
      </c>
      <c r="CN39" s="26" t="str">
        <f ca="1">IF(OR($D$24&lt;=0,CN$34=""),"",OFFSET(Outputs!$D82,MATCH($D$25,Outputs!$D$75:$D$97,0)-1,MATCH(CN$34,FY,0)-1))</f>
        <v/>
      </c>
      <c r="CO39" s="26" t="str">
        <f ca="1">IF(OR($D$24&lt;=0,CO$34=""),"",OFFSET(Outputs!$D82,MATCH($D$25,Outputs!$D$75:$D$97,0)-1,MATCH(CO$34,FY,0)-1))</f>
        <v/>
      </c>
      <c r="CP39" s="26" t="str">
        <f ca="1">IF(OR($D$24&lt;=0,CP$34=""),"",OFFSET(Outputs!$D82,MATCH($D$25,Outputs!$D$75:$D$97,0)-1,MATCH(CP$34,FY,0)-1))</f>
        <v/>
      </c>
      <c r="CQ39" s="26" t="str">
        <f ca="1">IF(OR($D$24&lt;=0,CQ$34=""),"",OFFSET(Outputs!$D82,MATCH($D$25,Outputs!$D$75:$D$97,0)-1,MATCH(CQ$34,FY,0)-1))</f>
        <v/>
      </c>
    </row>
    <row r="41" spans="3:95" ht="18" x14ac:dyDescent="0.35">
      <c r="C41" s="2" t="s">
        <v>139</v>
      </c>
    </row>
    <row r="44" spans="3:95" x14ac:dyDescent="0.3">
      <c r="C44" s="6" t="s">
        <v>94</v>
      </c>
      <c r="D44" s="50">
        <v>0.5</v>
      </c>
    </row>
    <row r="46" spans="3:95" x14ac:dyDescent="0.3">
      <c r="F46" s="11" t="s">
        <v>61</v>
      </c>
      <c r="G46" s="11" t="s">
        <v>62</v>
      </c>
      <c r="H46" s="11" t="s">
        <v>53</v>
      </c>
    </row>
    <row r="47" spans="3:95" x14ac:dyDescent="0.3">
      <c r="D47" s="61" t="str">
        <f>Lookups!C5</f>
        <v>Concept</v>
      </c>
      <c r="F47" s="55">
        <f ca="1">OFFSET(Outputs!D23,0,MATCH($D$44,Outputs!$D$20:$R$20,0)-1)</f>
        <v>19471.293550000002</v>
      </c>
      <c r="G47" s="55">
        <f ca="1">OFFSET(Outputs!E23,0,MATCH($D$44,Outputs!$D$20:$R$20,0)-1)</f>
        <v>23365.552299999999</v>
      </c>
      <c r="H47" s="55">
        <f ca="1">OFFSET(Outputs!F23,0,MATCH($D$44,Outputs!$D$20:$R$20,0)-1)</f>
        <v>6750.7270499999995</v>
      </c>
    </row>
    <row r="48" spans="3:95" x14ac:dyDescent="0.3">
      <c r="D48" s="61" t="str">
        <f>Lookups!C6</f>
        <v>Assessment</v>
      </c>
      <c r="F48" s="55">
        <f ca="1">OFFSET(Outputs!D24,0,MATCH($D$44,Outputs!$D$20:$R$20,0)-1)</f>
        <v>46153.698600000003</v>
      </c>
      <c r="G48" s="55">
        <f ca="1">OFFSET(Outputs!E24,0,MATCH($D$44,Outputs!$D$20:$R$20,0)-1)</f>
        <v>55384.438299999994</v>
      </c>
      <c r="H48" s="55">
        <f ca="1">OFFSET(Outputs!F24,0,MATCH($D$44,Outputs!$D$20:$R$20,0)-1)</f>
        <v>15889.644349999999</v>
      </c>
    </row>
    <row r="49" spans="3:8" x14ac:dyDescent="0.3">
      <c r="D49" s="61" t="str">
        <f>Lookups!C7</f>
        <v>Design</v>
      </c>
      <c r="F49" s="55">
        <f ca="1">OFFSET(Outputs!D25,0,MATCH($D$44,Outputs!$D$20:$R$20,0)-1)</f>
        <v>67369.52665</v>
      </c>
      <c r="G49" s="55">
        <f ca="1">OFFSET(Outputs!E25,0,MATCH($D$44,Outputs!$D$20:$R$20,0)-1)</f>
        <v>80843.431949999998</v>
      </c>
      <c r="H49" s="55">
        <f ca="1">OFFSET(Outputs!F25,0,MATCH($D$44,Outputs!$D$20:$R$20,0)-1)</f>
        <v>23136.019350000002</v>
      </c>
    </row>
    <row r="50" spans="3:8" x14ac:dyDescent="0.3">
      <c r="D50" s="61" t="str">
        <f>Lookups!C8</f>
        <v>Manufacture</v>
      </c>
      <c r="F50" s="55">
        <f ca="1">OFFSET(Outputs!D26,0,MATCH($D$44,Outputs!$D$20:$R$20,0)-1)</f>
        <v>2000</v>
      </c>
      <c r="G50" s="55">
        <f ca="1">OFFSET(Outputs!E26,0,MATCH($D$44,Outputs!$D$20:$R$20,0)-1)</f>
        <v>2400</v>
      </c>
      <c r="H50" s="55">
        <f ca="1">OFFSET(Outputs!F26,0,MATCH($D$44,Outputs!$D$20:$R$20,0)-1)</f>
        <v>646.64239999999995</v>
      </c>
    </row>
    <row r="51" spans="3:8" x14ac:dyDescent="0.3">
      <c r="D51" s="61" t="str">
        <f>Lookups!C9</f>
        <v>In-Service</v>
      </c>
      <c r="F51" s="55">
        <f ca="1">OFFSET(Outputs!D27,0,MATCH($D$44,Outputs!$D$20:$R$20,0)-1)</f>
        <v>1584.3227000000002</v>
      </c>
      <c r="G51" s="55">
        <f ca="1">OFFSET(Outputs!E27,0,MATCH($D$44,Outputs!$D$20:$R$20,0)-1)</f>
        <v>1901.1872499999999</v>
      </c>
      <c r="H51" s="55">
        <f ca="1">OFFSET(Outputs!F27,0,MATCH($D$44,Outputs!$D$20:$R$20,0)-1)</f>
        <v>483.79544999999996</v>
      </c>
    </row>
    <row r="52" spans="3:8" x14ac:dyDescent="0.3">
      <c r="F52" s="54"/>
      <c r="G52" s="54"/>
      <c r="H52" s="54"/>
    </row>
    <row r="53" spans="3:8" x14ac:dyDescent="0.3">
      <c r="D53" s="6" t="s">
        <v>65</v>
      </c>
      <c r="F53" s="31">
        <f ca="1">SUM(F47:F51)</f>
        <v>136578.84150000001</v>
      </c>
      <c r="G53" s="31">
        <f t="shared" ref="G53:H53" ca="1" si="0">SUM(G47:G51)</f>
        <v>163894.60979999998</v>
      </c>
      <c r="H53" s="31">
        <f t="shared" ca="1" si="0"/>
        <v>46906.828599999993</v>
      </c>
    </row>
    <row r="55" spans="3:8" ht="18" x14ac:dyDescent="0.35">
      <c r="C55" s="2" t="s">
        <v>140</v>
      </c>
    </row>
    <row r="58" spans="3:8" x14ac:dyDescent="0.3">
      <c r="C58" s="6" t="s">
        <v>94</v>
      </c>
      <c r="D58" s="50">
        <v>0.5</v>
      </c>
    </row>
    <row r="60" spans="3:8" x14ac:dyDescent="0.3">
      <c r="F60" s="11" t="s">
        <v>61</v>
      </c>
      <c r="G60" s="11" t="s">
        <v>62</v>
      </c>
      <c r="H60" s="11" t="s">
        <v>53</v>
      </c>
    </row>
    <row r="61" spans="3:8" x14ac:dyDescent="0.3">
      <c r="D61" s="61" t="str">
        <f>Lookups!G5</f>
        <v>Training</v>
      </c>
      <c r="F61" s="55">
        <f ca="1">OFFSET(Outputs!D51,0,MATCH($D$58,Outputs!$D$20:$R$20,0)-1)</f>
        <v>66938.093800000002</v>
      </c>
      <c r="G61" s="55">
        <f ca="1">OFFSET(Outputs!E51,0,MATCH($D$58,Outputs!$D$20:$R$20,0)-1)</f>
        <v>80325.712549999997</v>
      </c>
      <c r="H61" s="55">
        <f ca="1">OFFSET(Outputs!F51,0,MATCH($D$58,Outputs!$D$20:$R$20,0)-1)</f>
        <v>23053.33555</v>
      </c>
    </row>
    <row r="62" spans="3:8" x14ac:dyDescent="0.3">
      <c r="D62" s="61" t="str">
        <f>Lookups!G6</f>
        <v>Equipment</v>
      </c>
      <c r="F62" s="55">
        <f ca="1">OFFSET(Outputs!D52,0,MATCH($D$58,Outputs!$D$20:$R$20,0)-1)</f>
        <v>2000</v>
      </c>
      <c r="G62" s="55">
        <f ca="1">OFFSET(Outputs!E52,0,MATCH($D$58,Outputs!$D$20:$R$20,0)-1)</f>
        <v>2400</v>
      </c>
      <c r="H62" s="55">
        <f ca="1">OFFSET(Outputs!F52,0,MATCH($D$58,Outputs!$D$20:$R$20,0)-1)</f>
        <v>724.93010000000004</v>
      </c>
    </row>
    <row r="63" spans="3:8" x14ac:dyDescent="0.3">
      <c r="D63" s="61" t="str">
        <f>Lookups!G7</f>
        <v>Personnel</v>
      </c>
      <c r="F63" s="55">
        <f ca="1">OFFSET(Outputs!D53,0,MATCH($D$58,Outputs!$D$20:$R$20,0)-1)</f>
        <v>2000</v>
      </c>
      <c r="G63" s="55">
        <f ca="1">OFFSET(Outputs!E53,0,MATCH($D$58,Outputs!$D$20:$R$20,0)-1)</f>
        <v>2400</v>
      </c>
      <c r="H63" s="55">
        <f ca="1">OFFSET(Outputs!F53,0,MATCH($D$58,Outputs!$D$20:$R$20,0)-1)</f>
        <v>724.93010000000004</v>
      </c>
    </row>
    <row r="64" spans="3:8" x14ac:dyDescent="0.3">
      <c r="D64" s="61" t="str">
        <f>Lookups!G8</f>
        <v>Information</v>
      </c>
      <c r="F64" s="55">
        <f ca="1">OFFSET(Outputs!D54,0,MATCH($D$58,Outputs!$D$20:$R$20,0)-1)</f>
        <v>2000</v>
      </c>
      <c r="G64" s="55">
        <f ca="1">OFFSET(Outputs!E54,0,MATCH($D$58,Outputs!$D$20:$R$20,0)-1)</f>
        <v>2400</v>
      </c>
      <c r="H64" s="55">
        <f ca="1">OFFSET(Outputs!F54,0,MATCH($D$58,Outputs!$D$20:$R$20,0)-1)</f>
        <v>724.93010000000004</v>
      </c>
    </row>
    <row r="65" spans="4:8" x14ac:dyDescent="0.3">
      <c r="D65" s="61" t="str">
        <f>Lookups!G9</f>
        <v>Concepts and Doctrine</v>
      </c>
      <c r="F65" s="55">
        <f ca="1">OFFSET(Outputs!D55,0,MATCH($D$58,Outputs!$D$20:$R$20,0)-1)</f>
        <v>1584.3227000000002</v>
      </c>
      <c r="G65" s="55">
        <f ca="1">OFFSET(Outputs!E55,0,MATCH($D$58,Outputs!$D$20:$R$20,0)-1)</f>
        <v>1901.1872499999999</v>
      </c>
      <c r="H65" s="55">
        <f ca="1">OFFSET(Outputs!F55,0,MATCH($D$58,Outputs!$D$20:$R$20,0)-1)</f>
        <v>483.79544999999996</v>
      </c>
    </row>
    <row r="66" spans="4:8" x14ac:dyDescent="0.3">
      <c r="D66" s="61" t="str">
        <f>Lookups!G10</f>
        <v>Organisation</v>
      </c>
      <c r="F66" s="55">
        <f ca="1">OFFSET(Outputs!D56,0,MATCH($D$58,Outputs!$D$20:$R$20,0)-1)</f>
        <v>9886.0418500000014</v>
      </c>
      <c r="G66" s="55">
        <f ca="1">OFFSET(Outputs!E56,0,MATCH($D$58,Outputs!$D$20:$R$20,0)-1)</f>
        <v>11863.250250000001</v>
      </c>
      <c r="H66" s="55">
        <f ca="1">OFFSET(Outputs!F56,0,MATCH($D$58,Outputs!$D$20:$R$20,0)-1)</f>
        <v>3395.3894</v>
      </c>
    </row>
    <row r="67" spans="4:8" x14ac:dyDescent="0.3">
      <c r="D67" s="61" t="str">
        <f>Lookups!G11</f>
        <v>Infrastructure</v>
      </c>
      <c r="F67" s="55">
        <f ca="1">OFFSET(Outputs!D57,0,MATCH($D$58,Outputs!$D$20:$R$20,0)-1)</f>
        <v>17902.7264</v>
      </c>
      <c r="G67" s="55">
        <f ca="1">OFFSET(Outputs!E57,0,MATCH($D$58,Outputs!$D$20:$R$20,0)-1)</f>
        <v>21483.271700000001</v>
      </c>
      <c r="H67" s="55">
        <f ca="1">OFFSET(Outputs!F57,0,MATCH($D$58,Outputs!$D$20:$R$20,0)-1)</f>
        <v>6148.7426500000001</v>
      </c>
    </row>
    <row r="68" spans="4:8" x14ac:dyDescent="0.3">
      <c r="D68" s="61" t="str">
        <f>Lookups!G12</f>
        <v>Logistics</v>
      </c>
      <c r="F68" s="55">
        <f ca="1">OFFSET(Outputs!D58,0,MATCH($D$58,Outputs!$D$20:$R$20,0)-1)</f>
        <v>34285.972450000001</v>
      </c>
      <c r="G68" s="55">
        <f ca="1">OFFSET(Outputs!E58,0,MATCH($D$58,Outputs!$D$20:$R$20,0)-1)</f>
        <v>41143.166849999994</v>
      </c>
      <c r="H68" s="55">
        <f ca="1">OFFSET(Outputs!F58,0,MATCH($D$58,Outputs!$D$20:$R$20,0)-1)</f>
        <v>11775.615449999999</v>
      </c>
    </row>
    <row r="69" spans="4:8" x14ac:dyDescent="0.3">
      <c r="F69" s="54"/>
      <c r="G69" s="54"/>
      <c r="H69" s="54"/>
    </row>
    <row r="70" spans="4:8" x14ac:dyDescent="0.3">
      <c r="D70" s="6" t="s">
        <v>65</v>
      </c>
      <c r="F70" s="31">
        <f ca="1">SUM(F61:F65)</f>
        <v>74522.416500000007</v>
      </c>
      <c r="G70" s="31">
        <f t="shared" ref="G70:H70" ca="1" si="1">SUM(G61:G65)</f>
        <v>89426.899799999999</v>
      </c>
      <c r="H70" s="31">
        <f t="shared" ca="1" si="1"/>
        <v>25711.921300000005</v>
      </c>
    </row>
  </sheetData>
  <conditionalFormatting sqref="A1">
    <cfRule type="cellIs" dxfId="1" priority="2" operator="equal">
      <formula>1</formula>
    </cfRule>
  </conditionalFormatting>
  <conditionalFormatting sqref="D1">
    <cfRule type="cellIs" dxfId="0" priority="1" operator="equal">
      <formula>"Error"</formula>
    </cfRule>
  </conditionalFormatting>
  <dataValidations count="2">
    <dataValidation type="list" allowBlank="1" showInputMessage="1" showErrorMessage="1" sqref="D25 D8 D44 D58">
      <formula1>Percentile_Output</formula1>
    </dataValidation>
    <dataValidation type="list" allowBlank="1" showInputMessage="1" showErrorMessage="1" sqref="D5:D6 D22:D23">
      <formula1>FY</formula1>
    </dataValidation>
  </dataValidations>
  <pageMargins left="0.7" right="0.7" top="0.75" bottom="0.75" header="0.3" footer="0.3"/>
  <pageSetup paperSize="9" orientation="portrait"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79998168889431442"/>
  </sheetPr>
  <dimension ref="C3:U61"/>
  <sheetViews>
    <sheetView showGridLines="0" workbookViewId="0"/>
  </sheetViews>
  <sheetFormatPr defaultRowHeight="14.4" x14ac:dyDescent="0.3"/>
  <cols>
    <col min="1" max="2" width="2.77734375" customWidth="1"/>
    <col min="3" max="3" width="13.21875" bestFit="1" customWidth="1"/>
    <col min="5" max="5" width="14.6640625" bestFit="1" customWidth="1"/>
    <col min="6" max="6" width="9.33203125" bestFit="1" customWidth="1"/>
    <col min="7" max="7" width="10.109375" bestFit="1" customWidth="1"/>
    <col min="8" max="8" width="2.77734375" customWidth="1"/>
    <col min="19" max="19" width="2.6640625" customWidth="1"/>
    <col min="21" max="21" width="12.33203125" bestFit="1" customWidth="1"/>
  </cols>
  <sheetData>
    <row r="3" spans="3:21" ht="21" x14ac:dyDescent="0.4">
      <c r="C3" s="3" t="s">
        <v>162</v>
      </c>
    </row>
    <row r="4" spans="3:21" x14ac:dyDescent="0.3">
      <c r="C4" s="67" t="s">
        <v>163</v>
      </c>
    </row>
    <row r="6" spans="3:21" x14ac:dyDescent="0.3">
      <c r="C6" s="6" t="s">
        <v>156</v>
      </c>
      <c r="D6" s="18" t="e">
        <f>(3.5*STDEV(#REF!))/Iterations^(1/3)</f>
        <v>#REF!</v>
      </c>
    </row>
    <row r="7" spans="3:21" x14ac:dyDescent="0.3">
      <c r="C7" s="6" t="s">
        <v>155</v>
      </c>
      <c r="D7" s="18" t="e">
        <f>ROUNDUP((MAX(#REF!)-MIN(#REF!))/D6,0)</f>
        <v>#REF!</v>
      </c>
    </row>
    <row r="10" spans="3:21" x14ac:dyDescent="0.3">
      <c r="C10" s="6" t="s">
        <v>157</v>
      </c>
      <c r="D10" s="6" t="s">
        <v>158</v>
      </c>
      <c r="E10" s="6" t="s">
        <v>160</v>
      </c>
      <c r="F10" s="6" t="s">
        <v>159</v>
      </c>
      <c r="G10" s="6" t="s">
        <v>161</v>
      </c>
      <c r="T10" s="6" t="s">
        <v>94</v>
      </c>
      <c r="U10" s="6" t="s">
        <v>164</v>
      </c>
    </row>
    <row r="11" spans="3:21" x14ac:dyDescent="0.3">
      <c r="C11" s="18" t="e">
        <f>MIN(#REF!)</f>
        <v>#REF!</v>
      </c>
      <c r="D11" s="18" t="e">
        <f>C11+$D$6</f>
        <v>#REF!</v>
      </c>
      <c r="E11" s="18" t="e">
        <f>ROUND(C11,0)&amp;" - "&amp;ROUND(D11,0)</f>
        <v>#REF!</v>
      </c>
      <c r="F11" s="18" t="e">
        <f>IF(COUNTA($C$11:C11)&gt;$D$7,"",COUNTIFS(#REF!,"&gt;="&amp;C11,#REF!,"&lt;"&amp;D11))</f>
        <v>#REF!</v>
      </c>
      <c r="G11" s="66" t="e">
        <f>IF(COUNTA($C$11:C11)&gt;$D$7,"",SUM($F$11:F11)/Iterations)</f>
        <v>#REF!</v>
      </c>
      <c r="T11" s="73">
        <v>0</v>
      </c>
      <c r="U11" s="74" t="e">
        <f>PERCENTILE(#REF!,Histogram!T11)</f>
        <v>#REF!</v>
      </c>
    </row>
    <row r="12" spans="3:21" x14ac:dyDescent="0.3">
      <c r="C12" s="18" t="e">
        <f>D11</f>
        <v>#REF!</v>
      </c>
      <c r="D12" s="18" t="e">
        <f>C12+$D$6</f>
        <v>#REF!</v>
      </c>
      <c r="E12" s="18" t="e">
        <f t="shared" ref="E12:E61" si="0">ROUND(C12,0)&amp;" - "&amp;ROUND(D12,0)</f>
        <v>#REF!</v>
      </c>
      <c r="F12" s="18" t="e">
        <f>IF(COUNTA($C$11:C12)&gt;$D$7,"",COUNTIFS(#REF!,"&gt;="&amp;C12,#REF!,"&lt;"&amp;D12))</f>
        <v>#REF!</v>
      </c>
      <c r="G12" s="66" t="e">
        <f>IF(COUNTA($C$11:C12)&gt;$D$7,"",SUM($F$11:F12)/Iterations)</f>
        <v>#REF!</v>
      </c>
      <c r="T12" s="73">
        <v>0.1</v>
      </c>
      <c r="U12" s="74" t="e">
        <f>PERCENTILE(#REF!,Histogram!T12)</f>
        <v>#REF!</v>
      </c>
    </row>
    <row r="13" spans="3:21" x14ac:dyDescent="0.3">
      <c r="C13" s="18" t="e">
        <f t="shared" ref="C13:C61" si="1">D12</f>
        <v>#REF!</v>
      </c>
      <c r="D13" s="18" t="e">
        <f t="shared" ref="D13:D61" si="2">C13+$D$6</f>
        <v>#REF!</v>
      </c>
      <c r="E13" s="18" t="e">
        <f t="shared" si="0"/>
        <v>#REF!</v>
      </c>
      <c r="F13" s="18" t="e">
        <f>IF(COUNTA($C$11:C13)&gt;$D$7,"",COUNTIFS(#REF!,"&gt;="&amp;C13,#REF!,"&lt;"&amp;D13))</f>
        <v>#REF!</v>
      </c>
      <c r="G13" s="66" t="e">
        <f>IF(COUNTA($C$11:C13)&gt;$D$7,"",SUM($F$11:F13)/Iterations)</f>
        <v>#REF!</v>
      </c>
      <c r="T13" s="73">
        <v>0.2</v>
      </c>
      <c r="U13" s="74" t="e">
        <f>PERCENTILE(#REF!,Histogram!T13)</f>
        <v>#REF!</v>
      </c>
    </row>
    <row r="14" spans="3:21" x14ac:dyDescent="0.3">
      <c r="C14" s="18" t="e">
        <f t="shared" si="1"/>
        <v>#REF!</v>
      </c>
      <c r="D14" s="18" t="e">
        <f t="shared" si="2"/>
        <v>#REF!</v>
      </c>
      <c r="E14" s="18" t="e">
        <f t="shared" si="0"/>
        <v>#REF!</v>
      </c>
      <c r="F14" s="18" t="e">
        <f>IF(COUNTA($C$11:C14)&gt;$D$7,"",COUNTIFS(#REF!,"&gt;="&amp;C14,#REF!,"&lt;"&amp;D14))</f>
        <v>#REF!</v>
      </c>
      <c r="G14" s="66" t="e">
        <f>IF(COUNTA($C$11:C14)&gt;$D$7,"",SUM($F$11:F14)/Iterations)</f>
        <v>#REF!</v>
      </c>
      <c r="T14" s="73">
        <v>0.3</v>
      </c>
      <c r="U14" s="74" t="e">
        <f>PERCENTILE(#REF!,Histogram!T14)</f>
        <v>#REF!</v>
      </c>
    </row>
    <row r="15" spans="3:21" x14ac:dyDescent="0.3">
      <c r="C15" s="18" t="e">
        <f t="shared" si="1"/>
        <v>#REF!</v>
      </c>
      <c r="D15" s="18" t="e">
        <f t="shared" si="2"/>
        <v>#REF!</v>
      </c>
      <c r="E15" s="18" t="e">
        <f t="shared" si="0"/>
        <v>#REF!</v>
      </c>
      <c r="F15" s="18" t="e">
        <f>IF(COUNTA($C$11:C15)&gt;$D$7,"",COUNTIFS(#REF!,"&gt;="&amp;C15,#REF!,"&lt;"&amp;D15))</f>
        <v>#REF!</v>
      </c>
      <c r="G15" s="66" t="e">
        <f>IF(COUNTA($C$11:C15)&gt;$D$7,"",SUM($F$11:F15)/Iterations)</f>
        <v>#REF!</v>
      </c>
      <c r="T15" s="73">
        <v>0.4</v>
      </c>
      <c r="U15" s="74" t="e">
        <f>PERCENTILE(#REF!,Histogram!T15)</f>
        <v>#REF!</v>
      </c>
    </row>
    <row r="16" spans="3:21" x14ac:dyDescent="0.3">
      <c r="C16" s="18" t="e">
        <f t="shared" si="1"/>
        <v>#REF!</v>
      </c>
      <c r="D16" s="18" t="e">
        <f t="shared" si="2"/>
        <v>#REF!</v>
      </c>
      <c r="E16" s="18" t="e">
        <f t="shared" si="0"/>
        <v>#REF!</v>
      </c>
      <c r="F16" s="18" t="e">
        <f>IF(COUNTA($C$11:C16)&gt;$D$7,"",COUNTIFS(#REF!,"&gt;="&amp;C16,#REF!,"&lt;"&amp;D16))</f>
        <v>#REF!</v>
      </c>
      <c r="G16" s="66" t="e">
        <f>IF(COUNTA($C$11:C16)&gt;$D$7,"",SUM($F$11:F16)/Iterations)</f>
        <v>#REF!</v>
      </c>
      <c r="T16" s="73">
        <v>0.5</v>
      </c>
      <c r="U16" s="74" t="e">
        <f>PERCENTILE(#REF!,Histogram!T16)</f>
        <v>#REF!</v>
      </c>
    </row>
    <row r="17" spans="3:21" x14ac:dyDescent="0.3">
      <c r="C17" s="18" t="e">
        <f t="shared" si="1"/>
        <v>#REF!</v>
      </c>
      <c r="D17" s="18" t="e">
        <f t="shared" si="2"/>
        <v>#REF!</v>
      </c>
      <c r="E17" s="18" t="e">
        <f t="shared" si="0"/>
        <v>#REF!</v>
      </c>
      <c r="F17" s="18" t="e">
        <f>IF(COUNTA($C$11:C17)&gt;$D$7,"",COUNTIFS(#REF!,"&gt;="&amp;C17,#REF!,"&lt;"&amp;D17))</f>
        <v>#REF!</v>
      </c>
      <c r="G17" s="66" t="e">
        <f>IF(COUNTA($C$11:C17)&gt;$D$7,"",SUM($F$11:F17)/Iterations)</f>
        <v>#REF!</v>
      </c>
      <c r="T17" s="73">
        <v>0.6</v>
      </c>
      <c r="U17" s="74" t="e">
        <f>PERCENTILE(#REF!,Histogram!T17)</f>
        <v>#REF!</v>
      </c>
    </row>
    <row r="18" spans="3:21" x14ac:dyDescent="0.3">
      <c r="C18" s="18" t="e">
        <f t="shared" si="1"/>
        <v>#REF!</v>
      </c>
      <c r="D18" s="18" t="e">
        <f t="shared" si="2"/>
        <v>#REF!</v>
      </c>
      <c r="E18" s="18" t="e">
        <f t="shared" si="0"/>
        <v>#REF!</v>
      </c>
      <c r="F18" s="18" t="e">
        <f>IF(COUNTA($C$11:C18)&gt;$D$7,"",COUNTIFS(#REF!,"&gt;="&amp;C18,#REF!,"&lt;"&amp;D18))</f>
        <v>#REF!</v>
      </c>
      <c r="G18" s="66" t="e">
        <f>IF(COUNTA($C$11:C18)&gt;$D$7,"",SUM($F$11:F18)/Iterations)</f>
        <v>#REF!</v>
      </c>
      <c r="T18" s="73">
        <v>0.7</v>
      </c>
      <c r="U18" s="74" t="e">
        <f>PERCENTILE(#REF!,Histogram!T18)</f>
        <v>#REF!</v>
      </c>
    </row>
    <row r="19" spans="3:21" x14ac:dyDescent="0.3">
      <c r="C19" s="18" t="e">
        <f t="shared" si="1"/>
        <v>#REF!</v>
      </c>
      <c r="D19" s="18" t="e">
        <f t="shared" si="2"/>
        <v>#REF!</v>
      </c>
      <c r="E19" s="18" t="e">
        <f t="shared" si="0"/>
        <v>#REF!</v>
      </c>
      <c r="F19" s="18" t="e">
        <f>IF(COUNTA($C$11:C19)&gt;$D$7,"",COUNTIFS(#REF!,"&gt;="&amp;C19,#REF!,"&lt;"&amp;D19))</f>
        <v>#REF!</v>
      </c>
      <c r="G19" s="66" t="e">
        <f>IF(COUNTA($C$11:C19)&gt;$D$7,"",SUM($F$11:F19)/Iterations)</f>
        <v>#REF!</v>
      </c>
      <c r="T19" s="73">
        <v>0.8</v>
      </c>
      <c r="U19" s="74" t="e">
        <f>PERCENTILE(#REF!,Histogram!T19)</f>
        <v>#REF!</v>
      </c>
    </row>
    <row r="20" spans="3:21" x14ac:dyDescent="0.3">
      <c r="C20" s="18" t="e">
        <f t="shared" si="1"/>
        <v>#REF!</v>
      </c>
      <c r="D20" s="18" t="e">
        <f t="shared" si="2"/>
        <v>#REF!</v>
      </c>
      <c r="E20" s="18" t="e">
        <f t="shared" si="0"/>
        <v>#REF!</v>
      </c>
      <c r="F20" s="18" t="e">
        <f>IF(COUNTA($C$11:C20)&gt;$D$7,"",COUNTIFS(#REF!,"&gt;="&amp;C20,#REF!,"&lt;"&amp;D20))</f>
        <v>#REF!</v>
      </c>
      <c r="G20" s="66" t="e">
        <f>IF(COUNTA($C$11:C20)&gt;$D$7,"",SUM($F$11:F20)/Iterations)</f>
        <v>#REF!</v>
      </c>
      <c r="T20" s="73">
        <v>0.9</v>
      </c>
      <c r="U20" s="74" t="e">
        <f>PERCENTILE(#REF!,Histogram!T20)</f>
        <v>#REF!</v>
      </c>
    </row>
    <row r="21" spans="3:21" x14ac:dyDescent="0.3">
      <c r="C21" s="18" t="e">
        <f t="shared" si="1"/>
        <v>#REF!</v>
      </c>
      <c r="D21" s="18" t="e">
        <f t="shared" si="2"/>
        <v>#REF!</v>
      </c>
      <c r="E21" s="18" t="e">
        <f t="shared" si="0"/>
        <v>#REF!</v>
      </c>
      <c r="F21" s="18" t="e">
        <f>IF(COUNTA($C$11:C21)&gt;$D$7,"",COUNTIFS(#REF!,"&gt;="&amp;C21,#REF!,"&lt;"&amp;D21))</f>
        <v>#REF!</v>
      </c>
      <c r="G21" s="66" t="e">
        <f>IF(COUNTA($C$11:C21)&gt;$D$7,"",SUM($F$11:F21)/Iterations)</f>
        <v>#REF!</v>
      </c>
      <c r="T21" s="73">
        <v>1</v>
      </c>
      <c r="U21" s="74" t="e">
        <f>PERCENTILE(#REF!,Histogram!T21)</f>
        <v>#REF!</v>
      </c>
    </row>
    <row r="22" spans="3:21" x14ac:dyDescent="0.3">
      <c r="C22" s="18" t="e">
        <f t="shared" si="1"/>
        <v>#REF!</v>
      </c>
      <c r="D22" s="18" t="e">
        <f t="shared" si="2"/>
        <v>#REF!</v>
      </c>
      <c r="E22" s="18" t="e">
        <f t="shared" si="0"/>
        <v>#REF!</v>
      </c>
      <c r="F22" s="18" t="e">
        <f>IF(COUNTA($C$11:C22)&gt;$D$7,"",COUNTIFS(#REF!,"&gt;="&amp;C22,#REF!,"&lt;"&amp;D22))</f>
        <v>#REF!</v>
      </c>
      <c r="G22" s="66" t="e">
        <f>IF(COUNTA($C$11:C22)&gt;$D$7,"",SUM($F$11:F22)/Iterations)</f>
        <v>#REF!</v>
      </c>
    </row>
    <row r="23" spans="3:21" x14ac:dyDescent="0.3">
      <c r="C23" s="18" t="e">
        <f t="shared" si="1"/>
        <v>#REF!</v>
      </c>
      <c r="D23" s="18" t="e">
        <f t="shared" si="2"/>
        <v>#REF!</v>
      </c>
      <c r="E23" s="18" t="e">
        <f t="shared" si="0"/>
        <v>#REF!</v>
      </c>
      <c r="F23" s="18" t="e">
        <f>IF(COUNTA($C$11:C23)&gt;$D$7,"",COUNTIFS(#REF!,"&gt;="&amp;C23,#REF!,"&lt;"&amp;D23))</f>
        <v>#REF!</v>
      </c>
      <c r="G23" s="66" t="e">
        <f>IF(COUNTA($C$11:C23)&gt;$D$7,"",SUM($F$11:F23)/Iterations)</f>
        <v>#REF!</v>
      </c>
    </row>
    <row r="24" spans="3:21" x14ac:dyDescent="0.3">
      <c r="C24" s="18" t="e">
        <f t="shared" si="1"/>
        <v>#REF!</v>
      </c>
      <c r="D24" s="18" t="e">
        <f t="shared" si="2"/>
        <v>#REF!</v>
      </c>
      <c r="E24" s="18" t="e">
        <f t="shared" si="0"/>
        <v>#REF!</v>
      </c>
      <c r="F24" s="18" t="e">
        <f>IF(COUNTA($C$11:C24)&gt;$D$7,"",COUNTIFS(#REF!,"&gt;="&amp;C24,#REF!,"&lt;"&amp;D24))</f>
        <v>#REF!</v>
      </c>
      <c r="G24" s="66" t="e">
        <f>IF(COUNTA($C$11:C24)&gt;$D$7,"",SUM($F$11:F24)/Iterations)</f>
        <v>#REF!</v>
      </c>
    </row>
    <row r="25" spans="3:21" x14ac:dyDescent="0.3">
      <c r="C25" s="18" t="e">
        <f t="shared" si="1"/>
        <v>#REF!</v>
      </c>
      <c r="D25" s="18" t="e">
        <f t="shared" si="2"/>
        <v>#REF!</v>
      </c>
      <c r="E25" s="18" t="e">
        <f t="shared" si="0"/>
        <v>#REF!</v>
      </c>
      <c r="F25" s="18" t="e">
        <f>IF(COUNTA($C$11:C25)&gt;$D$7,"",COUNTIFS(#REF!,"&gt;="&amp;C25,#REF!,"&lt;"&amp;D25))</f>
        <v>#REF!</v>
      </c>
      <c r="G25" s="66" t="e">
        <f>IF(COUNTA($C$11:C25)&gt;$D$7,"",SUM($F$11:F25)/Iterations)</f>
        <v>#REF!</v>
      </c>
    </row>
    <row r="26" spans="3:21" x14ac:dyDescent="0.3">
      <c r="C26" s="18" t="e">
        <f t="shared" si="1"/>
        <v>#REF!</v>
      </c>
      <c r="D26" s="18" t="e">
        <f t="shared" si="2"/>
        <v>#REF!</v>
      </c>
      <c r="E26" s="18" t="e">
        <f t="shared" si="0"/>
        <v>#REF!</v>
      </c>
      <c r="F26" s="18" t="e">
        <f>IF(COUNTA($C$11:C26)&gt;$D$7,"",COUNTIFS(#REF!,"&gt;="&amp;C26,#REF!,"&lt;"&amp;D26))</f>
        <v>#REF!</v>
      </c>
      <c r="G26" s="66" t="e">
        <f>IF(COUNTA($C$11:C26)&gt;$D$7,"",SUM($F$11:F26)/Iterations)</f>
        <v>#REF!</v>
      </c>
    </row>
    <row r="27" spans="3:21" x14ac:dyDescent="0.3">
      <c r="C27" s="18" t="e">
        <f t="shared" si="1"/>
        <v>#REF!</v>
      </c>
      <c r="D27" s="18" t="e">
        <f t="shared" si="2"/>
        <v>#REF!</v>
      </c>
      <c r="E27" s="18" t="e">
        <f t="shared" si="0"/>
        <v>#REF!</v>
      </c>
      <c r="F27" s="18" t="e">
        <f>IF(COUNTA($C$11:C27)&gt;$D$7,"",COUNTIFS(#REF!,"&gt;="&amp;C27,#REF!,"&lt;"&amp;D27))</f>
        <v>#REF!</v>
      </c>
      <c r="G27" s="66" t="e">
        <f>IF(COUNTA($C$11:C27)&gt;$D$7,"",SUM($F$11:F27)/Iterations)</f>
        <v>#REF!</v>
      </c>
    </row>
    <row r="28" spans="3:21" x14ac:dyDescent="0.3">
      <c r="C28" s="18" t="e">
        <f t="shared" si="1"/>
        <v>#REF!</v>
      </c>
      <c r="D28" s="18" t="e">
        <f t="shared" si="2"/>
        <v>#REF!</v>
      </c>
      <c r="E28" s="18" t="e">
        <f t="shared" si="0"/>
        <v>#REF!</v>
      </c>
      <c r="F28" s="18" t="e">
        <f>IF(COUNTA($C$11:C28)&gt;$D$7,"",COUNTIFS(#REF!,"&gt;="&amp;C28,#REF!,"&lt;"&amp;D28))</f>
        <v>#REF!</v>
      </c>
      <c r="G28" s="66" t="e">
        <f>IF(COUNTA($C$11:C28)&gt;$D$7,"",SUM($F$11:F28)/Iterations)</f>
        <v>#REF!</v>
      </c>
    </row>
    <row r="29" spans="3:21" x14ac:dyDescent="0.3">
      <c r="C29" s="18" t="e">
        <f t="shared" si="1"/>
        <v>#REF!</v>
      </c>
      <c r="D29" s="18" t="e">
        <f t="shared" si="2"/>
        <v>#REF!</v>
      </c>
      <c r="E29" s="18" t="e">
        <f t="shared" si="0"/>
        <v>#REF!</v>
      </c>
      <c r="F29" s="18" t="e">
        <f>IF(COUNTA($C$11:C29)&gt;$D$7,"",COUNTIFS(#REF!,"&gt;="&amp;C29,#REF!,"&lt;"&amp;D29))</f>
        <v>#REF!</v>
      </c>
      <c r="G29" s="66" t="e">
        <f>IF(COUNTA($C$11:C29)&gt;$D$7,"",SUM($F$11:F29)/Iterations)</f>
        <v>#REF!</v>
      </c>
    </row>
    <row r="30" spans="3:21" x14ac:dyDescent="0.3">
      <c r="C30" s="18" t="e">
        <f t="shared" si="1"/>
        <v>#REF!</v>
      </c>
      <c r="D30" s="18" t="e">
        <f t="shared" si="2"/>
        <v>#REF!</v>
      </c>
      <c r="E30" s="18" t="e">
        <f t="shared" si="0"/>
        <v>#REF!</v>
      </c>
      <c r="F30" s="18" t="e">
        <f>IF(COUNTA($C$11:C30)&gt;$D$7,"",COUNTIFS(#REF!,"&gt;="&amp;C30,#REF!,"&lt;"&amp;D30))</f>
        <v>#REF!</v>
      </c>
      <c r="G30" s="66" t="e">
        <f>IF(COUNTA($C$11:C30)&gt;$D$7,"",SUM($F$11:F30)/Iterations)</f>
        <v>#REF!</v>
      </c>
    </row>
    <row r="31" spans="3:21" x14ac:dyDescent="0.3">
      <c r="C31" s="18" t="e">
        <f t="shared" si="1"/>
        <v>#REF!</v>
      </c>
      <c r="D31" s="18" t="e">
        <f t="shared" si="2"/>
        <v>#REF!</v>
      </c>
      <c r="E31" s="18" t="e">
        <f t="shared" si="0"/>
        <v>#REF!</v>
      </c>
      <c r="F31" s="18" t="e">
        <f>IF(COUNTA($C$11:C31)&gt;$D$7,"",COUNTIFS(#REF!,"&gt;="&amp;C31,#REF!,"&lt;"&amp;D31))</f>
        <v>#REF!</v>
      </c>
      <c r="G31" s="66" t="e">
        <f>IF(COUNTA($C$11:C31)&gt;$D$7,"",SUM($F$11:F31)/Iterations)</f>
        <v>#REF!</v>
      </c>
    </row>
    <row r="32" spans="3:21" x14ac:dyDescent="0.3">
      <c r="C32" s="18" t="e">
        <f t="shared" si="1"/>
        <v>#REF!</v>
      </c>
      <c r="D32" s="18" t="e">
        <f t="shared" si="2"/>
        <v>#REF!</v>
      </c>
      <c r="E32" s="18" t="e">
        <f t="shared" si="0"/>
        <v>#REF!</v>
      </c>
      <c r="F32" s="18" t="e">
        <f>IF(COUNTA($C$11:C32)&gt;$D$7,"",COUNTIFS(#REF!,"&gt;="&amp;C32,#REF!,"&lt;"&amp;D32))</f>
        <v>#REF!</v>
      </c>
      <c r="G32" s="66" t="e">
        <f>IF(COUNTA($C$11:C32)&gt;$D$7,"",SUM($F$11:F32)/Iterations)</f>
        <v>#REF!</v>
      </c>
    </row>
    <row r="33" spans="3:7" x14ac:dyDescent="0.3">
      <c r="C33" s="18" t="e">
        <f t="shared" si="1"/>
        <v>#REF!</v>
      </c>
      <c r="D33" s="18" t="e">
        <f t="shared" si="2"/>
        <v>#REF!</v>
      </c>
      <c r="E33" s="18" t="e">
        <f t="shared" si="0"/>
        <v>#REF!</v>
      </c>
      <c r="F33" s="18" t="e">
        <f>IF(COUNTA($C$11:C33)&gt;$D$7,"",COUNTIFS(#REF!,"&gt;="&amp;C33,#REF!,"&lt;"&amp;D33))</f>
        <v>#REF!</v>
      </c>
      <c r="G33" s="66" t="e">
        <f>IF(COUNTA($C$11:C33)&gt;$D$7,"",SUM($F$11:F33)/Iterations)</f>
        <v>#REF!</v>
      </c>
    </row>
    <row r="34" spans="3:7" x14ac:dyDescent="0.3">
      <c r="C34" s="18" t="e">
        <f t="shared" si="1"/>
        <v>#REF!</v>
      </c>
      <c r="D34" s="18" t="e">
        <f t="shared" si="2"/>
        <v>#REF!</v>
      </c>
      <c r="E34" s="18" t="e">
        <f t="shared" si="0"/>
        <v>#REF!</v>
      </c>
      <c r="F34" s="18" t="e">
        <f>IF(COUNTA($C$11:C34)&gt;$D$7,"",COUNTIFS(#REF!,"&gt;="&amp;C34,#REF!,"&lt;"&amp;D34))</f>
        <v>#REF!</v>
      </c>
      <c r="G34" s="66" t="e">
        <f>IF(COUNTA($C$11:C34)&gt;$D$7,"",SUM($F$11:F34)/Iterations)</f>
        <v>#REF!</v>
      </c>
    </row>
    <row r="35" spans="3:7" x14ac:dyDescent="0.3">
      <c r="C35" s="18" t="e">
        <f t="shared" si="1"/>
        <v>#REF!</v>
      </c>
      <c r="D35" s="18" t="e">
        <f t="shared" si="2"/>
        <v>#REF!</v>
      </c>
      <c r="E35" s="18" t="e">
        <f t="shared" si="0"/>
        <v>#REF!</v>
      </c>
      <c r="F35" s="18" t="e">
        <f>IF(COUNTA($C$11:C35)&gt;$D$7,"",COUNTIFS(#REF!,"&gt;="&amp;C35,#REF!,"&lt;"&amp;D35))</f>
        <v>#REF!</v>
      </c>
      <c r="G35" s="66" t="e">
        <f>IF(COUNTA($C$11:C35)&gt;$D$7,"",SUM($F$11:F35)/Iterations)</f>
        <v>#REF!</v>
      </c>
    </row>
    <row r="36" spans="3:7" x14ac:dyDescent="0.3">
      <c r="C36" s="18" t="e">
        <f t="shared" si="1"/>
        <v>#REF!</v>
      </c>
      <c r="D36" s="18" t="e">
        <f t="shared" si="2"/>
        <v>#REF!</v>
      </c>
      <c r="E36" s="18" t="e">
        <f t="shared" si="0"/>
        <v>#REF!</v>
      </c>
      <c r="F36" s="18" t="e">
        <f>IF(COUNTA($C$11:C36)&gt;$D$7,"",COUNTIFS(#REF!,"&gt;="&amp;C36,#REF!,"&lt;"&amp;D36))</f>
        <v>#REF!</v>
      </c>
      <c r="G36" s="66" t="e">
        <f>IF(COUNTA($C$11:C36)&gt;$D$7,"",SUM($F$11:F36)/Iterations)</f>
        <v>#REF!</v>
      </c>
    </row>
    <row r="37" spans="3:7" x14ac:dyDescent="0.3">
      <c r="C37" s="18" t="e">
        <f t="shared" si="1"/>
        <v>#REF!</v>
      </c>
      <c r="D37" s="18" t="e">
        <f t="shared" si="2"/>
        <v>#REF!</v>
      </c>
      <c r="E37" s="18" t="e">
        <f t="shared" si="0"/>
        <v>#REF!</v>
      </c>
      <c r="F37" s="18" t="e">
        <f>IF(COUNTA($C$11:C37)&gt;$D$7,"",COUNTIFS(#REF!,"&gt;="&amp;C37,#REF!,"&lt;"&amp;D37))</f>
        <v>#REF!</v>
      </c>
      <c r="G37" s="66" t="e">
        <f>IF(COUNTA($C$11:C37)&gt;$D$7,"",SUM($F$11:F37)/Iterations)</f>
        <v>#REF!</v>
      </c>
    </row>
    <row r="38" spans="3:7" x14ac:dyDescent="0.3">
      <c r="C38" s="18" t="e">
        <f t="shared" si="1"/>
        <v>#REF!</v>
      </c>
      <c r="D38" s="18" t="e">
        <f t="shared" si="2"/>
        <v>#REF!</v>
      </c>
      <c r="E38" s="18" t="e">
        <f t="shared" si="0"/>
        <v>#REF!</v>
      </c>
      <c r="F38" s="18" t="e">
        <f>IF(COUNTA($C$11:C38)&gt;$D$7,"",COUNTIFS(#REF!,"&gt;="&amp;C38,#REF!,"&lt;"&amp;D38))</f>
        <v>#REF!</v>
      </c>
      <c r="G38" s="66" t="e">
        <f>IF(COUNTA($C$11:C38)&gt;$D$7,"",SUM($F$11:F38)/Iterations)</f>
        <v>#REF!</v>
      </c>
    </row>
    <row r="39" spans="3:7" x14ac:dyDescent="0.3">
      <c r="C39" s="18" t="e">
        <f t="shared" si="1"/>
        <v>#REF!</v>
      </c>
      <c r="D39" s="18" t="e">
        <f t="shared" si="2"/>
        <v>#REF!</v>
      </c>
      <c r="E39" s="18" t="e">
        <f t="shared" si="0"/>
        <v>#REF!</v>
      </c>
      <c r="F39" s="18" t="e">
        <f>IF(COUNTA($C$11:C39)&gt;$D$7,"",COUNTIFS(#REF!,"&gt;="&amp;C39,#REF!,"&lt;"&amp;D39))</f>
        <v>#REF!</v>
      </c>
      <c r="G39" s="66" t="e">
        <f>IF(COUNTA($C$11:C39)&gt;$D$7,"",SUM($F$11:F39)/Iterations)</f>
        <v>#REF!</v>
      </c>
    </row>
    <row r="40" spans="3:7" x14ac:dyDescent="0.3">
      <c r="C40" s="18" t="e">
        <f t="shared" si="1"/>
        <v>#REF!</v>
      </c>
      <c r="D40" s="18" t="e">
        <f t="shared" si="2"/>
        <v>#REF!</v>
      </c>
      <c r="E40" s="18" t="e">
        <f t="shared" si="0"/>
        <v>#REF!</v>
      </c>
      <c r="F40" s="18" t="e">
        <f>IF(COUNTA($C$11:C40)&gt;$D$7,"",COUNTIFS(#REF!,"&gt;="&amp;C40,#REF!,"&lt;"&amp;D40))</f>
        <v>#REF!</v>
      </c>
      <c r="G40" s="66" t="e">
        <f>IF(COUNTA($C$11:C40)&gt;$D$7,"",SUM($F$11:F40)/Iterations)</f>
        <v>#REF!</v>
      </c>
    </row>
    <row r="41" spans="3:7" x14ac:dyDescent="0.3">
      <c r="C41" s="18" t="e">
        <f t="shared" si="1"/>
        <v>#REF!</v>
      </c>
      <c r="D41" s="18" t="e">
        <f t="shared" si="2"/>
        <v>#REF!</v>
      </c>
      <c r="E41" s="18" t="e">
        <f t="shared" si="0"/>
        <v>#REF!</v>
      </c>
      <c r="F41" s="18" t="e">
        <f>IF(COUNTA($C$11:C41)&gt;$D$7,"",COUNTIFS(#REF!,"&gt;="&amp;C41,#REF!,"&lt;"&amp;D41))</f>
        <v>#REF!</v>
      </c>
      <c r="G41" s="66" t="e">
        <f>IF(COUNTA($C$11:C41)&gt;$D$7,"",SUM($F$11:F41)/Iterations)</f>
        <v>#REF!</v>
      </c>
    </row>
    <row r="42" spans="3:7" x14ac:dyDescent="0.3">
      <c r="C42" s="18" t="e">
        <f t="shared" si="1"/>
        <v>#REF!</v>
      </c>
      <c r="D42" s="18" t="e">
        <f t="shared" si="2"/>
        <v>#REF!</v>
      </c>
      <c r="E42" s="18" t="e">
        <f t="shared" si="0"/>
        <v>#REF!</v>
      </c>
      <c r="F42" s="18" t="e">
        <f>IF(COUNTA($C$11:C42)&gt;$D$7,"",COUNTIFS(#REF!,"&gt;="&amp;C42,#REF!,"&lt;"&amp;D42))</f>
        <v>#REF!</v>
      </c>
      <c r="G42" s="66" t="e">
        <f>IF(COUNTA($C$11:C42)&gt;$D$7,"",SUM($F$11:F42)/Iterations)</f>
        <v>#REF!</v>
      </c>
    </row>
    <row r="43" spans="3:7" x14ac:dyDescent="0.3">
      <c r="C43" s="18" t="e">
        <f t="shared" si="1"/>
        <v>#REF!</v>
      </c>
      <c r="D43" s="18" t="e">
        <f t="shared" si="2"/>
        <v>#REF!</v>
      </c>
      <c r="E43" s="18" t="e">
        <f t="shared" si="0"/>
        <v>#REF!</v>
      </c>
      <c r="F43" s="18" t="e">
        <f>IF(COUNTA($C$11:C43)&gt;$D$7,"",COUNTIFS(#REF!,"&gt;="&amp;C43,#REF!,"&lt;"&amp;D43))</f>
        <v>#REF!</v>
      </c>
      <c r="G43" s="66" t="e">
        <f>IF(COUNTA($C$11:C43)&gt;$D$7,"",SUM($F$11:F43)/Iterations)</f>
        <v>#REF!</v>
      </c>
    </row>
    <row r="44" spans="3:7" x14ac:dyDescent="0.3">
      <c r="C44" s="18" t="e">
        <f t="shared" si="1"/>
        <v>#REF!</v>
      </c>
      <c r="D44" s="18" t="e">
        <f t="shared" si="2"/>
        <v>#REF!</v>
      </c>
      <c r="E44" s="18" t="e">
        <f t="shared" si="0"/>
        <v>#REF!</v>
      </c>
      <c r="F44" s="18" t="e">
        <f>IF(COUNTA($C$11:C44)&gt;$D$7,"",COUNTIFS(#REF!,"&gt;="&amp;C44,#REF!,"&lt;"&amp;D44))</f>
        <v>#REF!</v>
      </c>
      <c r="G44" s="66" t="e">
        <f>IF(COUNTA($C$11:C44)&gt;$D$7,"",SUM($F$11:F44)/Iterations)</f>
        <v>#REF!</v>
      </c>
    </row>
    <row r="45" spans="3:7" x14ac:dyDescent="0.3">
      <c r="C45" s="18" t="e">
        <f t="shared" si="1"/>
        <v>#REF!</v>
      </c>
      <c r="D45" s="18" t="e">
        <f t="shared" si="2"/>
        <v>#REF!</v>
      </c>
      <c r="E45" s="18" t="e">
        <f t="shared" si="0"/>
        <v>#REF!</v>
      </c>
      <c r="F45" s="18" t="e">
        <f>IF(COUNTA($C$11:C45)&gt;$D$7,"",COUNTIFS(#REF!,"&gt;="&amp;C45,#REF!,"&lt;"&amp;D45))</f>
        <v>#REF!</v>
      </c>
      <c r="G45" s="66" t="e">
        <f>IF(COUNTA($C$11:C45)&gt;$D$7,"",SUM($F$11:F45)/Iterations)</f>
        <v>#REF!</v>
      </c>
    </row>
    <row r="46" spans="3:7" x14ac:dyDescent="0.3">
      <c r="C46" s="18" t="e">
        <f t="shared" si="1"/>
        <v>#REF!</v>
      </c>
      <c r="D46" s="18" t="e">
        <f t="shared" si="2"/>
        <v>#REF!</v>
      </c>
      <c r="E46" s="18" t="e">
        <f t="shared" si="0"/>
        <v>#REF!</v>
      </c>
      <c r="F46" s="18" t="e">
        <f>IF(COUNTA($C$11:C46)&gt;$D$7,"",COUNTIFS(#REF!,"&gt;="&amp;C46,#REF!,"&lt;"&amp;D46))</f>
        <v>#REF!</v>
      </c>
      <c r="G46" s="66" t="e">
        <f>IF(COUNTA($C$11:C46)&gt;$D$7,"",SUM($F$11:F46)/Iterations)</f>
        <v>#REF!</v>
      </c>
    </row>
    <row r="47" spans="3:7" x14ac:dyDescent="0.3">
      <c r="C47" s="18" t="e">
        <f t="shared" si="1"/>
        <v>#REF!</v>
      </c>
      <c r="D47" s="18" t="e">
        <f t="shared" si="2"/>
        <v>#REF!</v>
      </c>
      <c r="E47" s="18" t="e">
        <f t="shared" si="0"/>
        <v>#REF!</v>
      </c>
      <c r="F47" s="18" t="e">
        <f>IF(COUNTA($C$11:C47)&gt;$D$7,"",COUNTIFS(#REF!,"&gt;="&amp;C47,#REF!,"&lt;"&amp;D47))</f>
        <v>#REF!</v>
      </c>
      <c r="G47" s="66" t="e">
        <f>IF(COUNTA($C$11:C47)&gt;$D$7,"",SUM($F$11:F47)/Iterations)</f>
        <v>#REF!</v>
      </c>
    </row>
    <row r="48" spans="3:7" x14ac:dyDescent="0.3">
      <c r="C48" s="18" t="e">
        <f t="shared" si="1"/>
        <v>#REF!</v>
      </c>
      <c r="D48" s="18" t="e">
        <f t="shared" si="2"/>
        <v>#REF!</v>
      </c>
      <c r="E48" s="18" t="e">
        <f t="shared" si="0"/>
        <v>#REF!</v>
      </c>
      <c r="F48" s="18" t="e">
        <f>IF(COUNTA($C$11:C48)&gt;$D$7,"",COUNTIFS(#REF!,"&gt;="&amp;C48,#REF!,"&lt;"&amp;D48))</f>
        <v>#REF!</v>
      </c>
      <c r="G48" s="66" t="e">
        <f>IF(COUNTA($C$11:C48)&gt;$D$7,"",SUM($F$11:F48)/Iterations)</f>
        <v>#REF!</v>
      </c>
    </row>
    <row r="49" spans="3:7" x14ac:dyDescent="0.3">
      <c r="C49" s="18" t="e">
        <f t="shared" si="1"/>
        <v>#REF!</v>
      </c>
      <c r="D49" s="18" t="e">
        <f t="shared" si="2"/>
        <v>#REF!</v>
      </c>
      <c r="E49" s="18" t="e">
        <f t="shared" si="0"/>
        <v>#REF!</v>
      </c>
      <c r="F49" s="18" t="e">
        <f>IF(COUNTA($C$11:C49)&gt;$D$7,"",COUNTIFS(#REF!,"&gt;="&amp;C49,#REF!,"&lt;"&amp;D49))</f>
        <v>#REF!</v>
      </c>
      <c r="G49" s="66" t="e">
        <f>IF(COUNTA($C$11:C49)&gt;$D$7,"",SUM($F$11:F49)/Iterations)</f>
        <v>#REF!</v>
      </c>
    </row>
    <row r="50" spans="3:7" x14ac:dyDescent="0.3">
      <c r="C50" s="18" t="e">
        <f t="shared" si="1"/>
        <v>#REF!</v>
      </c>
      <c r="D50" s="18" t="e">
        <f t="shared" si="2"/>
        <v>#REF!</v>
      </c>
      <c r="E50" s="18" t="e">
        <f t="shared" si="0"/>
        <v>#REF!</v>
      </c>
      <c r="F50" s="18" t="e">
        <f>IF(COUNTA($C$11:C50)&gt;$D$7,"",COUNTIFS(#REF!,"&gt;="&amp;C50,#REF!,"&lt;"&amp;D50))</f>
        <v>#REF!</v>
      </c>
      <c r="G50" s="66" t="e">
        <f>IF(COUNTA($C$11:C50)&gt;$D$7,"",SUM($F$11:F50)/Iterations)</f>
        <v>#REF!</v>
      </c>
    </row>
    <row r="51" spans="3:7" x14ac:dyDescent="0.3">
      <c r="C51" s="18" t="e">
        <f t="shared" si="1"/>
        <v>#REF!</v>
      </c>
      <c r="D51" s="18" t="e">
        <f t="shared" si="2"/>
        <v>#REF!</v>
      </c>
      <c r="E51" s="18" t="e">
        <f t="shared" si="0"/>
        <v>#REF!</v>
      </c>
      <c r="F51" s="18" t="e">
        <f>IF(COUNTA($C$11:C51)&gt;$D$7,"",COUNTIFS(#REF!,"&gt;="&amp;C51,#REF!,"&lt;"&amp;D51))</f>
        <v>#REF!</v>
      </c>
      <c r="G51" s="66" t="e">
        <f>IF(COUNTA($C$11:C51)&gt;$D$7,"",SUM($F$11:F51)/Iterations)</f>
        <v>#REF!</v>
      </c>
    </row>
    <row r="52" spans="3:7" x14ac:dyDescent="0.3">
      <c r="C52" s="18" t="e">
        <f t="shared" si="1"/>
        <v>#REF!</v>
      </c>
      <c r="D52" s="18" t="e">
        <f t="shared" si="2"/>
        <v>#REF!</v>
      </c>
      <c r="E52" s="18" t="e">
        <f t="shared" si="0"/>
        <v>#REF!</v>
      </c>
      <c r="F52" s="18" t="e">
        <f>IF(COUNTA($C$11:C52)&gt;$D$7,"",COUNTIFS(#REF!,"&gt;="&amp;C52,#REF!,"&lt;"&amp;D52))</f>
        <v>#REF!</v>
      </c>
      <c r="G52" s="66" t="e">
        <f>IF(COUNTA($C$11:C52)&gt;$D$7,"",SUM($F$11:F52)/Iterations)</f>
        <v>#REF!</v>
      </c>
    </row>
    <row r="53" spans="3:7" x14ac:dyDescent="0.3">
      <c r="C53" s="18" t="e">
        <f t="shared" si="1"/>
        <v>#REF!</v>
      </c>
      <c r="D53" s="18" t="e">
        <f t="shared" si="2"/>
        <v>#REF!</v>
      </c>
      <c r="E53" s="18" t="e">
        <f t="shared" si="0"/>
        <v>#REF!</v>
      </c>
      <c r="F53" s="18" t="e">
        <f>IF(COUNTA($C$11:C53)&gt;$D$7,"",COUNTIFS(#REF!,"&gt;="&amp;C53,#REF!,"&lt;"&amp;D53))</f>
        <v>#REF!</v>
      </c>
      <c r="G53" s="66" t="e">
        <f>IF(COUNTA($C$11:C53)&gt;$D$7,"",SUM($F$11:F53)/Iterations)</f>
        <v>#REF!</v>
      </c>
    </row>
    <row r="54" spans="3:7" x14ac:dyDescent="0.3">
      <c r="C54" s="18" t="e">
        <f t="shared" si="1"/>
        <v>#REF!</v>
      </c>
      <c r="D54" s="18" t="e">
        <f t="shared" si="2"/>
        <v>#REF!</v>
      </c>
      <c r="E54" s="18" t="e">
        <f t="shared" si="0"/>
        <v>#REF!</v>
      </c>
      <c r="F54" s="18" t="e">
        <f>IF(COUNTA($C$11:C54)&gt;$D$7,"",COUNTIFS(#REF!,"&gt;="&amp;C54,#REF!,"&lt;"&amp;D54))</f>
        <v>#REF!</v>
      </c>
      <c r="G54" s="66" t="e">
        <f>IF(COUNTA($C$11:C54)&gt;$D$7,"",SUM($F$11:F54)/Iterations)</f>
        <v>#REF!</v>
      </c>
    </row>
    <row r="55" spans="3:7" x14ac:dyDescent="0.3">
      <c r="C55" s="18" t="e">
        <f t="shared" si="1"/>
        <v>#REF!</v>
      </c>
      <c r="D55" s="18" t="e">
        <f t="shared" si="2"/>
        <v>#REF!</v>
      </c>
      <c r="E55" s="18" t="e">
        <f t="shared" si="0"/>
        <v>#REF!</v>
      </c>
      <c r="F55" s="18" t="e">
        <f>IF(COUNTA($C$11:C55)&gt;$D$7,"",COUNTIFS(#REF!,"&gt;="&amp;C55,#REF!,"&lt;"&amp;D55))</f>
        <v>#REF!</v>
      </c>
      <c r="G55" s="66" t="e">
        <f>IF(COUNTA($C$11:C55)&gt;$D$7,"",SUM($F$11:F55)/Iterations)</f>
        <v>#REF!</v>
      </c>
    </row>
    <row r="56" spans="3:7" x14ac:dyDescent="0.3">
      <c r="C56" s="18" t="e">
        <f t="shared" si="1"/>
        <v>#REF!</v>
      </c>
      <c r="D56" s="18" t="e">
        <f t="shared" si="2"/>
        <v>#REF!</v>
      </c>
      <c r="E56" s="18" t="e">
        <f t="shared" si="0"/>
        <v>#REF!</v>
      </c>
      <c r="F56" s="18" t="e">
        <f>IF(COUNTA($C$11:C56)&gt;$D$7,"",COUNTIFS(#REF!,"&gt;="&amp;C56,#REF!,"&lt;"&amp;D56))</f>
        <v>#REF!</v>
      </c>
      <c r="G56" s="66" t="e">
        <f>IF(COUNTA($C$11:C56)&gt;$D$7,"",SUM($F$11:F56)/Iterations)</f>
        <v>#REF!</v>
      </c>
    </row>
    <row r="57" spans="3:7" x14ac:dyDescent="0.3">
      <c r="C57" s="18" t="e">
        <f t="shared" si="1"/>
        <v>#REF!</v>
      </c>
      <c r="D57" s="18" t="e">
        <f t="shared" si="2"/>
        <v>#REF!</v>
      </c>
      <c r="E57" s="18" t="e">
        <f t="shared" si="0"/>
        <v>#REF!</v>
      </c>
      <c r="F57" s="18" t="e">
        <f>IF(COUNTA($C$11:C57)&gt;$D$7,"",COUNTIFS(#REF!,"&gt;="&amp;C57,#REF!,"&lt;"&amp;D57))</f>
        <v>#REF!</v>
      </c>
      <c r="G57" s="66" t="e">
        <f>IF(COUNTA($C$11:C57)&gt;$D$7,"",SUM($F$11:F57)/Iterations)</f>
        <v>#REF!</v>
      </c>
    </row>
    <row r="58" spans="3:7" x14ac:dyDescent="0.3">
      <c r="C58" s="18" t="e">
        <f t="shared" si="1"/>
        <v>#REF!</v>
      </c>
      <c r="D58" s="18" t="e">
        <f t="shared" si="2"/>
        <v>#REF!</v>
      </c>
      <c r="E58" s="18" t="e">
        <f t="shared" si="0"/>
        <v>#REF!</v>
      </c>
      <c r="F58" s="18" t="e">
        <f>IF(COUNTA($C$11:C58)&gt;$D$7,"",COUNTIFS(#REF!,"&gt;="&amp;C58,#REF!,"&lt;"&amp;D58))</f>
        <v>#REF!</v>
      </c>
      <c r="G58" s="66" t="e">
        <f>IF(COUNTA($C$11:C58)&gt;$D$7,"",SUM($F$11:F58)/Iterations)</f>
        <v>#REF!</v>
      </c>
    </row>
    <row r="59" spans="3:7" x14ac:dyDescent="0.3">
      <c r="C59" s="18" t="e">
        <f t="shared" si="1"/>
        <v>#REF!</v>
      </c>
      <c r="D59" s="18" t="e">
        <f t="shared" si="2"/>
        <v>#REF!</v>
      </c>
      <c r="E59" s="18" t="e">
        <f t="shared" si="0"/>
        <v>#REF!</v>
      </c>
      <c r="F59" s="18" t="e">
        <f>IF(COUNTA($C$11:C59)&gt;$D$7,"",COUNTIFS(#REF!,"&gt;="&amp;C59,#REF!,"&lt;"&amp;D59))</f>
        <v>#REF!</v>
      </c>
      <c r="G59" s="66" t="e">
        <f>IF(COUNTA($C$11:C59)&gt;$D$7,"",SUM($F$11:F59)/Iterations)</f>
        <v>#REF!</v>
      </c>
    </row>
    <row r="60" spans="3:7" x14ac:dyDescent="0.3">
      <c r="C60" s="18" t="e">
        <f t="shared" si="1"/>
        <v>#REF!</v>
      </c>
      <c r="D60" s="18" t="e">
        <f t="shared" si="2"/>
        <v>#REF!</v>
      </c>
      <c r="E60" s="18" t="e">
        <f t="shared" si="0"/>
        <v>#REF!</v>
      </c>
      <c r="F60" s="18" t="e">
        <f>IF(COUNTA($C$11:C60)&gt;$D$7,"",COUNTIFS(#REF!,"&gt;="&amp;C60,#REF!,"&lt;"&amp;D60))</f>
        <v>#REF!</v>
      </c>
      <c r="G60" s="66" t="e">
        <f>IF(COUNTA($C$11:C60)&gt;$D$7,"",SUM($F$11:F60)/Iterations)</f>
        <v>#REF!</v>
      </c>
    </row>
    <row r="61" spans="3:7" x14ac:dyDescent="0.3">
      <c r="C61" s="18" t="e">
        <f t="shared" si="1"/>
        <v>#REF!</v>
      </c>
      <c r="D61" s="18" t="e">
        <f t="shared" si="2"/>
        <v>#REF!</v>
      </c>
      <c r="E61" s="18" t="e">
        <f t="shared" si="0"/>
        <v>#REF!</v>
      </c>
      <c r="F61" s="18" t="e">
        <f>IF(COUNTA($C$11:C61)&gt;$D$7,"",COUNTIFS(#REF!,"&gt;="&amp;C61,#REF!,"&lt;"&amp;D61))</f>
        <v>#REF!</v>
      </c>
      <c r="G61" s="66" t="e">
        <f>IF(COUNTA($C$11:C61)&gt;$D$7,"",SUM($F$11:F61)/Iterations)</f>
        <v>#REF!</v>
      </c>
    </row>
  </sheetData>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Home</vt:lpstr>
      <vt:lpstr>Config</vt:lpstr>
      <vt:lpstr>Lookups</vt:lpstr>
      <vt:lpstr>Model Map</vt:lpstr>
      <vt:lpstr>Error Checks</vt:lpstr>
      <vt:lpstr>Timeline</vt:lpstr>
      <vt:lpstr>MDAL</vt:lpstr>
      <vt:lpstr>Workings Sheet</vt:lpstr>
      <vt:lpstr>Sources</vt:lpstr>
      <vt:lpstr>Global Constants</vt:lpstr>
      <vt:lpstr>Cost &amp; Risk Inputs</vt:lpstr>
      <vt:lpstr>Profile &amp; Baseline</vt:lpstr>
      <vt:lpstr>Constant Ecs GBP</vt:lpstr>
      <vt:lpstr>Outturn ex VAT</vt:lpstr>
      <vt:lpstr>Outturn incl. VAT</vt:lpstr>
      <vt:lpstr>EAC</vt:lpstr>
      <vt:lpstr>NPV</vt:lpstr>
      <vt:lpstr>Calc Feeder</vt:lpstr>
      <vt:lpstr>Outputs</vt:lpstr>
      <vt:lpstr>Graphs</vt:lpstr>
      <vt:lpstr>Histogram</vt:lpstr>
      <vt:lpstr>AffordabilityInput</vt:lpstr>
      <vt:lpstr>Cost_3PE</vt:lpstr>
      <vt:lpstr>CostGroupInput</vt:lpstr>
      <vt:lpstr>CostGroups</vt:lpstr>
      <vt:lpstr>Currency_List</vt:lpstr>
      <vt:lpstr>FY</vt:lpstr>
      <vt:lpstr>Inflation_List</vt:lpstr>
      <vt:lpstr>Iterations</vt:lpstr>
      <vt:lpstr>Model_Base</vt:lpstr>
      <vt:lpstr>Model_Health</vt:lpstr>
      <vt:lpstr>ModelOutput</vt:lpstr>
      <vt:lpstr>Outputs</vt:lpstr>
      <vt:lpstr>Percentile_Output</vt:lpstr>
      <vt:lpstr>PhaseInput</vt:lpstr>
      <vt:lpstr>PhaseQty</vt:lpstr>
      <vt:lpstr>Source_List</vt:lpstr>
      <vt:lpstr>VAT</vt:lpstr>
      <vt:lpstr>VAT_List</vt:lpstr>
      <vt:lpstr>Year_Count</vt:lpstr>
    </vt:vector>
  </TitlesOfParts>
  <Company>TP Group Plc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CMR</dc:creator>
  <cp:lastModifiedBy>Dominic McCaskill</cp:lastModifiedBy>
  <dcterms:created xsi:type="dcterms:W3CDTF">2019-06-17T07:45:58Z</dcterms:created>
  <dcterms:modified xsi:type="dcterms:W3CDTF">2020-02-27T15:57:01Z</dcterms:modified>
</cp:coreProperties>
</file>